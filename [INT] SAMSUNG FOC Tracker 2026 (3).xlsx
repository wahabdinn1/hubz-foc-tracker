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OLD DATA" sheetId="2" r:id="rId6"/>
    <sheet state="visible" name="OLD DATA Venni" sheetId="3" r:id="rId7"/>
    <sheet state="visible" name="Mindshare DATA" sheetId="4" r:id="rId8"/>
    <sheet state="visible" name="Step 1 Data Bank" sheetId="5" r:id="rId9"/>
    <sheet state="visible" name="Step 2.1 FOC Return" sheetId="6" r:id="rId10"/>
    <sheet state="visible" name="Step 2.2 FOC UnReturn" sheetId="7" r:id="rId11"/>
    <sheet state="visible" name="Step 3 FOC Request" sheetId="8" r:id="rId12"/>
    <sheet state="visible" name="Step 4 FOC Return" sheetId="9" r:id="rId13"/>
    <sheet state="visible" name="OVERDUE TRACKER" sheetId="10" r:id="rId14"/>
    <sheet state="visible" name="24 Feb 2026" sheetId="11" r:id="rId15"/>
  </sheets>
  <definedNames>
    <definedName hidden="1" localSheetId="1" name="_xlnm._FilterDatabase">'OLD DATA'!$A$1:$T$1016</definedName>
    <definedName hidden="1" localSheetId="4" name="_xlnm._FilterDatabase">'Step 1 Data Bank'!$A$1:$Y$986</definedName>
    <definedName hidden="1" localSheetId="7" name="_xlnm._FilterDatabase">'Step 3 FOC Request'!$A$1:$M$151</definedName>
    <definedName hidden="1" localSheetId="9" name="_xlnm._FilterDatabase">'OVERDUE TRACKER'!$A$1:$AE$244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tc={c531bb72-5a4e-4222-a0e0-288ff0106469}</author>
  </authors>
  <commentList>
    <comment authorId="0" xr:uid="{c531bb72-5a4e-4222-a0e0-288ff0106469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this date, all is resubmit/redata for locker to this gsheet
</t>
      </text>
    </comment>
  </commentList>
</comments>
</file>

<file path=xl/sharedStrings.xml><?xml version="1.0" encoding="utf-8"?>
<sst xmlns="http://schemas.openxmlformats.org/spreadsheetml/2006/main" count="10589" uniqueCount="1774">
  <si>
    <t>SEIN PIC</t>
  </si>
  <si>
    <t>GOAT PIC</t>
  </si>
  <si>
    <t>FOC TYPE</t>
  </si>
  <si>
    <t>STATUS</t>
  </si>
  <si>
    <t>FOC STATUS</t>
  </si>
  <si>
    <t>TYPE</t>
  </si>
  <si>
    <t>USEFULL LINK</t>
  </si>
  <si>
    <t>AKBARI</t>
  </si>
  <si>
    <t>ABIGAIL</t>
  </si>
  <si>
    <t>ACCESORIES</t>
  </si>
  <si>
    <t>AVAILABLE IN AGENCY</t>
  </si>
  <si>
    <t>RETURN</t>
  </si>
  <si>
    <t>INT</t>
  </si>
  <si>
    <t>DASHBOARD</t>
  </si>
  <si>
    <t>DASHBOARD FOC 2026</t>
  </si>
  <si>
    <t>ANNELA</t>
  </si>
  <si>
    <t>ADISTI</t>
  </si>
  <si>
    <t>APS</t>
  </si>
  <si>
    <t>EXTENDED</t>
  </si>
  <si>
    <t>UNRETURN</t>
  </si>
  <si>
    <t>EXT</t>
  </si>
  <si>
    <t>OVERDUE SAMPLE</t>
  </si>
  <si>
    <t>OVERDUE SAMPLE CM</t>
  </si>
  <si>
    <t>MANDIE</t>
  </si>
  <si>
    <t>ALIYA</t>
  </si>
  <si>
    <t>BUDS</t>
  </si>
  <si>
    <t>GIFT TO KOL</t>
  </si>
  <si>
    <t>OLIV RAMADAN CAMPAIGN</t>
  </si>
  <si>
    <t xml:space="preserve">[INT] Ramadan 2026 </t>
  </si>
  <si>
    <t>RHEINHARD</t>
  </si>
  <si>
    <t>AUFA</t>
  </si>
  <si>
    <t>HANDPHONE</t>
  </si>
  <si>
    <t>LOST</t>
  </si>
  <si>
    <t>OLD DATA FOC (MBAK LUNA)</t>
  </si>
  <si>
    <t>https://insidemedia-my.sharepoint.com/:x:/r/personal/dinesh_sharma_wppmedia_com/_layouts/15/Doc.aspx?sourcedoc=%7BF5525DC8-17E5-4A11-A87C-1169ED6ADA3C%7D&amp;file=SAMSUNG%20FOC%20TRACKER.xlsx&amp;action=default&amp;mobileredirect=true</t>
  </si>
  <si>
    <t>YAYA</t>
  </si>
  <si>
    <t>CHRISYE</t>
  </si>
  <si>
    <t>RUGGED</t>
  </si>
  <si>
    <t>RETURNED TO TCC</t>
  </si>
  <si>
    <t>SALMA TAB CAMPAIGN</t>
  </si>
  <si>
    <t>[INT] - Galaxy Tab Series</t>
  </si>
  <si>
    <t>ISNAINI</t>
  </si>
  <si>
    <t>TAB</t>
  </si>
  <si>
    <t>KHALIDA</t>
  </si>
  <si>
    <t>WEARABLES</t>
  </si>
  <si>
    <t>LIA</t>
  </si>
  <si>
    <t>MARTIN</t>
  </si>
  <si>
    <t>OLIV</t>
  </si>
  <si>
    <t>REZA</t>
  </si>
  <si>
    <t>RIZAL</t>
  </si>
  <si>
    <t>SALMA</t>
  </si>
  <si>
    <t>SULU</t>
  </si>
  <si>
    <t>TASHYA</t>
  </si>
  <si>
    <t>VENNI</t>
  </si>
  <si>
    <t>DATE</t>
  </si>
  <si>
    <t>CAMP MGMT PIC</t>
  </si>
  <si>
    <t>FOC 
 CATEGORY</t>
  </si>
  <si>
    <t>FOC
 PRODUCT NAME</t>
  </si>
  <si>
    <t>FOC 
 CAPACITY</t>
  </si>
  <si>
    <t>FOC 
 COLOUR</t>
  </si>
  <si>
    <t>FOC 
 IMEI/SN</t>
  </si>
  <si>
    <t>FOC 
 LOCATION (REMARK)</t>
  </si>
  <si>
    <t>KOL NAME</t>
  </si>
  <si>
    <t>FOC 
 STATUS</t>
  </si>
  <si>
    <t>RETURNED TO 
 GOAT DATE</t>
  </si>
  <si>
    <t>RETURN
 METHOD</t>
  </si>
  <si>
    <t>RECIPIENT NAME 
 (GOAT)</t>
  </si>
  <si>
    <t>LINK TO 
 SUPPORTING DOC</t>
  </si>
  <si>
    <t>RETURNED TO
 CLIENT DATE</t>
  </si>
  <si>
    <t>RECEIPIENT 
 (CLIENT)</t>
  </si>
  <si>
    <t>RETURN 
 METHOD</t>
  </si>
  <si>
    <t>UPDATED By ( PIC )</t>
  </si>
  <si>
    <t>Column2</t>
  </si>
  <si>
    <t>exp</t>
  </si>
  <si>
    <t>PHONE</t>
  </si>
  <si>
    <t>S24</t>
  </si>
  <si>
    <t>512 GB</t>
  </si>
  <si>
    <t>BLUE</t>
  </si>
  <si>
    <t>LOCKER</t>
  </si>
  <si>
    <t>RETURNABLE</t>
  </si>
  <si>
    <t>DROP OFF</t>
  </si>
  <si>
    <t>LUNA</t>
  </si>
  <si>
    <r>
      <rPr>
        <rFont val="&quot;Aptos Narrow&quot;, sans-serif"/>
        <color rgb="FF1155CC"/>
        <sz val="12.0"/>
        <u/>
      </rPr>
      <t>https://insidemedia-my.sharepoint.com/:f:/r/personal/dinesh_sharma_groupm_com/Documents/GROUPM/SAMSUNG/S24%20EXTENDED%20_%20FOC%20DOCUMENT?csf=1&amp;web=1&amp;e=fTUNkO</t>
    </r>
  </si>
  <si>
    <t>INDAH</t>
  </si>
  <si>
    <t>256 GB</t>
  </si>
  <si>
    <t>GRAPHITE</t>
  </si>
  <si>
    <t>WITH KOL</t>
  </si>
  <si>
    <r>
      <rPr>
        <rFont val="&quot;Aptos Narrow&quot;, sans-serif"/>
        <color rgb="FF1155CC"/>
        <sz val="12.0"/>
        <u/>
      </rPr>
      <t>EXISTING FOC - 2024</t>
    </r>
  </si>
  <si>
    <t>SENT TO CLIENT</t>
  </si>
  <si>
    <r>
      <rPr>
        <rFont val="&quot;Aptos Narrow&quot;, sans-serif"/>
        <color rgb="FF1155CC"/>
        <sz val="12.0"/>
        <u/>
      </rPr>
      <t>EXISTING FOC - 2024</t>
    </r>
  </si>
  <si>
    <t>Galaxy S24 FE</t>
  </si>
  <si>
    <t>Macsson</t>
  </si>
  <si>
    <r>
      <rPr>
        <rFont val="&quot;Aptos Narrow&quot;, sans-serif"/>
        <color rgb="FF1155CC"/>
        <sz val="12.0"/>
        <u/>
      </rPr>
      <t>EXISTING FOC - 2024</t>
    </r>
  </si>
  <si>
    <r>
      <rPr>
        <rFont val="&quot;Aptos Narrow&quot;, sans-serif"/>
        <color rgb="FF1155CC"/>
        <sz val="12.0"/>
        <u/>
      </rPr>
      <t>EXISTING FOC - 2024</t>
    </r>
  </si>
  <si>
    <t>JKT GO (Ian)</t>
  </si>
  <si>
    <t>DELIVERY</t>
  </si>
  <si>
    <r>
      <rPr>
        <rFont val="&quot;Aptos Narrow&quot;, sans-serif"/>
        <color rgb="FF1155CC"/>
        <sz val="12.0"/>
        <u/>
      </rPr>
      <t>EXISTING FOC - 2024</t>
    </r>
  </si>
  <si>
    <t>DEVERY</t>
  </si>
  <si>
    <t>done</t>
  </si>
  <si>
    <t>GREY</t>
  </si>
  <si>
    <r>
      <rPr>
        <rFont val="&quot;Aptos Narrow&quot;, sans-serif"/>
        <color rgb="FF1155CC"/>
        <sz val="12.0"/>
        <u/>
      </rPr>
      <t>EXISTING FOC - 2024</t>
    </r>
  </si>
  <si>
    <t>Handphone</t>
  </si>
  <si>
    <t>Galaxy Z Fold6</t>
  </si>
  <si>
    <t>Pink</t>
  </si>
  <si>
    <t>Locker (Dituker untuk Caca Tengker)</t>
  </si>
  <si>
    <t>Unreturn</t>
  </si>
  <si>
    <t>Locker</t>
  </si>
  <si>
    <t>?</t>
  </si>
  <si>
    <t>*Udah ditukar dari Caca Tengker</t>
  </si>
  <si>
    <t>Return</t>
  </si>
  <si>
    <t>INTAN</t>
  </si>
  <si>
    <t>Navy</t>
  </si>
  <si>
    <t>Galaxy Z Flip6</t>
  </si>
  <si>
    <t>Blue</t>
  </si>
  <si>
    <t>Yellow</t>
  </si>
  <si>
    <t>Silver Shadow</t>
  </si>
  <si>
    <t>Done</t>
  </si>
  <si>
    <t>DIDIET MAULANA</t>
  </si>
  <si>
    <t>Mint</t>
  </si>
  <si>
    <t>S 24 Ultra</t>
  </si>
  <si>
    <t>Titanium Black</t>
  </si>
  <si>
    <t>DEVEUS</t>
  </si>
  <si>
    <t>Titanium Yellow</t>
  </si>
  <si>
    <t>Box only, no device</t>
  </si>
  <si>
    <t>Titanium Gray</t>
  </si>
  <si>
    <t>S24 Base</t>
  </si>
  <si>
    <t>Marble Gray</t>
  </si>
  <si>
    <t>DEVER4</t>
  </si>
  <si>
    <t>DHYFA</t>
  </si>
  <si>
    <t>Cobalt Violet</t>
  </si>
  <si>
    <t>Onyx Black</t>
  </si>
  <si>
    <t>AULIA</t>
  </si>
  <si>
    <t>S23 Ultra</t>
  </si>
  <si>
    <t>Green</t>
  </si>
  <si>
    <t>Graphite</t>
  </si>
  <si>
    <t>Locker (Ka Martin 11/8/2024)</t>
  </si>
  <si>
    <t>Gray</t>
  </si>
  <si>
    <t>SALSA OLE</t>
  </si>
  <si>
    <t>MUHAMMAD ALFIAN</t>
  </si>
  <si>
    <t>Galaxy Watch</t>
  </si>
  <si>
    <t>Galaxy Watch 6</t>
  </si>
  <si>
    <t>RFAX10YY4EM</t>
  </si>
  <si>
    <t>RFAW71GBB0A</t>
  </si>
  <si>
    <t>Galaxy Watch 7</t>
  </si>
  <si>
    <t>Silver</t>
  </si>
  <si>
    <t>RFAX70F1GTV</t>
  </si>
  <si>
    <t>2424B75EF785</t>
  </si>
  <si>
    <t>RFAX0F2BEH</t>
  </si>
  <si>
    <t>Galaxy Tab S6 Lite</t>
  </si>
  <si>
    <t>Oxford Gray</t>
  </si>
  <si>
    <t>RR2X400240M</t>
  </si>
  <si>
    <t>Box Only, No Device</t>
  </si>
  <si>
    <t>128 GB</t>
  </si>
  <si>
    <t>RR2X4001HKP</t>
  </si>
  <si>
    <t>RR2X4001W9Y</t>
  </si>
  <si>
    <t>Tab S10 Ultra</t>
  </si>
  <si>
    <t>Moonstone Gray</t>
  </si>
  <si>
    <t>RR2X900BKFM</t>
  </si>
  <si>
    <t>AYOM</t>
  </si>
  <si>
    <t>Book Cover Keyboard</t>
  </si>
  <si>
    <t>Black (S10+)</t>
  </si>
  <si>
    <t>RF7X801KLYYCIS</t>
  </si>
  <si>
    <t>Black (S10 Ultra)</t>
  </si>
  <si>
    <t>RF7X801CB7WCIS</t>
  </si>
  <si>
    <t>RF7X8020ZWRCIS</t>
  </si>
  <si>
    <t>RF7X801CBBLCIS</t>
  </si>
  <si>
    <t>Buds</t>
  </si>
  <si>
    <t>Galaxy Buds 3</t>
  </si>
  <si>
    <t>RFAX706V3TJ</t>
  </si>
  <si>
    <t>White</t>
  </si>
  <si>
    <t>RFAX701WDCM</t>
  </si>
  <si>
    <t>Galaxy Buds 3 PRO</t>
  </si>
  <si>
    <t>RFAX70BNWHW</t>
  </si>
  <si>
    <t>RFAX60RAKXF</t>
  </si>
  <si>
    <t>Wearables</t>
  </si>
  <si>
    <t>Galaxy Ring Sizing</t>
  </si>
  <si>
    <t>Black</t>
  </si>
  <si>
    <t>RF7X702NM7XINB</t>
  </si>
  <si>
    <t>RR2X900BW1J</t>
  </si>
  <si>
    <t>RR2X900BRDL</t>
  </si>
  <si>
    <t>RF7X801Q2WHCIS</t>
  </si>
  <si>
    <t>RF7X9009NTDCIS</t>
  </si>
  <si>
    <t>Flipsuit Card</t>
  </si>
  <si>
    <t>GP22SEIN131086</t>
  </si>
  <si>
    <t>GP22SEIN130551</t>
  </si>
  <si>
    <t>Flipsuit Case</t>
  </si>
  <si>
    <t>RA7WC51Y5PXSMB</t>
  </si>
  <si>
    <t>Red (Galaxy S24 FE)</t>
  </si>
  <si>
    <t>RA7X85079LXSMB</t>
  </si>
  <si>
    <t>Standing Grip Case</t>
  </si>
  <si>
    <t>RA7X802A4LXHCB</t>
  </si>
  <si>
    <t>Kindsuit Case</t>
  </si>
  <si>
    <t>Orange</t>
  </si>
  <si>
    <t>RA7X60M2DAXHCB</t>
  </si>
  <si>
    <t>RR2X900B6EM</t>
  </si>
  <si>
    <t>RR2X900AY6X</t>
  </si>
  <si>
    <t>Tab S10+</t>
  </si>
  <si>
    <t>RR2X9007BCF</t>
  </si>
  <si>
    <t>Fabric Band</t>
  </si>
  <si>
    <t>RA7X60FY5AXHCB</t>
  </si>
  <si>
    <t>S Pen Case</t>
  </si>
  <si>
    <t>R37X5EA0R61RTB</t>
  </si>
  <si>
    <t>R37X5EA1C31RTB</t>
  </si>
  <si>
    <t>R37X5EA06A1RTB</t>
  </si>
  <si>
    <t>Silicone Case</t>
  </si>
  <si>
    <t>RA7X80269YXCLB</t>
  </si>
  <si>
    <t>Slim Impression Case</t>
  </si>
  <si>
    <t>Keith Harring Collab</t>
  </si>
  <si>
    <t>GP22SEIN170565</t>
  </si>
  <si>
    <t>Sticky Monster Lab Friends</t>
  </si>
  <si>
    <t>GP22SEIN170568</t>
  </si>
  <si>
    <t>GP22SEIN131089</t>
  </si>
  <si>
    <t>RA7WC014G3XCLB</t>
  </si>
  <si>
    <t>Lemon</t>
  </si>
  <si>
    <t>RA7X802NPEXCLB</t>
  </si>
  <si>
    <t>Smiley Collab</t>
  </si>
  <si>
    <t>RA7X1575K4XSMB</t>
  </si>
  <si>
    <t>RA7WC04B27XHCB</t>
  </si>
  <si>
    <t>Gray (S24 FE)</t>
  </si>
  <si>
    <t>RA7X8030L1XCLB</t>
  </si>
  <si>
    <t>RA7WC51Y6YXSMB</t>
  </si>
  <si>
    <t>RA7X9018VRXHCB</t>
  </si>
  <si>
    <t>Smiley Pink</t>
  </si>
  <si>
    <t>GP22SEIN131085</t>
  </si>
  <si>
    <t>Marvel Collab</t>
  </si>
  <si>
    <t>GP22SEIN135588</t>
  </si>
  <si>
    <t>Smiley Yellow</t>
  </si>
  <si>
    <t>GP22SEIN170571</t>
  </si>
  <si>
    <t>RF7X6HACLX1RTB</t>
  </si>
  <si>
    <t>YURA</t>
  </si>
  <si>
    <t>RA7WC5248PXSMB</t>
  </si>
  <si>
    <t>RA7X155V9PXSMB</t>
  </si>
  <si>
    <t>Paris 2024 Galaxy Z Flip6</t>
  </si>
  <si>
    <t>Athleisure Band</t>
  </si>
  <si>
    <t>Pastel Blue</t>
  </si>
  <si>
    <t>RA7X600SK2XKKB</t>
  </si>
  <si>
    <t>VIDI</t>
  </si>
  <si>
    <t>Smiley Collab (Z Flip 6)</t>
  </si>
  <si>
    <t>Keith Harring Collab (Z Flip 6)</t>
  </si>
  <si>
    <t>RA7X607CSEXHCB</t>
  </si>
  <si>
    <t>Dikasih ke Jovial</t>
  </si>
  <si>
    <t>Sport Band</t>
  </si>
  <si>
    <t>Cream</t>
  </si>
  <si>
    <t>RA7X6007LKXLXB</t>
  </si>
  <si>
    <t>Silver Leather (Z Flip 6)</t>
  </si>
  <si>
    <t>RA7X60LYAFXHCB</t>
  </si>
  <si>
    <t>Gray Leather (Z Flip 6)</t>
  </si>
  <si>
    <t>RA7X60V63HXHCB</t>
  </si>
  <si>
    <t>Smiley Monster Lab</t>
  </si>
  <si>
    <t>RFAW91E1KGR</t>
  </si>
  <si>
    <t>Galaxy Watch 6 Classic</t>
  </si>
  <si>
    <t>RFAX414BNVB</t>
  </si>
  <si>
    <t>RFAX32LS40E</t>
  </si>
  <si>
    <t>RFAX4194CEW</t>
  </si>
  <si>
    <t>RFAX70EXVCN</t>
  </si>
  <si>
    <t>RFAX70EXV5T</t>
  </si>
  <si>
    <t>JOVIAL</t>
  </si>
  <si>
    <t>RFAX70EXSQA</t>
  </si>
  <si>
    <t>RFAX70EXSFD</t>
  </si>
  <si>
    <t>RFAX41FMX8V</t>
  </si>
  <si>
    <t>Galaxy Ring</t>
  </si>
  <si>
    <t>RF2XA0QWSMF</t>
  </si>
  <si>
    <t>N/A</t>
  </si>
  <si>
    <t>Titanium Silver</t>
  </si>
  <si>
    <t>RF2XA0S6J5M</t>
  </si>
  <si>
    <t>Galaxy S24+</t>
  </si>
  <si>
    <t>Gold</t>
  </si>
  <si>
    <t>NO BOX DEVICE ONLY</t>
  </si>
  <si>
    <t>Akbari</t>
  </si>
  <si>
    <t>RF7X800T3MJCIS</t>
  </si>
  <si>
    <t>Galaxy Tab S10+</t>
  </si>
  <si>
    <t>RR2X9007T8M</t>
  </si>
  <si>
    <t>RF7X801KRNFCIS</t>
  </si>
  <si>
    <t>RR2X9007N0H</t>
  </si>
  <si>
    <t>Galaxy S24 Ultra</t>
  </si>
  <si>
    <t>Jelita ( borrow ) 15 Oct 25</t>
  </si>
  <si>
    <t>Titanium Violet</t>
  </si>
  <si>
    <t>Amber Yellow</t>
  </si>
  <si>
    <t>Galaxy S24</t>
  </si>
  <si>
    <t>Galaxy A06</t>
  </si>
  <si>
    <t>Light Blue</t>
  </si>
  <si>
    <t>Galaxy S24 Base</t>
  </si>
  <si>
    <t>Galaxy Z Flip 6</t>
  </si>
  <si>
    <t>Galaxy A16</t>
  </si>
  <si>
    <t>Light Green</t>
  </si>
  <si>
    <t>GALAXY WATCH</t>
  </si>
  <si>
    <t>RFAX41S4CEW</t>
  </si>
  <si>
    <t>Cobalt Blue</t>
  </si>
  <si>
    <t>RFAXA29F4PE</t>
  </si>
  <si>
    <t>Galaxy Ring Sizing Kit</t>
  </si>
  <si>
    <t>RF7XA01E1QXINB</t>
  </si>
  <si>
    <t>Galaxy Flip Z6</t>
  </si>
  <si>
    <t>DETAVERY</t>
  </si>
  <si>
    <t>1 TB</t>
  </si>
  <si>
    <t>Galaxy S24 Plus</t>
  </si>
  <si>
    <t>Amber Yelow</t>
  </si>
  <si>
    <t>NO DEVICE BOX ONLY</t>
  </si>
  <si>
    <t>Galaxy Z Fold 6</t>
  </si>
  <si>
    <t>Crafted Black</t>
  </si>
  <si>
    <t>Case</t>
  </si>
  <si>
    <t>GP22SEIN170150</t>
  </si>
  <si>
    <t>NAURA</t>
  </si>
  <si>
    <t>GP22SEIN170152</t>
  </si>
  <si>
    <t>GP22SEIN170146</t>
  </si>
  <si>
    <t>BRANDON</t>
  </si>
  <si>
    <t>GP22SEIN135589</t>
  </si>
  <si>
    <t>GP22SEIN135587</t>
  </si>
  <si>
    <t>S PEN Case</t>
  </si>
  <si>
    <t>Buds Case</t>
  </si>
  <si>
    <t>GP22SEIN175768</t>
  </si>
  <si>
    <t>GP22SEIN01668</t>
  </si>
  <si>
    <t>GP22SEIN179316</t>
  </si>
  <si>
    <t>GP22SEIN179317</t>
  </si>
  <si>
    <t>DARIUS</t>
  </si>
  <si>
    <t>GALAXY RING</t>
  </si>
  <si>
    <t>RFAXA29FXEM</t>
  </si>
  <si>
    <t>RFAXB084WTJ</t>
  </si>
  <si>
    <t>Galaxy A16 5G</t>
  </si>
  <si>
    <t>256GB</t>
  </si>
  <si>
    <t>Blue Black</t>
  </si>
  <si>
    <t>Z Flip6</t>
  </si>
  <si>
    <t>MINT</t>
  </si>
  <si>
    <t>YELLOW</t>
  </si>
  <si>
    <t>SILVER</t>
  </si>
  <si>
    <t>RING</t>
  </si>
  <si>
    <t>TITANIUM BLACK</t>
  </si>
  <si>
    <t>RFAXB2GCPJX</t>
  </si>
  <si>
    <t>NON-RETURNABLE</t>
  </si>
  <si>
    <t>TITANIUM SILVER</t>
  </si>
  <si>
    <t>RF2XA0VQ9MK</t>
  </si>
  <si>
    <t>RF2XB0N9D1J</t>
  </si>
  <si>
    <t>RFAXB08326F</t>
  </si>
  <si>
    <t>RAISA</t>
  </si>
  <si>
    <t>RFAXA29HPNX</t>
  </si>
  <si>
    <t>TITANIUM GOLD</t>
  </si>
  <si>
    <t>RFAXA2EQ37W</t>
  </si>
  <si>
    <t>HAMISH</t>
  </si>
  <si>
    <t>RFAXA2EQ2YK</t>
  </si>
  <si>
    <t>ANYA</t>
  </si>
  <si>
    <t>Galaxy S25+</t>
  </si>
  <si>
    <t>Dark Blue</t>
  </si>
  <si>
    <t>Nadia Songra</t>
  </si>
  <si>
    <t>Vanesa Veronika</t>
  </si>
  <si>
    <t>Galaxy S25 Ultra</t>
  </si>
  <si>
    <t>Kiki</t>
  </si>
  <si>
    <t>Titanium Silver Blue</t>
  </si>
  <si>
    <t>Mada Ryanhadi</t>
  </si>
  <si>
    <t>Golds</t>
  </si>
  <si>
    <t>DIAN SASTRO</t>
  </si>
  <si>
    <t>Titanium Jadegreen</t>
  </si>
  <si>
    <t>Reza Febs</t>
  </si>
  <si>
    <t>ESTVSTRY</t>
  </si>
  <si>
    <t>Exist</t>
  </si>
  <si>
    <t>Titanium</t>
  </si>
  <si>
    <t>Angie William</t>
  </si>
  <si>
    <t>RA7Y107A38XHCB</t>
  </si>
  <si>
    <t>RA7Y107A30XHCB</t>
  </si>
  <si>
    <t>RA7XB034BAXYCB</t>
  </si>
  <si>
    <t>RA7XC04YVLXHCB</t>
  </si>
  <si>
    <t>RA7XC04YVEXHCB</t>
  </si>
  <si>
    <t>RA7XC04YVMXHCB</t>
  </si>
  <si>
    <t>RA7XC04YVGXHCB</t>
  </si>
  <si>
    <t>RA7XC03FPLXHCB</t>
  </si>
  <si>
    <t>Galaxy S25</t>
  </si>
  <si>
    <t>Icyblue</t>
  </si>
  <si>
    <t>Reregita</t>
  </si>
  <si>
    <t>Putri Taju</t>
  </si>
  <si>
    <t>TITANIUM PINKGOLD</t>
  </si>
  <si>
    <t>Dita Purba</t>
  </si>
  <si>
    <t>Rizal Ramdan</t>
  </si>
  <si>
    <t>Coral Red</t>
  </si>
  <si>
    <t>Clarestatok</t>
  </si>
  <si>
    <t>Sandi</t>
  </si>
  <si>
    <t>dr. Amien</t>
  </si>
  <si>
    <t>Mike Liu</t>
  </si>
  <si>
    <t>UNRETURNABLE</t>
  </si>
  <si>
    <t>Coralred</t>
  </si>
  <si>
    <t>Rezky Maulana</t>
  </si>
  <si>
    <t>Pinkgold</t>
  </si>
  <si>
    <t>ESTVSTUY</t>
  </si>
  <si>
    <t>Lyodra</t>
  </si>
  <si>
    <t>Sena Farids</t>
  </si>
  <si>
    <t>Titanium Silverblue</t>
  </si>
  <si>
    <t>Gunawan Sehru</t>
  </si>
  <si>
    <t>Titanium Whitesilver</t>
  </si>
  <si>
    <t>BERNADYA</t>
  </si>
  <si>
    <t>Hendra WL</t>
  </si>
  <si>
    <t>Vonzy</t>
  </si>
  <si>
    <t>Bernadya</t>
  </si>
  <si>
    <t>Jerome</t>
  </si>
  <si>
    <t>Joshua Ariel</t>
  </si>
  <si>
    <t>Martin</t>
  </si>
  <si>
    <t>Ariyo Bimo</t>
  </si>
  <si>
    <t>Kopitesiman</t>
  </si>
  <si>
    <t>Random Visit</t>
  </si>
  <si>
    <t>GALAXY A16</t>
  </si>
  <si>
    <t>128GB</t>
  </si>
  <si>
    <t>Returnable</t>
  </si>
  <si>
    <t>GALAXY A16 5G</t>
  </si>
  <si>
    <t>GALAXY A06</t>
  </si>
  <si>
    <t>ada</t>
  </si>
  <si>
    <t>Titanium Pinkgold</t>
  </si>
  <si>
    <t>Galaxy S4 FE</t>
  </si>
  <si>
    <t>Galaxy Watch7</t>
  </si>
  <si>
    <t>RFAX706BL2N</t>
  </si>
  <si>
    <t>RFAX70EBC5K</t>
  </si>
  <si>
    <t>KAK CHRISYE</t>
  </si>
  <si>
    <t>RFAX70F1H2T</t>
  </si>
  <si>
    <t>Samsung S24 Ultra</t>
  </si>
  <si>
    <t>Samsung S24 ULTRA</t>
  </si>
  <si>
    <t>Titatinum Yellow</t>
  </si>
  <si>
    <t>RFAX70F2BEH</t>
  </si>
  <si>
    <t>Galaxy A55 5G</t>
  </si>
  <si>
    <t>Awesome Lemon</t>
  </si>
  <si>
    <t>GALFEST</t>
  </si>
  <si>
    <t>Awesome Navy</t>
  </si>
  <si>
    <t>Awesome Iceblue</t>
  </si>
  <si>
    <t>AGATHA CHELSEA</t>
  </si>
  <si>
    <t>64GB</t>
  </si>
  <si>
    <t>Blue Back</t>
  </si>
  <si>
    <t>Sizing Kit</t>
  </si>
  <si>
    <t>RF7XA01DFCXINB</t>
  </si>
  <si>
    <t>Size 8</t>
  </si>
  <si>
    <t>RF7AXB084WTJ</t>
  </si>
  <si>
    <t>Size 12</t>
  </si>
  <si>
    <t>Size 7</t>
  </si>
  <si>
    <t>RFAXA2EQG7H</t>
  </si>
  <si>
    <t>Galaxy M15 5G</t>
  </si>
  <si>
    <t>125GB</t>
  </si>
  <si>
    <t>Grey</t>
  </si>
  <si>
    <t>512GB</t>
  </si>
  <si>
    <t>Marble Grey</t>
  </si>
  <si>
    <t>Galaxy S24 +</t>
  </si>
  <si>
    <t>Galaxy Buds3 Pro</t>
  </si>
  <si>
    <t>RF2X60ADPPX</t>
  </si>
  <si>
    <t>RF2X60B9BQF</t>
  </si>
  <si>
    <t>KOL</t>
  </si>
  <si>
    <t>VIOR</t>
  </si>
  <si>
    <t>RF2X60RRY4N</t>
  </si>
  <si>
    <t>RF2X60QS1CZ</t>
  </si>
  <si>
    <t>RF2X60QPXKR</t>
  </si>
  <si>
    <t>RF2X60QS0ER</t>
  </si>
  <si>
    <t>LYODRA</t>
  </si>
  <si>
    <t>RF2X60RWJZH</t>
  </si>
  <si>
    <t>TIARA ANDINI</t>
  </si>
  <si>
    <t>RF2X60QQPTV</t>
  </si>
  <si>
    <t>MICHAELACHEL</t>
  </si>
  <si>
    <t>RF2X60S2FNF</t>
  </si>
  <si>
    <t>RF2X60RVJ1R</t>
  </si>
  <si>
    <t>JEFFRY REKSA</t>
  </si>
  <si>
    <t>RF2X60PFBWJ</t>
  </si>
  <si>
    <t>VIDI ALDIANO</t>
  </si>
  <si>
    <t>RF2X60RVZ5R</t>
  </si>
  <si>
    <t>REZA DARMAWANGSA</t>
  </si>
  <si>
    <t>RF2X60RXW1J</t>
  </si>
  <si>
    <t>PEVITA PEARCE</t>
  </si>
  <si>
    <t>RF2X60BZTGJ</t>
  </si>
  <si>
    <t>RF2X60PG93Z</t>
  </si>
  <si>
    <t>RF2X60QRG9V</t>
  </si>
  <si>
    <t>RF2X60RVWJP</t>
  </si>
  <si>
    <t>DONNE</t>
  </si>
  <si>
    <t>RF2X60RRYQD</t>
  </si>
  <si>
    <t>ANDOVI</t>
  </si>
  <si>
    <t>RF2X60RV4YB</t>
  </si>
  <si>
    <t>RF2X60BEDWA</t>
  </si>
  <si>
    <t>ALEGEOR</t>
  </si>
  <si>
    <t>RF2X704HHRA</t>
  </si>
  <si>
    <t>RF2X60NJ5TH</t>
  </si>
  <si>
    <t>RF2X704H20N</t>
  </si>
  <si>
    <t>RF2X704H1GN</t>
  </si>
  <si>
    <t>RF2X60TEK1Z</t>
  </si>
  <si>
    <t>RF2X704HFZT</t>
  </si>
  <si>
    <t>ZIVA</t>
  </si>
  <si>
    <t>RF2X60W3BFP</t>
  </si>
  <si>
    <t>RF2X60W2R9B</t>
  </si>
  <si>
    <t>DIKTA</t>
  </si>
  <si>
    <t>RF2X704H7VY</t>
  </si>
  <si>
    <t>RF2X60KSTXV</t>
  </si>
  <si>
    <t>RF2X704DT2R</t>
  </si>
  <si>
    <t>CAITLIN HALDERMAN</t>
  </si>
  <si>
    <t>RF2X60KS0MP</t>
  </si>
  <si>
    <t>TOMMY TEDJA</t>
  </si>
  <si>
    <t>RF2X60NCLVX</t>
  </si>
  <si>
    <t>RF2X60NG29T</t>
  </si>
  <si>
    <t>RF2X60NDGWD</t>
  </si>
  <si>
    <t>RF2X60NDH9M</t>
  </si>
  <si>
    <t>RF2X60PPNYE</t>
  </si>
  <si>
    <t>RF2X60NCLJN</t>
  </si>
  <si>
    <t>RF2X60NG3MB</t>
  </si>
  <si>
    <t>DINDA SOEKMANO</t>
  </si>
  <si>
    <t>RR2X9007NYM</t>
  </si>
  <si>
    <t>RR2X900BHCP</t>
  </si>
  <si>
    <t>HARDANTI</t>
  </si>
  <si>
    <t>ACCESSORIES</t>
  </si>
  <si>
    <t>Standing Grip Case S25</t>
  </si>
  <si>
    <t>RA7XC0ALZ3XYCB</t>
  </si>
  <si>
    <t>Standing Grip Case S25+</t>
  </si>
  <si>
    <t>RA7XC0AZ6KXYCB</t>
  </si>
  <si>
    <t>RA7XC0BH5EXYCB</t>
  </si>
  <si>
    <t>Flipsuit Case S25+</t>
  </si>
  <si>
    <t>Keith Harring</t>
  </si>
  <si>
    <t>RA7XC04YVVXHCB</t>
  </si>
  <si>
    <t>Flipsuit Case S25</t>
  </si>
  <si>
    <t>RA7XC0CSA3XHCB</t>
  </si>
  <si>
    <t>RA7XB0336BXYCB</t>
  </si>
  <si>
    <t>Standing Grip Case S25 Ultra</t>
  </si>
  <si>
    <t>RA7XB05CT1XYCB</t>
  </si>
  <si>
    <t>RA7XC0Q9Q1XHCB</t>
  </si>
  <si>
    <t>RA7XC03FPCXHCB</t>
  </si>
  <si>
    <t>Flipsuit S25</t>
  </si>
  <si>
    <t>Brown</t>
  </si>
  <si>
    <t>RA7XC05LKCXHCB</t>
  </si>
  <si>
    <t>Flipsuit S25 Ultra</t>
  </si>
  <si>
    <t>RA7XC0MP94XHCB</t>
  </si>
  <si>
    <t>Kindsuit Case S25 Ultra</t>
  </si>
  <si>
    <t>RA7XC0MYVDXHCB</t>
  </si>
  <si>
    <t>RA7XC03CJLXHCB</t>
  </si>
  <si>
    <t>Flipsuit Case S25 Ultra</t>
  </si>
  <si>
    <t>RA7Y107A2BXHCB</t>
  </si>
  <si>
    <t>Kindsuit Case S25</t>
  </si>
  <si>
    <t>RA7XC05WR2XHCB</t>
  </si>
  <si>
    <t>Kindsuit Case S25+</t>
  </si>
  <si>
    <t>RA7XC0762BXHCB</t>
  </si>
  <si>
    <t>Silicone Case S25+</t>
  </si>
  <si>
    <t>RA7XC027P6XHCB</t>
  </si>
  <si>
    <t>Silicone Case S25</t>
  </si>
  <si>
    <t>Red</t>
  </si>
  <si>
    <t>RA7XC0AT9KXHCB</t>
  </si>
  <si>
    <t>RA7XC0BTMRXHCB</t>
  </si>
  <si>
    <t>Silicone Case S25 Ultra</t>
  </si>
  <si>
    <t>RA7XC0K061XHCB</t>
  </si>
  <si>
    <t>RA7XC011SPXHCB</t>
  </si>
  <si>
    <t>RA7XC05D16XHCB</t>
  </si>
  <si>
    <t>RA7XC05HLXXHCB</t>
  </si>
  <si>
    <t>RA7XC077SDXHCB</t>
  </si>
  <si>
    <t>RA7XC0F6SYXHCB</t>
  </si>
  <si>
    <t>RA7XC086AQXHCB</t>
  </si>
  <si>
    <t>RA7XC08TNRXHCB</t>
  </si>
  <si>
    <t>RA7XC0AQ84XHCB</t>
  </si>
  <si>
    <t>RA7XC0C2LLXHCB</t>
  </si>
  <si>
    <t>RA7XC02QWNXHCB</t>
  </si>
  <si>
    <t>RA7XC09AD3XHCB</t>
  </si>
  <si>
    <t>RA7XC01X1MXHCB</t>
  </si>
  <si>
    <t>RA7XC08NWCXHCB</t>
  </si>
  <si>
    <t>RFAX70SEBAP</t>
  </si>
  <si>
    <t>Galaxy Buds3</t>
  </si>
  <si>
    <t>RFAX708RMXR</t>
  </si>
  <si>
    <t>RFAX706V5NX</t>
  </si>
  <si>
    <t>RF2X60M2LJT</t>
  </si>
  <si>
    <t>ADIB</t>
  </si>
  <si>
    <t>RFAX60ENP8E</t>
  </si>
  <si>
    <t>Army</t>
  </si>
  <si>
    <t>RFAX706CFHZ</t>
  </si>
  <si>
    <t>Awesome Lilac</t>
  </si>
  <si>
    <t>Venni</t>
  </si>
  <si>
    <t>RFAX70F1DYR</t>
  </si>
  <si>
    <t>NINDI DEWI</t>
  </si>
  <si>
    <t>RFAX70F1HRW</t>
  </si>
  <si>
    <t>SHAVIRA</t>
  </si>
  <si>
    <t>RFAX60ENR2M</t>
  </si>
  <si>
    <t>FELICYA</t>
  </si>
  <si>
    <t>RFAX70BPLVY</t>
  </si>
  <si>
    <t>Galaxy A35 5G</t>
  </si>
  <si>
    <t>rr2</t>
  </si>
  <si>
    <t>RFAX706XHMD</t>
  </si>
  <si>
    <t>RFAX70SF40T</t>
  </si>
  <si>
    <t>RFAX70S56FY</t>
  </si>
  <si>
    <t>RF7X8020PAWCIS</t>
  </si>
  <si>
    <t>Galaxy A06 5G</t>
  </si>
  <si>
    <t>with kol</t>
  </si>
  <si>
    <t>hecawm</t>
  </si>
  <si>
    <t>regi</t>
  </si>
  <si>
    <t>Light Gray</t>
  </si>
  <si>
    <t>lutfi</t>
  </si>
  <si>
    <t>ZARR</t>
  </si>
  <si>
    <t>MERI</t>
  </si>
  <si>
    <t>astin</t>
  </si>
  <si>
    <t>25W Power Adapter</t>
  </si>
  <si>
    <t>RF7Y1AKF0P1HMB</t>
  </si>
  <si>
    <t>RF7Y1AKAC01HMB</t>
  </si>
  <si>
    <t>APS Casing Crocs</t>
  </si>
  <si>
    <t>Crocs</t>
  </si>
  <si>
    <t>GP22SEIN191236</t>
  </si>
  <si>
    <t>GP22SEIN191241</t>
  </si>
  <si>
    <t>GP22SEIN191235</t>
  </si>
  <si>
    <t>GP22SEIN191242</t>
  </si>
  <si>
    <t>GP22SEIN191237</t>
  </si>
  <si>
    <t>GP22SEIN191238</t>
  </si>
  <si>
    <t>APS Casing</t>
  </si>
  <si>
    <t>Clear</t>
  </si>
  <si>
    <t>GP22SEIN19719U</t>
  </si>
  <si>
    <t>VONZY</t>
  </si>
  <si>
    <t>RR2X9007DPM</t>
  </si>
  <si>
    <t>ULLAHOOPS</t>
  </si>
  <si>
    <t>RF7X801KXGECIS</t>
  </si>
  <si>
    <t>Galaxy Tab S10 Ultra</t>
  </si>
  <si>
    <t>RR2X900C13R</t>
  </si>
  <si>
    <t>RR2X9007PKZ</t>
  </si>
  <si>
    <t>Rugged Case Galaxy S25 Ultra</t>
  </si>
  <si>
    <t>RA7Y151HBYXSMB</t>
  </si>
  <si>
    <t>Silicone Case Galaxy S25+</t>
  </si>
  <si>
    <t>RA7XC0EFBDXHCB</t>
  </si>
  <si>
    <t>Standing Grip Case Galaxy S25+</t>
  </si>
  <si>
    <t>RA7XB0348EXYCB</t>
  </si>
  <si>
    <t>Silicone Case Galaxy S25</t>
  </si>
  <si>
    <t>RA7XC0AT9HXHCB</t>
  </si>
  <si>
    <t>RA7XC09ADQXHCB</t>
  </si>
  <si>
    <t>RA7XC0ANLDXHCB</t>
  </si>
  <si>
    <t>RA7XC0BTRPXHCB</t>
  </si>
  <si>
    <t>Silicone Case Galaxy S25 Ultra</t>
  </si>
  <si>
    <t>RA7XC08NX5XHCB</t>
  </si>
  <si>
    <t>Kindsuit Case Galaxy S25 Ultra</t>
  </si>
  <si>
    <t>RA7XC0MYVNXHCB</t>
  </si>
  <si>
    <t>RA7XC08TNPXHCB</t>
  </si>
  <si>
    <t>RA7XC04K0HXHCB</t>
  </si>
  <si>
    <t>RA7XC0JZRFXHCB</t>
  </si>
  <si>
    <t>Kindsuit Case Galaxy S25</t>
  </si>
  <si>
    <t>RA7XC05LEAXHCB</t>
  </si>
  <si>
    <t>Flipsuit Case Galaxy S25 Ultra</t>
  </si>
  <si>
    <t>RA7XC055JQXHCB</t>
  </si>
  <si>
    <t>Flipsuit Case Galaxy S25+</t>
  </si>
  <si>
    <t>RA7XC04YVJXHCB</t>
  </si>
  <si>
    <t>Standing Grip Galaxy S25 Ultra</t>
  </si>
  <si>
    <t>RA7XB05CSYXYCB</t>
  </si>
  <si>
    <t>RA7XC0MP93XHCB</t>
  </si>
  <si>
    <t>RA7XC05W7EXHCB</t>
  </si>
  <si>
    <t>Kindsuit Case Galaxy S25+</t>
  </si>
  <si>
    <t>RA7XC075Q1XHCB</t>
  </si>
  <si>
    <t>RA7XC01XAKXHCB</t>
  </si>
  <si>
    <t>Standing Grip Galaxy S25+</t>
  </si>
  <si>
    <t>RA7XC0AZ3TXYCB</t>
  </si>
  <si>
    <t>Rugged</t>
  </si>
  <si>
    <t>RA7Y1079W3XHCB</t>
  </si>
  <si>
    <t>RA7XC02QE1XHCB</t>
  </si>
  <si>
    <t>Standing Grip Case Galaxy S25</t>
  </si>
  <si>
    <t>RA7XB04XGNXYCB</t>
  </si>
  <si>
    <t>Rugged Case Galaxy S25</t>
  </si>
  <si>
    <t>RA7Y1527KWXSMB</t>
  </si>
  <si>
    <t>RA7XC012JEXHCB</t>
  </si>
  <si>
    <t>RA7XC03FPRXHCB</t>
  </si>
  <si>
    <t>RA7XC0F6S5XHCB</t>
  </si>
  <si>
    <t>RA7XC05HRSXHCB</t>
  </si>
  <si>
    <t>RA7XC027SFXHCB</t>
  </si>
  <si>
    <t>RA7XC05CVZXHCB</t>
  </si>
  <si>
    <t>RA7XC077VWXHCB</t>
  </si>
  <si>
    <t>RA7XC0KR7CXHCB</t>
  </si>
  <si>
    <t>Flipsuit Case Galaxy S25</t>
  </si>
  <si>
    <t>RA7XC0CSFSXHCB</t>
  </si>
  <si>
    <t>RA7XC03CJYXHCB</t>
  </si>
  <si>
    <t>RA7XC0C2LZXHCB</t>
  </si>
  <si>
    <t>Galaxy SmartTag2</t>
  </si>
  <si>
    <t>RF7XBDBB2ZXAMB</t>
  </si>
  <si>
    <t>RF7Y19V5K31HMB</t>
  </si>
  <si>
    <t>RF7XBAB3K9XAMB</t>
  </si>
  <si>
    <t>RF7Y19VADB1HMB</t>
  </si>
  <si>
    <t>RF7XBDBB6PXAMB</t>
  </si>
  <si>
    <t>RF7Y19V0JK1HMB</t>
  </si>
  <si>
    <t>SELVY KOTO</t>
  </si>
  <si>
    <t>Stacy</t>
  </si>
  <si>
    <t>Sherly</t>
  </si>
  <si>
    <t>Cerita Ibun</t>
  </si>
  <si>
    <t>HANDPHONE - APS</t>
  </si>
  <si>
    <t>Galaxy A36 5G</t>
  </si>
  <si>
    <t>Awesome White</t>
  </si>
  <si>
    <t>Claraksu</t>
  </si>
  <si>
    <t>Awesome Lime</t>
  </si>
  <si>
    <t>Awesome Lavender</t>
  </si>
  <si>
    <t>Tab A9+</t>
  </si>
  <si>
    <t>R9WW80C8S7F</t>
  </si>
  <si>
    <t>R9WW80C850V</t>
  </si>
  <si>
    <t>Galaxy A56 5G</t>
  </si>
  <si>
    <t>Awesome Graphite</t>
  </si>
  <si>
    <t>AKBAR NUGROHO</t>
  </si>
  <si>
    <t>TBC</t>
  </si>
  <si>
    <t>Galaxy S25 Ultra Crocs Case</t>
  </si>
  <si>
    <t>angie</t>
  </si>
  <si>
    <t>jerome</t>
  </si>
  <si>
    <t>Awesome Pink</t>
  </si>
  <si>
    <t>done ts</t>
  </si>
  <si>
    <t>Awesome Lightgray</t>
  </si>
  <si>
    <t>cete</t>
  </si>
  <si>
    <t>chelsea shakira</t>
  </si>
  <si>
    <t>lost</t>
  </si>
  <si>
    <t>Awesome Olive</t>
  </si>
  <si>
    <t>Liquid Vadella</t>
  </si>
  <si>
    <t>Awesome Black</t>
  </si>
  <si>
    <t>liquid aran</t>
  </si>
  <si>
    <t>liquid gabian</t>
  </si>
  <si>
    <t>Julian Murphy</t>
  </si>
  <si>
    <t>kyou</t>
  </si>
  <si>
    <t>qamara</t>
  </si>
  <si>
    <t>sydney</t>
  </si>
  <si>
    <t>Awesome Grapghite</t>
  </si>
  <si>
    <t>LIQUID FAVIAN</t>
  </si>
  <si>
    <t>LIQUID WIDY</t>
  </si>
  <si>
    <t>liquid aeronn</t>
  </si>
  <si>
    <t>RFAY308HR1H</t>
  </si>
  <si>
    <t>64 GB</t>
  </si>
  <si>
    <t>Ansellma</t>
  </si>
  <si>
    <t>Dikta</t>
  </si>
  <si>
    <t>Galaxy A06 5G PACKAGE</t>
  </si>
  <si>
    <t>Okta</t>
  </si>
  <si>
    <t>Galaxy A26 5G</t>
  </si>
  <si>
    <t>ANDRA</t>
  </si>
  <si>
    <t>WILLIAM GZ</t>
  </si>
  <si>
    <t>Peach Pink</t>
  </si>
  <si>
    <t>Vallerie</t>
  </si>
  <si>
    <t>Lunettha</t>
  </si>
  <si>
    <t>NAYYA</t>
  </si>
  <si>
    <t>Samsung Galaxy S25</t>
  </si>
  <si>
    <t>BACK TO SEIN</t>
  </si>
  <si>
    <t>Hanif</t>
  </si>
  <si>
    <t>done timestamp</t>
  </si>
  <si>
    <t>Galaxy S25 Ultra ( Milik Gita )</t>
  </si>
  <si>
    <t>Titanium White Silver</t>
  </si>
  <si>
    <t>Galaxy Tab S10 FE+</t>
  </si>
  <si>
    <t>RR2Y400B35P</t>
  </si>
  <si>
    <t>RR2Y400BKAT</t>
  </si>
  <si>
    <t>Galaxy Tab S10 FE</t>
  </si>
  <si>
    <t>RR2Y400H2MF</t>
  </si>
  <si>
    <t>RR2Y400H6QY</t>
  </si>
  <si>
    <t>GRAY</t>
  </si>
  <si>
    <t>Galaxy Watch Ultra</t>
  </si>
  <si>
    <t>RFAXB0ZWSJK</t>
  </si>
  <si>
    <t>RFAXB0VKVZM</t>
  </si>
  <si>
    <t>Tab S10 FE Book Cover</t>
  </si>
  <si>
    <t>RF7Y302LV3XCIS</t>
  </si>
  <si>
    <t>Galaxy S25 EDGE</t>
  </si>
  <si>
    <t>Locker Mas Reza</t>
  </si>
  <si>
    <t>Govinda Rumi</t>
  </si>
  <si>
    <t>DI MAS REZAVI MAS REZARY</t>
  </si>
  <si>
    <t>Dari Mas Reza</t>
  </si>
  <si>
    <t>Delvin Yau</t>
  </si>
  <si>
    <t>Titanium Icyblue</t>
  </si>
  <si>
    <t>Nabila Ishma</t>
  </si>
  <si>
    <t>Velania</t>
  </si>
  <si>
    <t>Titanium Jet Black</t>
  </si>
  <si>
    <t>Arghie Hanafi</t>
  </si>
  <si>
    <t>hptografi</t>
  </si>
  <si>
    <t>adhinkas</t>
  </si>
  <si>
    <t>WIth Ekky</t>
  </si>
  <si>
    <t>Bryan Domani</t>
  </si>
  <si>
    <t>Book Cover Keyboard Galaxy Tab S10 FE</t>
  </si>
  <si>
    <t>RF7Y301W18ZCIS</t>
  </si>
  <si>
    <t>Galaxy Fold 6</t>
  </si>
  <si>
    <t>Peach</t>
  </si>
  <si>
    <t>Galaxy S25 Edge</t>
  </si>
  <si>
    <t>Mahalini</t>
  </si>
  <si>
    <t>Ariel Tatum</t>
  </si>
  <si>
    <t>Standby</t>
  </si>
  <si>
    <t>Titanium Jetblack</t>
  </si>
  <si>
    <t>Febby Rastanti</t>
  </si>
  <si>
    <t>MINDSHARE</t>
  </si>
  <si>
    <t>KAMAL</t>
  </si>
  <si>
    <t>hptografi (product use)</t>
  </si>
  <si>
    <t>Lucas</t>
  </si>
  <si>
    <t>hptografi (gift)</t>
  </si>
  <si>
    <t>Mada</t>
  </si>
  <si>
    <t>Acipa</t>
  </si>
  <si>
    <t>Abby Moris</t>
  </si>
  <si>
    <t>Reza Darmawangsa</t>
  </si>
  <si>
    <t>Xaxa</t>
  </si>
  <si>
    <t>Anthon Sky</t>
  </si>
  <si>
    <t>Shavira</t>
  </si>
  <si>
    <t>UNRETURNED</t>
  </si>
  <si>
    <t>Diterima dari Martin 23May 25</t>
  </si>
  <si>
    <t>Bram Hansel</t>
  </si>
  <si>
    <t>3549221300002477</t>
  </si>
  <si>
    <t>RETURNED</t>
  </si>
  <si>
    <t>Drop Off</t>
  </si>
  <si>
    <t>Ferry Ferdiansyah</t>
  </si>
  <si>
    <t>Coach Zeys</t>
  </si>
  <si>
    <t>Dico Ricardo</t>
  </si>
  <si>
    <t>BRYAN DOMANI</t>
  </si>
  <si>
    <t>Sudah di SEIN Arief</t>
  </si>
  <si>
    <t>Charles Stevent</t>
  </si>
  <si>
    <t>GALAXY FOLD 7</t>
  </si>
  <si>
    <t>Reza Angga</t>
  </si>
  <si>
    <t>Blue Shadow</t>
  </si>
  <si>
    <t>Jet Black</t>
  </si>
  <si>
    <t>FENNY</t>
  </si>
  <si>
    <t>GALAXY Z-FLIP 7</t>
  </si>
  <si>
    <t>Fenny</t>
  </si>
  <si>
    <t>GALAXY WATCH8</t>
  </si>
  <si>
    <t>WHITE</t>
  </si>
  <si>
    <t>RFAY70836SH</t>
  </si>
  <si>
    <t>ANDY GARCIA</t>
  </si>
  <si>
    <t>GALAXY WATCH8 CLASSIC</t>
  </si>
  <si>
    <t>RFAY70836YJ</t>
  </si>
  <si>
    <t>BLACK</t>
  </si>
  <si>
    <t>RFAY61TZ83X</t>
  </si>
  <si>
    <t>REYNOLD</t>
  </si>
  <si>
    <t>RFAY61XFRSL</t>
  </si>
  <si>
    <t>RFAY70WSTWA</t>
  </si>
  <si>
    <t>TIKTOK - MS</t>
  </si>
  <si>
    <t>RFAY70WT5JY</t>
  </si>
  <si>
    <t>wa67t</t>
  </si>
  <si>
    <t>RFAY70WSNYW</t>
  </si>
  <si>
    <t>ANDREW</t>
  </si>
  <si>
    <t>RFAY6197JCB</t>
  </si>
  <si>
    <t>Andrew</t>
  </si>
  <si>
    <t>From Mas Andrew</t>
  </si>
  <si>
    <t>RFAY702PNAD</t>
  </si>
  <si>
    <t>ADE RAI</t>
  </si>
  <si>
    <t>LIGHT GREY</t>
  </si>
  <si>
    <t>RFAY619828J</t>
  </si>
  <si>
    <t>GALAXY S25+</t>
  </si>
  <si>
    <t>PINK GOLD</t>
  </si>
  <si>
    <t>GALAXY Z FOLD 7</t>
  </si>
  <si>
    <t>BOX ONLY</t>
  </si>
  <si>
    <t>BLUESHADOW</t>
  </si>
  <si>
    <t>Galaxy Z Flip7</t>
  </si>
  <si>
    <t>Jetblack</t>
  </si>
  <si>
    <t>RFAXB08467L</t>
  </si>
  <si>
    <t>BLUE SHADOW</t>
  </si>
  <si>
    <t>Galaxy Z Fold7</t>
  </si>
  <si>
    <t>RFAY61XEVDL</t>
  </si>
  <si>
    <t>RFAY708389W</t>
  </si>
  <si>
    <t>SADAM</t>
  </si>
  <si>
    <t>SABIAN</t>
  </si>
  <si>
    <t>RFAY70WA67T</t>
  </si>
  <si>
    <t>DR ANDREAS</t>
  </si>
  <si>
    <t>RFAY70WT1VW</t>
  </si>
  <si>
    <t>CAITLIN</t>
  </si>
  <si>
    <t>RFAY61XK05E</t>
  </si>
  <si>
    <t>RFAY70T7CSD</t>
  </si>
  <si>
    <t>RFAY70T5M3K</t>
  </si>
  <si>
    <t>RFAY70WSK9K</t>
  </si>
  <si>
    <t>ZEE</t>
  </si>
  <si>
    <t>RFA770WA8FX</t>
  </si>
  <si>
    <t>R3AY100HNGY</t>
  </si>
  <si>
    <t>RFAY61XK0SP</t>
  </si>
  <si>
    <t>RFAY61XK5SV</t>
  </si>
  <si>
    <t>RFAY61XFRVJ</t>
  </si>
  <si>
    <t>TO GOFIT</t>
  </si>
  <si>
    <t>RFAY61XFSCJ</t>
  </si>
  <si>
    <t>RFAY61XAP5L</t>
  </si>
  <si>
    <t>RFAY61XEQAT</t>
  </si>
  <si>
    <t>RFA7Y70836DL</t>
  </si>
  <si>
    <t>RFAY70835XZ</t>
  </si>
  <si>
    <t>RFAY6197JTN</t>
  </si>
  <si>
    <t>CINDY GULLA</t>
  </si>
  <si>
    <t>GALAXY A56</t>
  </si>
  <si>
    <t>LIGHT PINK</t>
  </si>
  <si>
    <t>GALAXY A07</t>
  </si>
  <si>
    <t>LIGHT VIOLET</t>
  </si>
  <si>
    <t>GREEN</t>
  </si>
  <si>
    <t>GALAXY A17 5G</t>
  </si>
  <si>
    <t>GALAXY TAB S10 LITE</t>
  </si>
  <si>
    <t>BOOK COVER KEYBOARD</t>
  </si>
  <si>
    <t>BOOK COVER GALAXY TAB S10 LITE</t>
  </si>
  <si>
    <t>RF7Y74PD3EXHBB</t>
  </si>
  <si>
    <t>i</t>
  </si>
  <si>
    <t>CORALRED</t>
  </si>
  <si>
    <t>RR2Y9002RXE</t>
  </si>
  <si>
    <t>RF7Y74PD3KXHBB</t>
  </si>
  <si>
    <t>RR2Y9002NDM</t>
  </si>
  <si>
    <t>GWEN &amp; MEMET</t>
  </si>
  <si>
    <t>RF7Y74PD3NXHBB</t>
  </si>
  <si>
    <t>RF7Y74PD3FXHBB</t>
  </si>
  <si>
    <t>G S25</t>
  </si>
  <si>
    <t>G S25+</t>
  </si>
  <si>
    <t>ICYBLUE</t>
  </si>
  <si>
    <t>G S25 EDGE</t>
  </si>
  <si>
    <t>G S25 EDGE (UNIT ONLY)</t>
  </si>
  <si>
    <t>G S24 FE</t>
  </si>
  <si>
    <t>G S25 FE</t>
  </si>
  <si>
    <t>shavira wangsa (10 sept)</t>
  </si>
  <si>
    <t>vanessa veronica (10 sept)</t>
  </si>
  <si>
    <t>Cailtin Halderman (11 Sept)</t>
  </si>
  <si>
    <t>Shadira Firdausi (11 Sept)</t>
  </si>
  <si>
    <t>JET BLACK</t>
  </si>
  <si>
    <t>Frederick Yong (11 Sept)</t>
  </si>
  <si>
    <t>William robert (11 sept)</t>
  </si>
  <si>
    <t>NAVY</t>
  </si>
  <si>
    <t>shara wangsa (10 sept)</t>
  </si>
  <si>
    <t>Clara Lianis (11 sept)</t>
  </si>
  <si>
    <t>Taufanoz (11 sept)</t>
  </si>
  <si>
    <t>Bryan Domani (11 sept)</t>
  </si>
  <si>
    <t>Naykilla (11 Sept)</t>
  </si>
  <si>
    <t>Marvelline Grace (11 Sept)</t>
  </si>
  <si>
    <t>Mivia (11 Sept)</t>
  </si>
  <si>
    <t>Angie William (24 sept)</t>
  </si>
  <si>
    <t>CINTA (R&amp;C)</t>
  </si>
  <si>
    <t>Joe Arde</t>
  </si>
  <si>
    <t>Arya Gusti</t>
  </si>
  <si>
    <t>RANGGA (R&amp;C)</t>
  </si>
  <si>
    <t>Kelvin Steviano</t>
  </si>
  <si>
    <t>Charles Studio</t>
  </si>
  <si>
    <t>MINDSHARE - KAMAL</t>
  </si>
  <si>
    <t>ANGEL</t>
  </si>
  <si>
    <t>BUDS3 FE</t>
  </si>
  <si>
    <t>RF2Y8066MQW</t>
  </si>
  <si>
    <t>RF2Y80002DT</t>
  </si>
  <si>
    <t>RF2Y80005MN</t>
  </si>
  <si>
    <t>SENT TO CLIENT (19/1)</t>
  </si>
  <si>
    <t>RF2Y800003V</t>
  </si>
  <si>
    <t>RF2Y8066N9D</t>
  </si>
  <si>
    <t>WITH OLIV</t>
  </si>
  <si>
    <t>RF2Y8066E6X</t>
  </si>
  <si>
    <t>locker</t>
  </si>
  <si>
    <t>RF2Y8066D0W</t>
  </si>
  <si>
    <t>RF2Y80003VP</t>
  </si>
  <si>
    <t>NAURA AYU</t>
  </si>
  <si>
    <t>JEZNEEL</t>
  </si>
  <si>
    <t>WATCH</t>
  </si>
  <si>
    <t>G S24 Ultra</t>
  </si>
  <si>
    <t>1TB</t>
  </si>
  <si>
    <t>putri taaju</t>
  </si>
  <si>
    <t>GALANG GANJAR</t>
  </si>
  <si>
    <t>Dony Setiawan</t>
  </si>
  <si>
    <t>KEVIN PRAMUDYA</t>
  </si>
  <si>
    <t>BRAM HANSEL</t>
  </si>
  <si>
    <t>Jakselepruv (Andreas Prasetya)</t>
  </si>
  <si>
    <t>Ariel Nursan</t>
  </si>
  <si>
    <t>TASYA SHAKIRA</t>
  </si>
  <si>
    <t>AMHA</t>
  </si>
  <si>
    <t>KRISTA</t>
  </si>
  <si>
    <t>S24 FE</t>
  </si>
  <si>
    <t>RFAY82AHSRB</t>
  </si>
  <si>
    <t>RFAY81CT92X</t>
  </si>
  <si>
    <t>RFAY81CWAVD</t>
  </si>
  <si>
    <t>RFAY82E4KDT</t>
  </si>
  <si>
    <t>RFAY82DZPSV</t>
  </si>
  <si>
    <t>RFAY82E3XNL</t>
  </si>
  <si>
    <t>RFAY82DZR8A</t>
  </si>
  <si>
    <t>RFAY82DZRHT</t>
  </si>
  <si>
    <t>RFAY82DZPZB</t>
  </si>
  <si>
    <t>RFAY82E3WWY</t>
  </si>
  <si>
    <t>GALAXY TAB S11 Ultra 5G</t>
  </si>
  <si>
    <t>kol</t>
  </si>
  <si>
    <t>titipan dikirim abi</t>
  </si>
  <si>
    <t>Book Cover Keyboard S11 Ultra</t>
  </si>
  <si>
    <t>RF7Y803M23KCIS</t>
  </si>
  <si>
    <t>RF7Y803M0LYCIS</t>
  </si>
  <si>
    <t>Galaxy Buds Core</t>
  </si>
  <si>
    <t>R8A70T6GLE</t>
  </si>
  <si>
    <t>DEFIRA</t>
  </si>
  <si>
    <t>RF7Y803M0XNCIS</t>
  </si>
  <si>
    <t>Reza</t>
  </si>
  <si>
    <t>COVER -GALAXY TAB S11 Ultra 5G</t>
  </si>
  <si>
    <t>RF7Y900171KCIS</t>
  </si>
  <si>
    <t>REZA FEBS</t>
  </si>
  <si>
    <t>Galaxy Tab S10 Lite</t>
  </si>
  <si>
    <t>RR2Y9001QCX</t>
  </si>
  <si>
    <t>Priscilla Raintung</t>
  </si>
  <si>
    <t>Galaxy Tab S10 Lite Book Cover</t>
  </si>
  <si>
    <t>RF7Y84NXMPXHBB</t>
  </si>
  <si>
    <t>RR2Y9002QVD</t>
  </si>
  <si>
    <t>RF7Y84NXKSXHBB</t>
  </si>
  <si>
    <t>KAMAL RASYID</t>
  </si>
  <si>
    <t>RF7Y84NXKTXHBB</t>
  </si>
  <si>
    <t>RR2Y90026JX</t>
  </si>
  <si>
    <t>RR2Y9002MTK</t>
  </si>
  <si>
    <t>RF7Y84NXM6XHBB</t>
  </si>
  <si>
    <t>RR2Y9002DVZ</t>
  </si>
  <si>
    <t>RFAY80SDDNY</t>
  </si>
  <si>
    <t>ARGHIE HANAFI</t>
  </si>
  <si>
    <t>RFAY80DTCNY</t>
  </si>
  <si>
    <t>RFAY80SDGBH</t>
  </si>
  <si>
    <t>13-Okt-25</t>
  </si>
  <si>
    <t>GITA</t>
  </si>
  <si>
    <t>Galaxy Tab A11</t>
  </si>
  <si>
    <t>R9RY90ACLKZ</t>
  </si>
  <si>
    <t>R9RY90ACLLT</t>
  </si>
  <si>
    <t>R9RY90ACWFB</t>
  </si>
  <si>
    <t>R9RY90ACS9F</t>
  </si>
  <si>
    <t>NANDA</t>
  </si>
  <si>
    <t>Buds3 FE</t>
  </si>
  <si>
    <t>RFAY80DTWRL</t>
  </si>
  <si>
    <t>JEVIN JULIAN</t>
  </si>
  <si>
    <t>Galaxy Tab S11</t>
  </si>
  <si>
    <t>JEVIN JULIAM</t>
  </si>
  <si>
    <t>Book Cover Keyboard Tab S11</t>
  </si>
  <si>
    <t>RF7Y9001EDECIS</t>
  </si>
  <si>
    <t>RF7Y9001T6MCIS</t>
  </si>
  <si>
    <t>MADA RIYAN HADI</t>
  </si>
  <si>
    <t>ATTAQY</t>
  </si>
  <si>
    <t>GALAXY RUGGED</t>
  </si>
  <si>
    <t>SHINCHAN</t>
  </si>
  <si>
    <t>ARMUH</t>
  </si>
  <si>
    <t>VIKTOR</t>
  </si>
  <si>
    <t>GALAXY TAB A11+</t>
  </si>
  <si>
    <t>t</t>
  </si>
  <si>
    <t>GALAXY TAB A11</t>
  </si>
  <si>
    <t>RVANTEE</t>
  </si>
  <si>
    <t>NADHIRA</t>
  </si>
  <si>
    <t>DELLA</t>
  </si>
  <si>
    <t>BRINSA</t>
  </si>
  <si>
    <t>GALAXY TAB A11 KIDS</t>
  </si>
  <si>
    <t>RF7YAQ1DPF3RTB</t>
  </si>
  <si>
    <t>GALAXY TAB A11 KIDS (ACC)</t>
  </si>
  <si>
    <t>R9RL103DD6H</t>
  </si>
  <si>
    <t>RF7YAQ1BYV3RTB</t>
  </si>
  <si>
    <t>R9RL103C42V</t>
  </si>
  <si>
    <t>RF7YAQ1DL93RTB</t>
  </si>
  <si>
    <t>TAb</t>
  </si>
  <si>
    <t>R9RL103D8ZR</t>
  </si>
  <si>
    <t>RF7YAQ1G0L3RTB</t>
  </si>
  <si>
    <t>R9RL103CJ6V</t>
  </si>
  <si>
    <t>RF7YAQ13AG3RTB</t>
  </si>
  <si>
    <t>R9RL103DEEA</t>
  </si>
  <si>
    <t>RF7YAQ1CWM3RTB</t>
  </si>
  <si>
    <t>R9RL103DE3M</t>
  </si>
  <si>
    <t>R9RL103CF0W</t>
  </si>
  <si>
    <t>RF7YAM62R93RTB</t>
  </si>
  <si>
    <t>R9RL103C5XM</t>
  </si>
  <si>
    <t>RF7YAQ12GD3RTB</t>
  </si>
  <si>
    <t>R9RL103DEJE</t>
  </si>
  <si>
    <t>RF7YAQ1RVR3RTB</t>
  </si>
  <si>
    <t>R9RL103DC5P</t>
  </si>
  <si>
    <t>RF7YAQ1DJD3RTB</t>
  </si>
  <si>
    <t>R9RL103C2QJ</t>
  </si>
  <si>
    <t>RF7YAQ1B8S3RTB</t>
  </si>
  <si>
    <t>R9RL103C44E</t>
  </si>
  <si>
    <t>RF7YAQ1QF53RTB</t>
  </si>
  <si>
    <t>R9RL102XHMN</t>
  </si>
  <si>
    <t>RF7YAQ1CV83RTB</t>
  </si>
  <si>
    <t>R9RL103D4TW</t>
  </si>
  <si>
    <t>RF7YAM6F773RTB</t>
  </si>
  <si>
    <t>R9RL103C5BM</t>
  </si>
  <si>
    <t>RF7YAM6FB43RTB</t>
  </si>
  <si>
    <t>R9RL103DFEB</t>
  </si>
  <si>
    <t>RF7YAQ1DWW3RTB</t>
  </si>
  <si>
    <t>R9RL103CZJX</t>
  </si>
  <si>
    <t>RF7YAQ1C783RTB</t>
  </si>
  <si>
    <t>GALAXY A06 5G</t>
  </si>
  <si>
    <t>LIGHT GREEN</t>
  </si>
  <si>
    <t>GALAXY A07 5G</t>
  </si>
  <si>
    <t>GALAXY M15 5G</t>
  </si>
  <si>
    <t>RF7X6416831RTB</t>
  </si>
  <si>
    <t>GALAXY S24 ULTRA (BOX ONLY)</t>
  </si>
  <si>
    <t>TITANIUM GRAY</t>
  </si>
  <si>
    <t>JEJE JELITA</t>
  </si>
  <si>
    <t>GALAXY S24 ULTRA (UNIT ONLY)</t>
  </si>
  <si>
    <t>GALAXY S25 EDGE (UNIT ONLY)</t>
  </si>
  <si>
    <t>Salma Maharani Putri Zulkarnaen</t>
  </si>
  <si>
    <t>Column1</t>
  </si>
  <si>
    <t>Audcharaporn Sada</t>
  </si>
  <si>
    <t>Fenny Christien</t>
  </si>
  <si>
    <t>Naura Ayu</t>
  </si>
  <si>
    <t>Tris Finalia</t>
  </si>
  <si>
    <t>Di Kantor</t>
  </si>
  <si>
    <t>di xaxa</t>
  </si>
  <si>
    <t>Mau ditarik</t>
  </si>
  <si>
    <t>Ziva Magnolya</t>
  </si>
  <si>
    <t>KOL (Creator showdown)</t>
  </si>
  <si>
    <t>Vannesa Priscilla</t>
  </si>
  <si>
    <t>Sissy Priscilla</t>
  </si>
  <si>
    <t>di kantor</t>
  </si>
  <si>
    <t>Di kantor</t>
  </si>
  <si>
    <t>Zee Asadel</t>
  </si>
  <si>
    <t>Andovi</t>
  </si>
  <si>
    <t>Widiras</t>
  </si>
  <si>
    <t>Vidi Aldiano</t>
  </si>
  <si>
    <t>https://drive.google.com/file/d/1zBbkBjvAte6RUTKECKwHptIXuwOewZzk/view?usp=sharing</t>
  </si>
  <si>
    <t xml:space="preserve">Sabian </t>
  </si>
  <si>
    <t>udah di Tarik katanya</t>
  </si>
  <si>
    <t>LOCKER - 3 FEB</t>
  </si>
  <si>
    <t>Dave Hendrik</t>
  </si>
  <si>
    <t>Jejouw</t>
  </si>
  <si>
    <t>Keshya</t>
  </si>
  <si>
    <t>Alegeor</t>
  </si>
  <si>
    <t>https://drive.google.com/file/d/1dfQE8nvwW31BgTKppCggnTFJKRHDp_mh/view?usp=sharing</t>
  </si>
  <si>
    <t>Marischka Prudence</t>
  </si>
  <si>
    <t>Donne</t>
  </si>
  <si>
    <t>Dikasih</t>
  </si>
  <si>
    <t>Adib</t>
  </si>
  <si>
    <t>kotak sama hp beda imei</t>
  </si>
  <si>
    <t>sudah ditarik</t>
  </si>
  <si>
    <t>mau kasi sadam</t>
  </si>
  <si>
    <t>Galang</t>
  </si>
  <si>
    <t>Nita Vior</t>
  </si>
  <si>
    <t>https://drive.google.com/file/d/1Xg1hwUjowl4h-w1bdd-E2LHovkXMUM0D/view?usp=sharing</t>
  </si>
  <si>
    <t>Omara</t>
  </si>
  <si>
    <t>Darius</t>
  </si>
  <si>
    <t>Afif Yulistian</t>
  </si>
  <si>
    <t>Hyperlocal</t>
  </si>
  <si>
    <t>Rifat Sungkar</t>
  </si>
  <si>
    <t>Arief Muhammad</t>
  </si>
  <si>
    <t>https://drive.google.com/file/d/1xklgfwtw0_zj4Wooe3FGO6QmoscSK9xN/view?usp=sharing</t>
  </si>
  <si>
    <t>Reynold Poernomo</t>
  </si>
  <si>
    <t>https://drive.google.com/file/d/1SSGD7SXz2ZjKce6Tw1Ydgu7HW7QZOcVh/view?usp=sharing</t>
  </si>
  <si>
    <t>SEIN</t>
  </si>
  <si>
    <t>Sudah dikembalikan</t>
  </si>
  <si>
    <t>`</t>
  </si>
  <si>
    <t>KANTOR</t>
  </si>
  <si>
    <t>Jennifer Bachdim</t>
  </si>
  <si>
    <t>Jennifer</t>
  </si>
  <si>
    <t>Kantor</t>
  </si>
  <si>
    <t>hp adib beda imei kotak sama hp</t>
  </si>
  <si>
    <t>Gio</t>
  </si>
  <si>
    <t>Reza Rahadian</t>
  </si>
  <si>
    <t>sudah dikembalikan</t>
  </si>
  <si>
    <t>Tiara (Gemini)</t>
  </si>
  <si>
    <t>Thessa</t>
  </si>
  <si>
    <t>Extend</t>
  </si>
  <si>
    <t>Mau Ditarik</t>
  </si>
  <si>
    <t>Millenial Cindy</t>
  </si>
  <si>
    <t>WIDIRAS</t>
  </si>
  <si>
    <t>EXTEND</t>
  </si>
  <si>
    <t>GALAXY Z-FOLD7</t>
  </si>
  <si>
    <t>galaxy way prod</t>
  </si>
  <si>
    <t>US</t>
  </si>
  <si>
    <t>Kevin (Makassar)</t>
  </si>
  <si>
    <t>Prilly</t>
  </si>
  <si>
    <t>tukar yg mint</t>
  </si>
  <si>
    <t xml:space="preserve">  </t>
  </si>
  <si>
    <t>HAMIDAH</t>
  </si>
  <si>
    <t>Nona</t>
  </si>
  <si>
    <t>pevita</t>
  </si>
  <si>
    <t>Dari Mindshare</t>
  </si>
  <si>
    <t>Iwet Ramadhan (DVET)</t>
  </si>
  <si>
    <t xml:space="preserve">KANTOR </t>
  </si>
  <si>
    <t>Tito</t>
  </si>
  <si>
    <t>Marischa Prue</t>
  </si>
  <si>
    <t>Luna Maya</t>
  </si>
  <si>
    <t>FOC US FOLD MARISCHKA 350966321030650</t>
  </si>
  <si>
    <t>Dari US</t>
  </si>
  <si>
    <t>Serial number wih Check digit</t>
  </si>
  <si>
    <t>2nd IMEI no</t>
  </si>
  <si>
    <t>Material Number</t>
  </si>
  <si>
    <t>Reference Name1</t>
  </si>
  <si>
    <t>Validate</t>
  </si>
  <si>
    <t>Device name</t>
  </si>
  <si>
    <t>SM-S942BZVCXID</t>
  </si>
  <si>
    <t>REDCOMM INDONESIA</t>
  </si>
  <si>
    <t>SM-S942BZKCXID</t>
  </si>
  <si>
    <t>SM-S942BZSCXID</t>
  </si>
  <si>
    <t>SM-S942BZDCXID</t>
  </si>
  <si>
    <t>SM-S948BZKCXID</t>
  </si>
  <si>
    <t>SM-S948BZVCXID</t>
  </si>
  <si>
    <t>SM-S948BZDCXID</t>
  </si>
  <si>
    <t>SM-S948BZSCXID</t>
  </si>
  <si>
    <t>SM-S948BLBCXID</t>
  </si>
  <si>
    <t>SM-S942BZVQXID</t>
  </si>
  <si>
    <t>SM-S942BZWQXID</t>
  </si>
  <si>
    <t>SM-S942BLBQXID</t>
  </si>
  <si>
    <t>SM-S947BZVBXID</t>
  </si>
  <si>
    <t>SM-S947BLBBXID</t>
  </si>
  <si>
    <t>SM-S947BZKBXID</t>
  </si>
  <si>
    <t>SM-S947BZWCXID</t>
  </si>
  <si>
    <t>SM-S947BLBCXID</t>
  </si>
  <si>
    <t>SM-S947BZVCXID</t>
  </si>
  <si>
    <t>SM-S948BZDBXID</t>
  </si>
  <si>
    <t>SM-S948BZSBXID</t>
  </si>
  <si>
    <t>SM-S948BZWBXID</t>
  </si>
  <si>
    <t>SM-S948BZVBXID</t>
  </si>
  <si>
    <t>SM-S948BLBBXID</t>
  </si>
  <si>
    <t>c</t>
  </si>
  <si>
    <t>DATE OF RECEIPT</t>
  </si>
  <si>
    <t>SEIN PIC NAME</t>
  </si>
  <si>
    <t>SERIAL NUMBER (IMEI/SN)</t>
  </si>
  <si>
    <t>UNIT NAME</t>
  </si>
  <si>
    <t>PLANNED 
RETURN DATE</t>
  </si>
  <si>
    <t>RECEIVED DATE 
TIME STAMP (LINK)</t>
  </si>
  <si>
    <t>GOAT PIC
(PLANNER)</t>
  </si>
  <si>
    <t>CAMPAIGN NAME</t>
  </si>
  <si>
    <t>STATUS LOCATION</t>
  </si>
  <si>
    <t>ON HOLDER</t>
  </si>
  <si>
    <t>RETURN TO TCC RECEIPT (LINK)</t>
  </si>
  <si>
    <t>COMMENTS</t>
  </si>
  <si>
    <t>G-A07 RAMADHAN PACKAGE</t>
  </si>
  <si>
    <t>RF7L1060V4E</t>
  </si>
  <si>
    <t>G-BUDS4-PRO GOLD (2026)</t>
  </si>
  <si>
    <t>Galaxy Buds4 Launch</t>
  </si>
  <si>
    <t>RF7L1060SQJ</t>
  </si>
  <si>
    <t>RF7L106VRMY</t>
  </si>
  <si>
    <t>G-BUDS4-PRO WHITE (2026)</t>
  </si>
  <si>
    <t>RF7L106VRRN</t>
  </si>
  <si>
    <t>G-Z-FLIP7 256GB BLACK (2025)</t>
  </si>
  <si>
    <t>DA CAMPAIGN</t>
  </si>
  <si>
    <t>G-Z-FLIP7 256GB LIGHT GREEN (2025)</t>
  </si>
  <si>
    <t>G-Z-FLIP7 256GB DARK BLUE (2025)</t>
  </si>
  <si>
    <t>G-S25 256GB DARK BLUE(2025)</t>
  </si>
  <si>
    <t>G-S25 256GB SILVER (2025)</t>
  </si>
  <si>
    <t>G-S25 256GB SILVER(2025)</t>
  </si>
  <si>
    <t>Layar Sudah ada baret dari penerimaan awal</t>
  </si>
  <si>
    <t>RR2Y900B1ZK</t>
  </si>
  <si>
    <t>G-TAB-S11 WIFI, GRAY (2025)</t>
  </si>
  <si>
    <t>S11 Sustence</t>
  </si>
  <si>
    <t>RR2Y900APAE</t>
  </si>
  <si>
    <t>RF7Y9001GSXCIS</t>
  </si>
  <si>
    <t>ACC HHP, KEYBOARD TAB S11</t>
  </si>
  <si>
    <t>RF7Y9001FKBCIS</t>
  </si>
  <si>
    <t>RF7Y9001EJJCIS</t>
  </si>
  <si>
    <t>G-TAB-S11-ULTRA-5G GRAY (2025)</t>
  </si>
  <si>
    <t>RF7Y803MA0VCIS</t>
  </si>
  <si>
    <t>ACC HHP, KEYBOARD SLIM BLACK, TAB S11 ULTRA</t>
  </si>
  <si>
    <t>RF7Y803M3WYCIS</t>
  </si>
  <si>
    <t>G-A07-5G 128GB LIGHT VIOLET</t>
  </si>
  <si>
    <t>G-S25-ULTRA WHITE SILVER</t>
  </si>
  <si>
    <t>ASAP</t>
  </si>
  <si>
    <t>RAMADAN CAMPAIGN</t>
  </si>
  <si>
    <t>G-S25-ULTRA GRAY</t>
  </si>
  <si>
    <t>G-Z-FOLD7 BLUE SHADOW</t>
  </si>
  <si>
    <t>G-Z-FLIP7 JETBLACK</t>
  </si>
  <si>
    <t>G-A-175LTE LIGHT BLUE RAMADAN PACKAGE</t>
  </si>
  <si>
    <t>G-A-175LTE BLACK RAMADAM PACKAGE</t>
  </si>
  <si>
    <t>G-A-175LTE LIGHT BLUE PACKAGE</t>
  </si>
  <si>
    <t>G-S24-FE 256GB GRAY</t>
  </si>
  <si>
    <t>G-S24-FE 256GB GRAPHITE</t>
  </si>
  <si>
    <t>G-S25-EDGE 256GB SILVER</t>
  </si>
  <si>
    <t>G-S25-EDGE 256GB JETBLACK</t>
  </si>
  <si>
    <t>Samsung account masih nyangkut</t>
  </si>
  <si>
    <t>G-S25 256GB SILVER SHADOW</t>
  </si>
  <si>
    <t>G-S25 512GB BLUE BLACK</t>
  </si>
  <si>
    <t>G-S25 256GB ICYBLUE</t>
  </si>
  <si>
    <t>G-S25-PLUS 256GB ICYBLUE</t>
  </si>
  <si>
    <t>G-S25-PLUS 256GB NAVY</t>
  </si>
  <si>
    <t>G-S24-ULTRA 256GB BLACK</t>
  </si>
  <si>
    <t>G-S25-EDGE 256GB ICYBLUE</t>
  </si>
  <si>
    <t>UNIT ONLY</t>
  </si>
  <si>
    <t>G-S25-ULTRA 256GB SILVER</t>
  </si>
  <si>
    <t>G-M15-5G 128GB BLUE</t>
  </si>
  <si>
    <t>G-M15-5G 128GB GRAY</t>
  </si>
  <si>
    <t>G-A26-5G 256GB BLACK</t>
  </si>
  <si>
    <t>G-A26-5G 256GB PEACH PINK</t>
  </si>
  <si>
    <t>G-A26-5G 256GB MINT</t>
  </si>
  <si>
    <t>G-TAB-S6-LITE 128GB GRAY</t>
  </si>
  <si>
    <t>G-TAB-S11-5G 256GB GRAY</t>
  </si>
  <si>
    <t>G-A16-5G 256GB BLACK</t>
  </si>
  <si>
    <t>G-A16-5G 256GB WHITE</t>
  </si>
  <si>
    <t>G-A06 64GB LIGHT BLUE</t>
  </si>
  <si>
    <t>G-A06 64GB BLACK</t>
  </si>
  <si>
    <t>G-A06-5G 128GB LIGHT GRAY</t>
  </si>
  <si>
    <t>G-A06-5G 128GB LIGHT GREEN</t>
  </si>
  <si>
    <t>G-S25 256GB MINT</t>
  </si>
  <si>
    <t>G-S25-FE 256GB ICYBLUE</t>
  </si>
  <si>
    <t>G-S24-ULTRA 256GB GRAY</t>
  </si>
  <si>
    <t>G-Z-FLIP7 BLUE SHADOW</t>
  </si>
  <si>
    <t>LOST PHONE</t>
  </si>
  <si>
    <t>G-S25-PLUS 256GB SILVER SHADOW</t>
  </si>
  <si>
    <t>G-S25-FE 256GB WHITE</t>
  </si>
  <si>
    <t>G A17 128GB LIGHT BLUE</t>
  </si>
  <si>
    <t>G A17 128GB GRAY</t>
  </si>
  <si>
    <t>G A17-5G 128GB GRAY</t>
  </si>
  <si>
    <t>G A17-5G 128GB BLUE</t>
  </si>
  <si>
    <t>G-TAB-A11-KIDS</t>
  </si>
  <si>
    <t>G-A36-5G 128GB LIGHT GREEN</t>
  </si>
  <si>
    <t>G-RING 8 SILVER</t>
  </si>
  <si>
    <t>G-Z-FLIP7 256GB RED (2025)</t>
  </si>
  <si>
    <t>G-Z-FLIP7 256GB BLUE (2025)</t>
  </si>
  <si>
    <t>G-S25-FE 256GB NAVY</t>
  </si>
  <si>
    <t>UNIT ONLY WHEN HUBZ RECEIVE</t>
  </si>
  <si>
    <t>3549221300157972</t>
  </si>
  <si>
    <t>3549922130011858</t>
  </si>
  <si>
    <t>G-S25-EDGE 256GB WHITE</t>
  </si>
  <si>
    <t>G-Z-FLIP7 512GB CORALRED</t>
  </si>
  <si>
    <t>G-Z-FLIP7 512GB BLUE SHADOW</t>
  </si>
  <si>
    <t>G-Z-FLIP7 256GB JETBLACK</t>
  </si>
  <si>
    <t>G-Z-FLIP7 256GB BLUE SHADOW</t>
  </si>
  <si>
    <t>G-Z-FLIP7 256GB CORALRED</t>
  </si>
  <si>
    <t>G-Z-FOLD7 512GB SILVER</t>
  </si>
  <si>
    <t>G-Z-FOLD7 256GB SILVER</t>
  </si>
  <si>
    <t>G-Z-FOLD7 256GB BLUE SHADOW</t>
  </si>
  <si>
    <t>G-A56-5G 128GB SILVER</t>
  </si>
  <si>
    <t>G-S26-ULTRA 512GB SILVER</t>
  </si>
  <si>
    <t>Miracle</t>
  </si>
  <si>
    <t>G-S26-ULTRA 512GB BLACK</t>
  </si>
  <si>
    <t>G-S26 256GB BLACK</t>
  </si>
  <si>
    <t>G-S26 256GB VIOLET</t>
  </si>
  <si>
    <t>G-S26 256GB SKY BLUE</t>
  </si>
  <si>
    <t>G-A56-5G 128GB GRAPHITE</t>
  </si>
  <si>
    <t>G-S25-ULTRA 512GB PINKGOLD</t>
  </si>
  <si>
    <t>RF7L105K1EY</t>
  </si>
  <si>
    <t>G-BUDS4-PRO BLACK (2026)</t>
  </si>
  <si>
    <t>RF7L102TC3F</t>
  </si>
  <si>
    <t>RF7L105JYQV</t>
  </si>
  <si>
    <t>RF7L105KLKM</t>
  </si>
  <si>
    <t>RF7L10KY99X</t>
  </si>
  <si>
    <t>G-BUDS4 WHITE (2026)</t>
  </si>
  <si>
    <t>RF7L10KXKMH</t>
  </si>
  <si>
    <t>RF7L10EXRZY</t>
  </si>
  <si>
    <t>G-BUDS4 BLACK (2026)</t>
  </si>
  <si>
    <t>RF7L10DDV8W</t>
  </si>
  <si>
    <t>G-A07 64GB GREEN (2025)</t>
  </si>
  <si>
    <t>G-A17-5G 256GB BLACK (2025)</t>
  </si>
  <si>
    <t>G-A56-5G 128GB BLACK (2025)</t>
  </si>
  <si>
    <t>RFAY91Z2KKY</t>
  </si>
  <si>
    <t>G-WATCH8 40MM DARK GRAY</t>
  </si>
  <si>
    <t>RFAY922LAAZ</t>
  </si>
  <si>
    <t>G-WATCH8 40MM SILVER (2025)</t>
  </si>
  <si>
    <t>RFAY82AG9GJ</t>
  </si>
  <si>
    <t>G-BUDS3-FE GRAY (2025)</t>
  </si>
  <si>
    <t>G-S25-FE 256GB BLACK (2025)</t>
  </si>
  <si>
    <t>G-S25-EDGE 256GB SILVER (2025)</t>
  </si>
  <si>
    <t>G-TAB--S11-ULTRA-5G GRAY (2025)</t>
  </si>
  <si>
    <t>G-S26 512GB SKY BLUE</t>
  </si>
  <si>
    <t>-</t>
  </si>
  <si>
    <t>G-S26-PLUS 256GB COBALT VIOLET</t>
  </si>
  <si>
    <t>G-S26-PLUS 512GB COBALT VIOLET</t>
  </si>
  <si>
    <t>G-S26-PLUS 512GB WHITE</t>
  </si>
  <si>
    <t>G-S26-PLUS 256GB BLACK</t>
  </si>
  <si>
    <t>G-S26-PLUS 512GB SKY BLUE</t>
  </si>
  <si>
    <t>G-S26 256GB SILVER</t>
  </si>
  <si>
    <t>G-S26 512GB COBALT VIOLET</t>
  </si>
  <si>
    <t>G-S26 512GB WHITE</t>
  </si>
  <si>
    <t>G-S26-ULTRA 256GB COBALT VIOLET</t>
  </si>
  <si>
    <t>G-S26-ULTRA 256GB WHITE</t>
  </si>
  <si>
    <t>G-S26-ULTRA 256GB SKY BLUE</t>
  </si>
  <si>
    <t>G-S26-PLUS 256GB SKY BLUE</t>
  </si>
  <si>
    <t>Pinnya belum tau</t>
  </si>
  <si>
    <t>G-BUDS3-FE BLACK (2025)</t>
  </si>
  <si>
    <t>Box Only</t>
  </si>
  <si>
    <t>G-BUDS3-FE WHITE</t>
  </si>
  <si>
    <t>RFAXB0833NJ</t>
  </si>
  <si>
    <t>G-RING SZ 9 SILVER</t>
  </si>
  <si>
    <t>RFAY70WA8FX</t>
  </si>
  <si>
    <t>G-WATCH8 GRAPHITE</t>
  </si>
  <si>
    <t>G-TAB-A11 64GB GRAY</t>
  </si>
  <si>
    <t>RFAY904YJZH</t>
  </si>
  <si>
    <t>G-S26-ULTRA 256GB SILVER</t>
  </si>
  <si>
    <t>G-S26-ULTRA 256GB PINKGOLD</t>
  </si>
  <si>
    <t>G-S26 256GB SKY BLACK</t>
  </si>
  <si>
    <t>RA7YC03DHKXYB</t>
  </si>
  <si>
    <t>G-S26-ULTRA-CASE CLEAR MAGNET CASE</t>
  </si>
  <si>
    <t>G-TAB-A11-KIDS 64GB GRAY</t>
  </si>
  <si>
    <t>G-A17 RAMADHAN PACKAGE</t>
  </si>
  <si>
    <t>RFGL20G2NFM</t>
  </si>
  <si>
    <t>RFGL20G2NNY</t>
  </si>
  <si>
    <t>RFGL20G2NVT</t>
  </si>
  <si>
    <t>RFGL20LGAGB</t>
  </si>
  <si>
    <t>RFGL20AT4RY</t>
  </si>
  <si>
    <t>RFGL20RF0CV</t>
  </si>
  <si>
    <t>RF2XA0VQBYJ</t>
  </si>
  <si>
    <t>G-RING 8MM SILVER</t>
  </si>
  <si>
    <t>RF2XB0QAMFJ</t>
  </si>
  <si>
    <t>G-RING 9MM BLACK</t>
  </si>
  <si>
    <t>RF2XB0Q9PAL</t>
  </si>
  <si>
    <t>G-RING 10MM BLACK</t>
  </si>
  <si>
    <t>G-RING Sizing Kit</t>
  </si>
  <si>
    <t>G-TAB-A11-PLUS-5G</t>
  </si>
  <si>
    <t>G-TAB-A11-PLUS</t>
  </si>
  <si>
    <t>RRGYB086Y7H</t>
  </si>
  <si>
    <t>RFAY904HA0P</t>
  </si>
  <si>
    <t>G-WATCH-ULTRA BLUE</t>
  </si>
  <si>
    <t>RFAY904HALZ</t>
  </si>
  <si>
    <t>RFGL23BWQ7F</t>
  </si>
  <si>
    <t>RFGL23BVQNL</t>
  </si>
  <si>
    <t>RFGL23BVQ2P</t>
  </si>
  <si>
    <t>RFGL22KTDQH</t>
  </si>
  <si>
    <t>RFGL23JFWRJ</t>
  </si>
  <si>
    <t>RFGL21G97KF</t>
  </si>
  <si>
    <t>G-BUDS4 BLACK(2026)</t>
  </si>
  <si>
    <t>:RFGL21G8QEK</t>
  </si>
  <si>
    <t>RFAY704BHZN</t>
  </si>
  <si>
    <t>G-WATCH8 SILVER</t>
  </si>
  <si>
    <t>RFAY827RACF</t>
  </si>
  <si>
    <t xml:space="preserve">G-WATCH8-CLASSIC </t>
  </si>
  <si>
    <t>RFAY8T8KW4W</t>
  </si>
  <si>
    <t>RFAY904YJRM</t>
  </si>
  <si>
    <t>RFGL23RGGHZ</t>
  </si>
  <si>
    <t>RFGL23RGHYK</t>
  </si>
  <si>
    <t>RFGL23RFLZL</t>
  </si>
  <si>
    <t>RFGL23RF3DZ</t>
  </si>
  <si>
    <t>RFGL23RGERT</t>
  </si>
  <si>
    <t>RFGL23RGJVP</t>
  </si>
  <si>
    <t>G-S26-ULTRA 512GB SKY BLUE</t>
  </si>
  <si>
    <t>G-S26-ULTRA 512GB COBALT VIOLET</t>
  </si>
  <si>
    <t xml:space="preserve">G-S25-EDGE 256GB SILVER </t>
  </si>
  <si>
    <t>G-S25-FE 256GB ICY BLUE</t>
  </si>
  <si>
    <t>Timestamp</t>
  </si>
  <si>
    <t>Email Address</t>
  </si>
  <si>
    <t>Requestor</t>
  </si>
  <si>
    <t>Campaign Name</t>
  </si>
  <si>
    <t>Unit Name</t>
  </si>
  <si>
    <t>IMEI if any</t>
  </si>
  <si>
    <t>KOL Name</t>
  </si>
  <si>
    <t>KOL Phone Number</t>
  </si>
  <si>
    <t>KOL address</t>
  </si>
  <si>
    <t>Delivery Date</t>
  </si>
  <si>
    <t>Type Of Delivery</t>
  </si>
  <si>
    <t>Type of FOC</t>
  </si>
  <si>
    <t>Deliver</t>
  </si>
  <si>
    <t>khalida.azayaka@wppmedia.com</t>
  </si>
  <si>
    <t>Khalida</t>
  </si>
  <si>
    <t>Adinka</t>
  </si>
  <si>
    <t>62 812-8919-9226</t>
  </si>
  <si>
    <t>Jl. Cipulir Permai Blok P16</t>
  </si>
  <si>
    <t>BLUEBIRD</t>
  </si>
  <si>
    <t>salma.zulkarnaen@wppmedia.com</t>
  </si>
  <si>
    <t>Salma</t>
  </si>
  <si>
    <t>Tab S11 Sustenance</t>
  </si>
  <si>
    <t>G-TAB-S11-5G-GRAY (2025)</t>
  </si>
  <si>
    <t>+62 812-2854-0245</t>
  </si>
  <si>
    <t>Jl. Kaloran RT 1, Bakung, Bangunharjo, Imogiri Barat, Kec. Sewon, Kabupaten Bantul, Daerah Istimewa Yogyakarta 55188 (Maps: Hijau Orange - Kos Warna Putih Nomor 1 Paling Selatan)</t>
  </si>
  <si>
    <t>TIKI</t>
  </si>
  <si>
    <t>martin.hori@wppmedia.com</t>
  </si>
  <si>
    <t>Tashya</t>
  </si>
  <si>
    <t xml:space="preserve">GALAXY A07 5G </t>
  </si>
  <si>
    <t>Ibongtalk</t>
  </si>
  <si>
    <t>082126235985</t>
  </si>
  <si>
    <t>Apartement Setiabudi Skygarden, Setiabudi, unit 3007
Ibong - 082126235985</t>
  </si>
  <si>
    <t>A07 HARI RAYA PACKAGE</t>
  </si>
  <si>
    <t>HARI RAYA PACKAGE A07 5G</t>
  </si>
  <si>
    <t>AMHAD FADHILLA</t>
  </si>
  <si>
    <t>Adelin (+62 823-1575-7588)</t>
  </si>
  <si>
    <t>jalan emo kurniaatmaja no 4, kecamatan subang kelurahan pasirkareumbi, rt 28 rw 10, 41214 (Gereja GPDI Eben Haezer)</t>
  </si>
  <si>
    <t>PAKET HARI RAYA GALAXY A17</t>
  </si>
  <si>
    <t xml:space="preserve">PAKET HARI RAYA GALAXY A17  </t>
  </si>
  <si>
    <t>MEIRANI AMALIA</t>
  </si>
  <si>
    <t>Meirani Amalia - 085649207954</t>
  </si>
  <si>
    <t>Belleview Manyar Apartement (unit 2609)
Jl. Manyar Kertoarjo III, Manyar Sabrangan, Kec. Mulyorejo, Kota Surabaya, Jawa Timur 60116</t>
  </si>
  <si>
    <t>alya.dwi@wppmedia.com</t>
  </si>
  <si>
    <t>Alya</t>
  </si>
  <si>
    <t>SAMSUNG S25 FE</t>
  </si>
  <si>
    <t>Galaxy S25FE 8/256 GB Icy Blue</t>
  </si>
  <si>
    <t>082112884454</t>
  </si>
  <si>
    <t>Duren Villa Blok B3 No. 26, Ciledug, Tangerang 15151)</t>
  </si>
  <si>
    <t>Buds4</t>
  </si>
  <si>
    <t>Buds4 Return (2026)</t>
  </si>
  <si>
    <t>Jeffry Reksa</t>
  </si>
  <si>
    <t>+62 896-0510-2002</t>
  </si>
  <si>
    <t>Buds4 Return</t>
  </si>
  <si>
    <t>The Widiras</t>
  </si>
  <si>
    <t>+62 812 87284814</t>
  </si>
  <si>
    <t>Jl. Kemang Sel. XII E No.4, Cipete Sel., Cilandak, Kota Jakarta Selatan, Daerah Khusus Ibukota Jakarta 12410  https://goo.gl/maps/wZsW2U3nkVQ2 Indonesia</t>
  </si>
  <si>
    <t>isnaeni.nurfajriah@wppmedia.com</t>
  </si>
  <si>
    <t>Neni</t>
  </si>
  <si>
    <t xml:space="preserve">Samsung Galaxy A07 5G </t>
  </si>
  <si>
    <t xml:space="preserve">Galaxy A07 56 Light Violet (2026) </t>
  </si>
  <si>
    <t>Shaguffta Kaur</t>
  </si>
  <si>
    <t>+62 812-9128-2794</t>
  </si>
  <si>
    <t>Apartemen Puri Garden unit 1505 Jl. Kembangan Sel, Kec. Kembangan, Kota Jakarta Barat, Daerah Khusus Ibukota Jakarta 11610</t>
  </si>
  <si>
    <t>Hari Raya Package - Galaxy A17</t>
  </si>
  <si>
    <t>Cex Daniel</t>
  </si>
  <si>
    <t>0853-9891-5398</t>
  </si>
  <si>
    <t>Kelurahan Bengkol, Link 1. Kec. Mapanget. Kota Manado, Sulawesi Utara. (Rumah depan Puskesmas Bengkol)</t>
  </si>
  <si>
    <t>gitajulistia13@gmail.com</t>
  </si>
  <si>
    <t>Gita</t>
  </si>
  <si>
    <t>Q7B7 - ramadhan</t>
  </si>
  <si>
    <t xml:space="preserve">SamsungGalaxy Z Flip7-Blue shadow </t>
  </si>
  <si>
    <t xml:space="preserve">Nurina Khansa </t>
  </si>
  <si>
    <t>081329337756</t>
  </si>
  <si>
    <t>Jl. Kumudasmoro Selatan VII No 26 RT 4 RW 5 Kelurahan Gisikdrono, Kecamatan Semarang Barat, Semarang (50149)</t>
  </si>
  <si>
    <t>HARI RAYA PACKAGE - GALAXY A17</t>
  </si>
  <si>
    <t>HARI RAYA RAYA PACKAGE - GALAXY A17</t>
  </si>
  <si>
    <t>RAUDAH</t>
  </si>
  <si>
    <t>0822-7777-3583</t>
  </si>
  <si>
    <t>Kost Griya Gajah Mungkur, Jl. Gajah Mungkur No.38a, Duren Tiga, Pancoran Jakarta Selatan</t>
  </si>
  <si>
    <t>Galaxy Tab A11 Kids Pack</t>
  </si>
  <si>
    <t>Chikkita</t>
  </si>
  <si>
    <t>08111073017 (nama penerima kevin)</t>
  </si>
  <si>
    <t xml:space="preserve">Cluster asri aryana blok ab 20 kel sukabakti kec curug tangerang banten 15810
</t>
  </si>
  <si>
    <t>distigoat@gmail.com</t>
  </si>
  <si>
    <t>Disti</t>
  </si>
  <si>
    <t>S26 Ultra</t>
  </si>
  <si>
    <t xml:space="preserve">Pevent </t>
  </si>
  <si>
    <t>087724696770</t>
  </si>
  <si>
    <t>Lotte Mall</t>
  </si>
  <si>
    <t>S24 Fe</t>
  </si>
  <si>
    <t>Clara Lianis</t>
  </si>
  <si>
    <t>+62 819-9994-8833</t>
  </si>
  <si>
    <t>Alamat : Rainbow Springs Condovillas B10/G02 gading serpong , Cihuni . Kecamatan : Pagedangan , Tangerang , Banten Kode Pos : 15820</t>
  </si>
  <si>
    <t>jasmine.zivanka@wppmedia.com</t>
  </si>
  <si>
    <t>Jasmine</t>
  </si>
  <si>
    <t>COPR Ramadhan</t>
  </si>
  <si>
    <t>A17 LTE</t>
  </si>
  <si>
    <t>Davrizojol</t>
  </si>
  <si>
    <t>08881075268</t>
  </si>
  <si>
    <t>Jalan hj Taiman, Gg.P/ RT 001 RW 010 no 21B 
Kel. Gedong kec. Pasar rebo jakarta timur,kode pos 13760
Patokan masuk gg P lurus mentok belok kanan dikit, rumah nomor 2 dari kiri 
Atas nama Asyifa</t>
  </si>
  <si>
    <t>Buds4 Base - White</t>
  </si>
  <si>
    <t>Buds4 Pro - White</t>
  </si>
  <si>
    <t>Ana Harestinah  Hp : 08118700222</t>
  </si>
  <si>
    <t>PT Trinity Optima Production
Menara Sentraya Level 38 Unit A3
Jl Iskandarsyah Raya No. 1A 
Melawai, Kebayoran Baru
Jakarta Selatan 12160</t>
  </si>
  <si>
    <t>Jesica Veranda</t>
  </si>
  <si>
    <t xml:space="preserve">Syahrul 08561727509 / 082247748070 </t>
  </si>
  <si>
    <t>PT. Kolaborasi Komunikasi Indonesia 
LOT 15
Jl. Kesehatan VI No.15, RT.8/RW.11, Bintaro, Kec. Pesanggrahan, Kota Jakarta Selatan, Daerah Khusus Ibukota Jakarta 12330</t>
  </si>
  <si>
    <t xml:space="preserve">Buds4 </t>
  </si>
  <si>
    <t>Buds4 Pro - Black</t>
  </si>
  <si>
    <t>Ahmad Tito</t>
  </si>
  <si>
    <t>0858-0499-0133</t>
  </si>
  <si>
    <t>Jl Rogonoto IV.C.22 RT.2/RW.4, Kel. Losari, Singosari, Kab. Malang, Jawa Timur 65153</t>
  </si>
  <si>
    <t>Hari Raya Package - Galaxy A07</t>
  </si>
  <si>
    <t>Helin Alvia</t>
  </si>
  <si>
    <t>082255088403</t>
  </si>
  <si>
    <t>Bilado RT 04/RW 01, Desa Kepayang (Rumah Bpk Tatang di Sebrang Simpang Kepayang) Anjongan, Kab. Potianak, Kalimatan Barat, ID 78353</t>
  </si>
  <si>
    <t>GALAXY A07 5G LAUNCH</t>
  </si>
  <si>
    <t>SAMSUNG GALAXY A07 5G</t>
  </si>
  <si>
    <t xml:space="preserve">ADISSA MUTIARA BERNICKA </t>
  </si>
  <si>
    <t>-882-2009-9194</t>
  </si>
  <si>
    <t>Depan perumahan pondok permai palagan 5
Rumah warna kuning ke 2 
Rejodani 2, Sariharjo, Kec. Ngaglik, Kabupaten Sleman, Daerah Istimewa Yogyakarta 55581</t>
  </si>
  <si>
    <t>jasminepratomo@gmail.com</t>
  </si>
  <si>
    <t>Jasmine CM</t>
  </si>
  <si>
    <t>CORP Ramadhan</t>
  </si>
  <si>
    <t>Tab S11 ULTRA 5G</t>
  </si>
  <si>
    <t>Taufanoz</t>
  </si>
  <si>
    <t>Ofan - 082129249929</t>
  </si>
  <si>
    <t>Jalan Rancaherang No. 777/15B RT 008, RW 001, Kelurahan Sarijadi, Kecamatan Sukasari, Kota Bandung, Jawa Barat 40151</t>
  </si>
  <si>
    <t>Corp Ramadhan</t>
  </si>
  <si>
    <t>Z Flip7 Jetblack</t>
  </si>
  <si>
    <t>DRG Nurina</t>
  </si>
  <si>
    <t>Nurina Khansa (081329337756)</t>
  </si>
  <si>
    <t>Jl Kumudasmoro Selatan VII No 26 RT 4 RW 5 Kelurahan Gisikdrono, Kecamatan Semarang Barat, Kota Semarang (50149)</t>
  </si>
  <si>
    <t>Tab A11 Kids Pack</t>
  </si>
  <si>
    <t>Nungky</t>
  </si>
  <si>
    <t>08112122109</t>
  </si>
  <si>
    <t>Jl. Cucur Barat XI Blok E1 No. 16,
Bintaro Sektor 4,
Kelurahan Pondok Karya,
Kecamatan Pondok Aren,
Kota Tangerang Selatan,
Banten 15225</t>
  </si>
  <si>
    <t>Joseph Sebastian</t>
  </si>
  <si>
    <t>081212778512</t>
  </si>
  <si>
    <t>Jln. Gunung Sahari 7e no 24, jakarta pusat</t>
  </si>
  <si>
    <t>znanda587@gmail.com</t>
  </si>
  <si>
    <t>nanda</t>
  </si>
  <si>
    <t>Tab A11 Kids</t>
  </si>
  <si>
    <t xml:space="preserve">Tab A11 kids packed </t>
  </si>
  <si>
    <t>melinda aristya</t>
  </si>
  <si>
    <t>087781631994</t>
  </si>
  <si>
    <t>Graha Taman Bintaro HC 1 no.12, Bintaro sektor 9, Tangerang selatan 15229</t>
  </si>
  <si>
    <t>Nanda</t>
  </si>
  <si>
    <t>tab A11 kids</t>
  </si>
  <si>
    <t xml:space="preserve">Karina pathya </t>
  </si>
  <si>
    <t>081315520401</t>
  </si>
  <si>
    <t>Komplek cigadung Greenland blok H3, Cigadung, Kec. Cibeunying Kaler, Kota Bandung, Jawa Barat 40191</t>
  </si>
  <si>
    <t>amorita lukprina</t>
  </si>
  <si>
    <t>081284931145</t>
  </si>
  <si>
    <t>perumahan taman mangu indah, jalan anggrek 7 blok a6 nomer 5, pondok aren, tangerang selatan. 081284931145</t>
  </si>
  <si>
    <t>RF7YA1DWW3RTB</t>
  </si>
  <si>
    <t>Shiva Labita</t>
  </si>
  <si>
    <t>0811960833</t>
  </si>
  <si>
    <t>Menara Swasana - Nuansa Pondok Kelapa Lt. 14 No. 19 (1419), Jl. H. Naman, Kel. Pondok Kelapa, Kec. Duren Sawit, Jakarta Timur</t>
  </si>
  <si>
    <t>Galaxy Buds4</t>
  </si>
  <si>
    <t>Galaxy Buds4 Pro (warna hitam)</t>
  </si>
  <si>
    <t>Adikara</t>
  </si>
  <si>
    <t xml:space="preserve">Iccha - 082260520400 </t>
  </si>
  <si>
    <t>PT Karya Asli Pagoda
Jl. Taman Puri Bintaro, PB 33 No. 52, Kota Tangerang Selatan, Banten 15413</t>
  </si>
  <si>
    <t>Galaxy Buds4 Base warna putih</t>
  </si>
  <si>
    <t xml:space="preserve"> PENERIMA : IVAN   088212989626</t>
  </si>
  <si>
    <t>jl. Muzalifah, blok B2 no.6 RT02 RW08 Perumahan Haji Kota Bogor- Cimahpar. kec. Bogor Utara. kode pos: 16155</t>
  </si>
  <si>
    <t>Samsung DA Ref</t>
  </si>
  <si>
    <t>Samsung Galaxy Z Flip7</t>
  </si>
  <si>
    <t>Zahral Antika</t>
  </si>
  <si>
    <t>Perumahan Jatibening 2, Jl. Beringin Raya Blok. C No.3 RT. 03 RW.08, Kel. Jatibening Baru, Kec. Pondok Gede, 17412</t>
  </si>
  <si>
    <t>Sasmung DA Ref</t>
  </si>
  <si>
    <t xml:space="preserve">Satria </t>
  </si>
  <si>
    <t>0819-9886-4888</t>
  </si>
  <si>
    <t xml:space="preserve"> Jl. Trowulan V Blok V2 No.6. RT 004 RW 036, Melong, Cimahi Selatan, Cimahi, Jawa Barat</t>
  </si>
  <si>
    <t>isnainiutami466@gmail.com</t>
  </si>
  <si>
    <t>Isnaeni</t>
  </si>
  <si>
    <t xml:space="preserve">Galaxy A07 5G </t>
  </si>
  <si>
    <t>Ardhisekartaji</t>
  </si>
  <si>
    <t>087812732505</t>
  </si>
  <si>
    <t>Jl. Attahiriyah II No. 43 RT 12 RW 03 Pejaten Barat Pasar Minggu Jakarta Sela</t>
  </si>
  <si>
    <t>A07/ A17 Ramadan</t>
  </si>
  <si>
    <t>Package A07 Ramadhan Package</t>
  </si>
  <si>
    <t>Mushdalifah ( Aman)</t>
  </si>
  <si>
    <t>089654529645</t>
  </si>
  <si>
    <t>Perumahan Metro Residence, Cluster Pinewood Blok J3 nomor 18
Rt/Rw : 05/15
Kelurahan : Nangewer 
Kecamatan : Cibinong 
Kota/kab : Bogor
Provinsi : Jawa barat</t>
  </si>
  <si>
    <t>2 HP Edge Return, 1 Buds4 Pro White Return</t>
  </si>
  <si>
    <t>Jevin Julian</t>
  </si>
  <si>
    <t>+62 877-8380-3167</t>
  </si>
  <si>
    <t>Jl. Mekar Baru Raya No. 5, Grand Pinang Cirendeu KAV N1, Cireundeu 15419</t>
  </si>
  <si>
    <t>Galaxy Buds4 Event Galaxy Studio</t>
  </si>
  <si>
    <t>1 HP Edge/Flip/Fold Return, 1 Watch8, 1 Galaxy Buds Base Return</t>
  </si>
  <si>
    <t>Salma (carry untuk event galaxy studio)</t>
  </si>
  <si>
    <t>082320342977</t>
  </si>
  <si>
    <t>Kasih di kantor</t>
  </si>
  <si>
    <t>gitajulistia424@gmail.com</t>
  </si>
  <si>
    <t>gita</t>
  </si>
  <si>
    <t>q7b7 sustenance</t>
  </si>
  <si>
    <t>samsung Galaxy Z Flip7</t>
  </si>
  <si>
    <t>Moris</t>
  </si>
  <si>
    <t>0895806780459</t>
  </si>
  <si>
    <t>Abdul majid 25 urban residence (unit 309), Jl. abdul majid raya no 25, RT/RW 13/7, Kel. Cipete utara, Kec. Kebayoran baru, Kota. Jakarta Selatan, 12150</t>
  </si>
  <si>
    <t>Prodbuz Tab A11+</t>
  </si>
  <si>
    <t>Tab A11+</t>
  </si>
  <si>
    <t>085218878116</t>
  </si>
  <si>
    <t>VINCENT PRATAMA</t>
  </si>
  <si>
    <t>08977472203</t>
  </si>
  <si>
    <t>jl kasuari no 57 rt 6, kel pakuan baru, pagar coklat motif kayu (Gm)
JAMBI SELATAN, KOTA JAMBI, JAMBI  36132</t>
  </si>
  <si>
    <t>ikbal.fajar@wppmedia.com</t>
  </si>
  <si>
    <t>Ikbal</t>
  </si>
  <si>
    <t>Miracle - S26</t>
  </si>
  <si>
    <t xml:space="preserve">G-S26-ULTRA 256GB SKY BLUE </t>
  </si>
  <si>
    <t>Putu Aditya (Govinda Rumi)</t>
  </si>
  <si>
    <t>081339010855</t>
  </si>
  <si>
    <t>Jln By Pass IB Mantra Perum, Chandra Asri Blok G 30 Denpasar timur, Bali 80235</t>
  </si>
  <si>
    <t>tashyafeb@gmail.com</t>
  </si>
  <si>
    <t>A07 5G</t>
  </si>
  <si>
    <t>A07 5G Return</t>
  </si>
  <si>
    <t>Naqi</t>
  </si>
  <si>
    <t>082114776113</t>
  </si>
  <si>
    <t>kos warly taman solo
Jl. Cempaka Putih Tengah XXVIIB No.6, RT.5/RW.8, Cemp. Putih Tim., Kec. Cemp. Putih, Kota Jakarta Pusat, Daerah Khusus Ibukota Jakarta 10510</t>
  </si>
  <si>
    <t xml:space="preserve">Galaxy A07 - 5G - Light Violet </t>
  </si>
  <si>
    <t xml:space="preserve">Farhan Frisia </t>
  </si>
  <si>
    <t>0898-1965-100</t>
  </si>
  <si>
    <t>Mutiara Matoa Residence 2, Blok 1, No. 1 E, RT.9/RW.1, Cipedak, Kec. Jagakarsa, Kota Jakarta Selatan, Daerah Khusus Ibukota Jakarta 12630</t>
  </si>
  <si>
    <t>MIracle</t>
  </si>
  <si>
    <t>S26 ULTRA WHITE</t>
  </si>
  <si>
    <t>Jordy Riz</t>
  </si>
  <si>
    <t>Mariska 08158866238</t>
  </si>
  <si>
    <t>Dr.m
Menara Sentraya Lt.18
Jl. Iskandarsyah Raya No.1A, Melawai, Kebayoran Baru, Jakarta Selatan. 12160</t>
  </si>
  <si>
    <t>S26 Ultra Cobalt Violet</t>
  </si>
  <si>
    <t>812-2570-1595</t>
  </si>
  <si>
    <t>jl borneo vi no 196</t>
  </si>
  <si>
    <t xml:space="preserve">A07/A17 Ramadan </t>
  </si>
  <si>
    <t xml:space="preserve">A07 Package Ramadan </t>
  </si>
  <si>
    <t>Indah Fadhilah</t>
  </si>
  <si>
    <t>081381322945</t>
  </si>
  <si>
    <t>Botani Square Mall (Request dibawa sendiri)</t>
  </si>
  <si>
    <t>PACKAGES</t>
  </si>
  <si>
    <t>gita.yulistia@wppmedia.com</t>
  </si>
  <si>
    <t>Q7B7 Sustenance</t>
  </si>
  <si>
    <t xml:space="preserve">Samsung Galaxy Z Fold7 - 512 Blue Shadow </t>
  </si>
  <si>
    <t>Tito Ahmad</t>
  </si>
  <si>
    <t>085804990133</t>
  </si>
  <si>
    <t>Jl Rogonoto IV.C.22 RT.2/RW.4, Kel. Losari, Singosari Kab Malang, Jawa Timur
PostCode : 65153</t>
  </si>
  <si>
    <t>Samsung DA Kulkas</t>
  </si>
  <si>
    <t>Raje</t>
  </si>
  <si>
    <t>081310360013</t>
  </si>
  <si>
    <t>Alamat: Jl Kenari 7 no L1-15
Bintaro Sektor 2
Rengas, Ciputat Timur</t>
  </si>
  <si>
    <t>Galaxy Buds4 Pro Gold + Box Bertjorak</t>
  </si>
  <si>
    <t>Maysha Juan</t>
  </si>
  <si>
    <t>PT. Kolaborasi Komunikasi Indonesia - 
LOT 15
Jl. Kesehatan VI No.15, RT.8/RW.11, Bintaro, Kec. Pesanggrahan, Kota Jakarta Selatan, Daerah Khusus Ibukota Jakarta 12330</t>
  </si>
  <si>
    <t>Miracle S26</t>
  </si>
  <si>
    <t>Alamat:
Jl. Kaloran RT 1, Bakung, Bangunharjo, Imogiri Barat, Kec. Sewon, Kabupaten Bantul, Daerah Istimewa Yogyakarta 55188 (Maps: Hijau Orange - Kos Warna Putih Nomor 1 Paling Selatan)</t>
  </si>
  <si>
    <t>olivalak22@gmail.com</t>
  </si>
  <si>
    <t>Oliv</t>
  </si>
  <si>
    <t>Ramadan Campaign</t>
  </si>
  <si>
    <t>A17 5G Blue</t>
  </si>
  <si>
    <t>Mang Ucup</t>
  </si>
  <si>
    <t>085238770404</t>
  </si>
  <si>
    <t>Reza, 085238770404, 
Apartemen Sudimara Forestwalk 
Tangerang selatan bintaro, 15413 pos, Lantai 01 Unit 0120, titip di resepsionis</t>
  </si>
  <si>
    <t>larasmentari1997@gmail.com</t>
  </si>
  <si>
    <t>Ramadhan 2026</t>
  </si>
  <si>
    <t xml:space="preserve">S25 ULTRA </t>
  </si>
  <si>
    <t>madaryanhadi</t>
  </si>
  <si>
    <t>081229622345</t>
  </si>
  <si>
    <t>Mada Riyanhadi
Jalan Babakan no. 20, RT4/RW10
Cigugur Girang, Kec. Parongpong, Kabupaten Bandung Barat,
Jawa Barat 40559
081229622345
Note: Rumah pagar hitam, ada pohon</t>
  </si>
  <si>
    <t>Buds 3FE  dan  Watch 8</t>
  </si>
  <si>
    <t>Jln By Pass IB Mantra Perum Chandra Asri Blok G 30 Denpasar timur, Bali 80235</t>
  </si>
  <si>
    <t>yohanatwen23@gmail.com</t>
  </si>
  <si>
    <t>Yohana</t>
  </si>
  <si>
    <t>Miracle 2026</t>
  </si>
  <si>
    <t>Rere Regita</t>
  </si>
  <si>
    <t>083838447565</t>
  </si>
  <si>
    <t>jl.mayor salim batu bara no298B1 ( RUKO WAROENG GOCENG) sekip ujung Kec,kemuning Kel. 20Ilir II Palembang Sumatera Selatan</t>
  </si>
  <si>
    <t>anandadili31@gmail.com</t>
  </si>
  <si>
    <t xml:space="preserve">Buds 4 </t>
  </si>
  <si>
    <t>gaby saputra</t>
  </si>
  <si>
    <t>0817240997</t>
  </si>
  <si>
    <t>Gaby
No. hp: 0817240997
Alamat: Villa galaxy, Jl. Edelweis Timur blok b 1 no 24-25, Jakasetia, Bekasi Selatan 17147</t>
  </si>
  <si>
    <t>Buds 4</t>
  </si>
  <si>
    <t>s25 edge</t>
  </si>
  <si>
    <t>buds 4</t>
  </si>
  <si>
    <t>buds 4 base</t>
  </si>
  <si>
    <t>sadam / irma</t>
  </si>
  <si>
    <t>081219106969</t>
  </si>
  <si>
    <t>irma 081219106969
pondok labu green garden no.2
cinere, depok</t>
  </si>
  <si>
    <t>buds 4 (box bertjorak)</t>
  </si>
  <si>
    <t>buds 4( box bertjorak )</t>
  </si>
  <si>
    <t xml:space="preserve">ghea </t>
  </si>
  <si>
    <t xml:space="preserve"> Andrew 081317639808</t>
  </si>
  <si>
    <t>Jl. Mertilang V KA4 No. 23 Bintaro, Pd. Pucung, Pd. Aren Tangerang Selatan, Banten  
Andrew 081317639808</t>
  </si>
  <si>
    <t>Galaxy Buds4 Pro - Gold - Unreturn</t>
  </si>
  <si>
    <t>Naykilla</t>
  </si>
  <si>
    <t>Nama: Fajar no: +62 851-4490-0425</t>
  </si>
  <si>
    <t>Fleekhauz R i10 no. 7, Lengkong Kulon, Pagedangan, Kab. Tangeran, Banten 15330</t>
  </si>
  <si>
    <t xml:space="preserve">Galaxy Buds4 </t>
  </si>
  <si>
    <t>Galaxy Buds4 Pro - Black - Unreturn</t>
  </si>
  <si>
    <t>+62 856-7725-586</t>
  </si>
  <si>
    <t>Juni Suara Kreasi
Jl. Jeruk Purut Dalam No.45F, RT.6/RW.3, Cilandak Tim., Kec. Ps. Minggu, Kota Jakarta Selatan, Daerah Khusus Ibukota Jakarta 12560</t>
  </si>
  <si>
    <t>Samsung DA Campaign</t>
  </si>
  <si>
    <t>Samsung Galaxy Z Flip 7</t>
  </si>
  <si>
    <t>Zahral  Antika</t>
  </si>
  <si>
    <t>Maison de Wisteria - Cakung
Wisteria, Arabella 7 No. 6 PA
Jl. Tambun Selatan No.9, RT.9/RW.8, Cakung Tim., Kec. Cakung, Kota Jakarta Timur, Daerah Khusus Ibukota Jakarta 13910</t>
  </si>
  <si>
    <t>Galaxy Buds4 Pro - Unreturn - Warna White</t>
  </si>
  <si>
    <t>Michael Achel</t>
  </si>
  <si>
    <t>+62 813-2323-3832</t>
  </si>
  <si>
    <t>Babatan Pratama XXVII, XX-115
Wiyung, Babatan, Surabaya, Jawa Timur, Indonesia 60227</t>
  </si>
  <si>
    <t>Galaxy Buds4 Base - Return - Black</t>
  </si>
  <si>
    <t>+62 812-1608-2516</t>
  </si>
  <si>
    <t>Artotel Casa Hangtuah yaah kamar 203</t>
  </si>
  <si>
    <t>Tab S11</t>
  </si>
  <si>
    <t>Tab S11 Base (yang tadi dikasih)</t>
  </si>
  <si>
    <t>Rainbow Springs Condovillas B10/G02 gading serpong , Cihuni . Kecamatan : Pagedangan , Tangerang , Banten Kode Pos : 15820</t>
  </si>
  <si>
    <t>Ramadan</t>
  </si>
  <si>
    <t>Tab S11 Ultra</t>
  </si>
  <si>
    <t>Muhammad Alvin</t>
  </si>
  <si>
    <t>081214619451</t>
  </si>
  <si>
    <t>Alamat ambil : Jalan Rancaherang No. 777/15B RT 008, RW 001, Kelurahan Sarijadi, Kecamatan Sukasari, Kota Bandung, Jawa Barat 40151
Ofan - 082129249929"
Alamat Antar 
Muhammad Alfian 
081214619451
Kos Bendungan Jatiluhur 30
Jl. Bend. Jatiluhur No.30RT.4/RW.1, Bend. Hilir, Kecamatan Tanah Abang, Kota Jakarta Pusat, Daerah Khusus Ibukota Jakarta 10210</t>
  </si>
  <si>
    <t>jasmine.influencergoat@gmail.com</t>
  </si>
  <si>
    <t>Jasmine Zivanka</t>
  </si>
  <si>
    <t>Muhamad Alvin - PLIS PAKE TIKI EXPRESS</t>
  </si>
  <si>
    <t>Muhammad Alfian  081214619451</t>
  </si>
  <si>
    <t>Jl. Namburan Lor no 1, Panembahan, Kraton, Yogyakarta, 55131
diambil barangnya dari sini : 
Jalan Rancaherang No. 777/15B RT 008, RW 001, Kelurahan Sarijadi, Kecamatan Sukasari, Kota Bandung, Jawa Barat 40151
Ofan - 082129249929</t>
  </si>
  <si>
    <t>wahabdin.sangadji@wppmedia.com</t>
  </si>
  <si>
    <t>Wahab</t>
  </si>
  <si>
    <t>Miracle Event</t>
  </si>
  <si>
    <t>089623323469</t>
  </si>
  <si>
    <t>RDTX Place LT 40</t>
  </si>
  <si>
    <t>Aliya</t>
  </si>
  <si>
    <t>UNPK</t>
  </si>
  <si>
    <t>Luddy</t>
  </si>
  <si>
    <t>Fery</t>
  </si>
  <si>
    <t>deena.alrizky@wppmedia.com</t>
  </si>
  <si>
    <t>Deena</t>
  </si>
  <si>
    <t xml:space="preserve">- </t>
  </si>
  <si>
    <t>Jerome/Jehian</t>
  </si>
  <si>
    <t>MyHome Apartment, Ascott Kuningan Jakarta, Unit 35F
Jl. Prof. DR. Satrio No.3-5, RT.18/RW.4
Karet Kuningan, Kecamatan Setiabudi, Kota Jakarta Selatan, Daerah Khusus Ibukota Jakarta (12940)</t>
  </si>
  <si>
    <t>laras.sayidatis@wppmedia.com</t>
  </si>
  <si>
    <t>Laras</t>
  </si>
  <si>
    <t>Zuhair</t>
  </si>
  <si>
    <t>Jl.Gabus Raya 19A Rt 04/09, Pasar Minggu, Jakarta Selatan 12520. (Notes : masuk gang samping tulisan AAA, rumah pertama pagar hitam)</t>
  </si>
  <si>
    <t>Shafa Lubis</t>
  </si>
  <si>
    <t>Jl tebet utara IV C no. 7 jaksel 12820 yaa</t>
  </si>
  <si>
    <t>Azzura Bisyir</t>
  </si>
  <si>
    <t>"Alamat : Jalan usaha No.8 
RT:006/RW:012
Desa/Kel: Cawang
Kec: Kramat Jati
Kota/Kab: Jakarta Timur
Kode Pos:13630
Patokan: sebrang Pos RT
No.hp :0856‑9311‑0693"</t>
  </si>
  <si>
    <t>Apip</t>
  </si>
  <si>
    <t>"Username: @apiipp
Nama Perusahaan: PIP DIGITAL KREATIF CV
No. Telp: 081222770604
Alamat : Jalan kemuning 1 nomor D1 rt 07 rw 06 pasar minggu Jakarta selatan pejaten timur 12510"</t>
  </si>
  <si>
    <t>Habib Jafar</t>
  </si>
  <si>
    <t>Jeda Nulis Office, Jl. Kemang Dalam IV J3, Bangka, Mampang Prpt, Jakarta Selatan.</t>
  </si>
  <si>
    <t>Tissa</t>
  </si>
  <si>
    <t>62 811-8700-222</t>
  </si>
  <si>
    <t xml:space="preserve">The H Mansion at Pejaten Blok A2
Jati Padang, Pasar Minggu
Jakarta Selatan - 12540 </t>
  </si>
  <si>
    <t>suluh.samba@wppmedia.com</t>
  </si>
  <si>
    <t>Sulu</t>
  </si>
  <si>
    <t>Harry Faugan</t>
  </si>
  <si>
    <t>dhyfa.nerbito@wppmedia.com</t>
  </si>
  <si>
    <t>Dhyfa</t>
  </si>
  <si>
    <t>62 878-2416-5691</t>
  </si>
  <si>
    <t>Jl. Pantai Berawa Pelambingan No.40, Tibubeneng, Kec. Kuta Utara, Kabupaten Badung, Bali 80361
Note: RIOS GUEST HOUSE, Umah 2, Room no. 208</t>
  </si>
  <si>
    <t>Don (Ambil Hati Agency_</t>
  </si>
  <si>
    <t>62 811-9512-113</t>
  </si>
  <si>
    <t>RDTX Place Lobby</t>
  </si>
  <si>
    <t>Sri</t>
  </si>
  <si>
    <t>G-Z-FOLD7 1TB BLUE SHADOW</t>
  </si>
  <si>
    <t>Prilly Latu Consina</t>
  </si>
  <si>
    <t>082113009285</t>
  </si>
  <si>
    <t>Bukit Griya Cinere
Jalan Biola G6 No.10
Limo-Depok</t>
  </si>
  <si>
    <t>GIVE IT TO DHYFA</t>
  </si>
  <si>
    <t>asterixa.abigail@wppmedia.com</t>
  </si>
  <si>
    <t>Abigail</t>
  </si>
  <si>
    <t>Reza Dharmawangsa</t>
  </si>
  <si>
    <t>DINSHA SABINA</t>
  </si>
  <si>
    <t>0895359551655</t>
  </si>
  <si>
    <t>JL DUKU RT 3 RW 4 NO 57, PETUKANGAN UTARA, PESANGGRAHAN, JAKARTA SELATAN 12260</t>
  </si>
  <si>
    <t>hamidah</t>
  </si>
  <si>
    <t>1 (646) 207-1535</t>
  </si>
  <si>
    <t>Adisti</t>
  </si>
  <si>
    <t>Jordy</t>
  </si>
  <si>
    <t>IMEI/SN (Mandatory)</t>
  </si>
  <si>
    <t>From KOL</t>
  </si>
  <si>
    <t>NEXT STEP</t>
  </si>
  <si>
    <t>Link Time Stamp</t>
  </si>
  <si>
    <t>Validate Data Bank</t>
  </si>
  <si>
    <t>LAST STATUS</t>
  </si>
  <si>
    <t>LAST HOLDER</t>
  </si>
  <si>
    <t>Validate OLD Data</t>
  </si>
  <si>
    <t>No</t>
  </si>
  <si>
    <t>Name</t>
  </si>
  <si>
    <t>Devices</t>
  </si>
  <si>
    <t>Already Back?</t>
  </si>
  <si>
    <t>but box only (device still loaned)</t>
  </si>
  <si>
    <t>OLD DATA VALIDATION</t>
  </si>
  <si>
    <t>Jesicha</t>
  </si>
  <si>
    <t>S25 FE</t>
  </si>
  <si>
    <t>Jelita</t>
  </si>
  <si>
    <t>⁠Yohana</t>
  </si>
  <si>
    <t>ekki</t>
  </si>
  <si>
    <t>S25 ultra</t>
  </si>
  <si>
    <t>⁠kanira</t>
  </si>
  <si>
    <t>⁠salma</t>
  </si>
  <si>
    <t>⁠abigail</t>
  </si>
  <si>
    <t>⁠hamidah</t>
  </si>
  <si>
    <t>⁠Jasmine</t>
  </si>
  <si>
    <t>PH (Syndicate) - 1</t>
  </si>
  <si>
    <t>S25 FE (On Hold Ayu)</t>
  </si>
  <si>
    <t>PH (Syndicate) - 2</t>
  </si>
  <si>
    <t>PH (Syndicate) - 3</t>
  </si>
  <si>
    <t>PH (Syndicate) - 4</t>
  </si>
  <si>
    <t>PH (Syndicate) - 5</t>
  </si>
  <si>
    <t>hubz</t>
  </si>
  <si>
    <t>Aufa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</si>
</sst>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-mmm-yy"/>
    <numFmt numFmtId="165" formatCode="d-mmm"/>
    <numFmt numFmtId="166" formatCode="d-mmmm-yy"/>
    <numFmt numFmtId="167" formatCode="d-mmm-yyyy"/>
    <numFmt numFmtId="168" formatCode="d&quot; &quot;mmm&quot; &quot;yyyy"/>
    <numFmt numFmtId="169" formatCode="d mmmm yyyy"/>
    <numFmt numFmtId="170" formatCode="d mmm yyyy"/>
    <numFmt numFmtId="171" formatCode="M/d/yyyy H:mm:ss"/>
    <numFmt numFmtId="172" formatCode="M/d/yyyy"/>
    <numFmt numFmtId="173" formatCode="m/d/yyyy h:mm:ss"/>
    <numFmt numFmtId="174" formatCode="m/d/yyyy"/>
    <numFmt numFmtId="175" formatCode="m yyyy"/>
  </numFmts>
  <fonts count="3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rgb="FF000000"/>
      <name val="Arial"/>
      <scheme val="minor"/>
    </font>
    <font>
      <u/>
      <color theme="1"/>
      <name val="Arial"/>
      <scheme val="minor"/>
    </font>
    <font>
      <u/>
      <color rgb="FF0000FF"/>
    </font>
    <font>
      <b/>
      <sz val="12.0"/>
      <color rgb="FF000000"/>
      <name val="&quot;Aptos Narrow&quot;"/>
    </font>
    <font>
      <b/>
      <sz val="12.0"/>
      <color rgb="FFFFFFFF"/>
      <name val="&quot;Aptos Narrow&quot;"/>
    </font>
    <font>
      <sz val="14.0"/>
      <color theme="1"/>
      <name val="Arial"/>
      <scheme val="minor"/>
    </font>
    <font>
      <i/>
      <sz val="12.0"/>
      <color rgb="FFFF0000"/>
      <name val="&quot;Aptos Narrow&quot;"/>
    </font>
    <font>
      <u/>
      <sz val="12.0"/>
      <color rgb="FF0000FF"/>
      <name val="&quot;Aptos Narrow&quot;"/>
    </font>
    <font>
      <sz val="12.0"/>
      <color rgb="FF000000"/>
      <name val="&quot;Aptos Narrow&quot;"/>
    </font>
    <font>
      <u/>
      <sz val="12.0"/>
      <color rgb="FF0000FF"/>
      <name val="&quot;Aptos Narrow&quot;"/>
    </font>
    <font>
      <sz val="12.0"/>
      <color rgb="FF000000"/>
      <name val="&quot;Aptos Display&quot;"/>
    </font>
    <font>
      <sz val="12.0"/>
      <color theme="1"/>
      <name val="Calibri"/>
    </font>
    <font>
      <sz val="12.0"/>
      <color rgb="FF000000"/>
      <name val="Arial"/>
    </font>
    <font>
      <b/>
      <u/>
      <sz val="11.0"/>
      <color theme="1"/>
      <name val="Arial"/>
    </font>
    <font>
      <b/>
      <sz val="11.0"/>
      <color rgb="FFFFFFFF"/>
      <name val="Poppins"/>
    </font>
    <font>
      <b/>
      <sz val="11.0"/>
      <color rgb="FFFFFFFF"/>
      <name val="Arial"/>
    </font>
    <font>
      <b/>
      <sz val="11.0"/>
      <color rgb="FFFFFFFF"/>
      <name val="Aptos Narrow"/>
    </font>
    <font>
      <u/>
      <sz val="11.0"/>
      <color theme="1"/>
      <name val="Arial"/>
    </font>
    <font>
      <sz val="11.0"/>
      <color theme="1"/>
      <name val="Poppins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u/>
      <sz val="11.0"/>
      <color rgb="FF0000FF"/>
      <name val="Aptos Narrow"/>
    </font>
    <font>
      <b/>
      <sz val="11.0"/>
      <color theme="1"/>
      <name val="Poppins"/>
    </font>
    <font>
      <b/>
      <sz val="11.0"/>
      <color theme="1"/>
      <name val="Arial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4EA72E"/>
        <bgColor rgb="FF4EA72E"/>
      </patternFill>
    </fill>
    <fill>
      <patternFill patternType="solid">
        <fgColor rgb="FF47D359"/>
        <bgColor rgb="FF47D359"/>
      </patternFill>
    </fill>
    <fill>
      <patternFill patternType="solid">
        <fgColor rgb="FFDAF2D0"/>
        <bgColor rgb="FFDAF2D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44B3E1"/>
      </top>
    </border>
    <border>
      <top style="thin">
        <color rgb="FF44B3E1"/>
      </top>
      <bottom style="thin">
        <color rgb="FF44B3E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2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1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0" fillId="0" fontId="2" numFmtId="0" xfId="0" applyAlignment="1" applyFont="1">
      <alignment horizontal="left" shrinkToFit="0" wrapText="0"/>
    </xf>
    <xf borderId="0" fillId="0" fontId="7" numFmtId="0" xfId="0" applyAlignment="1" applyFont="1">
      <alignment readingOrder="0" shrinkToFit="0" wrapText="0"/>
    </xf>
    <xf borderId="4" fillId="3" fontId="8" numFmtId="0" xfId="0" applyAlignment="1" applyBorder="1" applyFill="1" applyFont="1">
      <alignment horizontal="center" readingOrder="0" shrinkToFit="0" wrapText="0"/>
    </xf>
    <xf borderId="4" fillId="3" fontId="8" numFmtId="0" xfId="0" applyAlignment="1" applyBorder="1" applyFont="1">
      <alignment horizontal="center" readingOrder="0"/>
    </xf>
    <xf borderId="0" fillId="0" fontId="7" numFmtId="0" xfId="0" applyAlignment="1" applyFont="1">
      <alignment shrinkToFit="0" wrapText="0"/>
    </xf>
    <xf borderId="0" fillId="0" fontId="9" numFmtId="0" xfId="0" applyFont="1"/>
    <xf borderId="0" fillId="0" fontId="10" numFmtId="0" xfId="0" applyAlignment="1" applyFont="1">
      <alignment horizontal="center" readingOrder="0" shrinkToFit="0" wrapText="0"/>
    </xf>
    <xf borderId="0" fillId="4" fontId="10" numFmtId="164" xfId="0" applyAlignment="1" applyFill="1" applyFont="1" applyNumberFormat="1">
      <alignment horizontal="center" readingOrder="0" shrinkToFit="0" wrapText="0"/>
    </xf>
    <xf borderId="0" fillId="4" fontId="10" numFmtId="0" xfId="0" applyAlignment="1" applyFont="1">
      <alignment horizontal="center" readingOrder="0" shrinkToFit="0" wrapText="0"/>
    </xf>
    <xf borderId="0" fillId="4" fontId="10" numFmtId="0" xfId="0" applyAlignment="1" applyFont="1">
      <alignment horizontal="center" readingOrder="0"/>
    </xf>
    <xf borderId="0" fillId="4" fontId="10" numFmtId="0" xfId="0" applyAlignment="1" applyFont="1">
      <alignment horizontal="center" shrinkToFit="0" wrapText="0"/>
    </xf>
    <xf borderId="0" fillId="0" fontId="11" numFmtId="0" xfId="0" applyAlignment="1" applyFont="1">
      <alignment horizontal="center" readingOrder="0"/>
    </xf>
    <xf borderId="5" fillId="4" fontId="10" numFmtId="165" xfId="0" applyAlignment="1" applyBorder="1" applyFont="1" applyNumberFormat="1">
      <alignment horizontal="center" readingOrder="0" shrinkToFit="0" wrapText="0"/>
    </xf>
    <xf borderId="0" fillId="4" fontId="12" numFmtId="0" xfId="0" applyAlignment="1" applyFont="1">
      <alignment horizontal="center" shrinkToFit="0" wrapText="0"/>
    </xf>
    <xf borderId="0" fillId="0" fontId="10" numFmtId="0" xfId="0" applyAlignment="1" applyFont="1">
      <alignment shrinkToFit="0" wrapText="0"/>
    </xf>
    <xf borderId="0" fillId="0" fontId="12" numFmtId="0" xfId="0" applyAlignment="1" applyFont="1">
      <alignment shrinkToFit="0" wrapText="0"/>
    </xf>
    <xf borderId="0" fillId="0" fontId="12" numFmtId="164" xfId="0" applyAlignment="1" applyFont="1" applyNumberFormat="1">
      <alignment horizontal="center" readingOrder="0" shrinkToFit="0" wrapText="0"/>
    </xf>
    <xf borderId="0" fillId="0" fontId="12" numFmtId="0" xfId="0" applyAlignment="1" applyFont="1">
      <alignment horizontal="center" readingOrder="0" shrinkToFit="0" wrapText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 shrinkToFit="0" wrapText="0"/>
    </xf>
    <xf borderId="0" fillId="0" fontId="13" numFmtId="0" xfId="0" applyAlignment="1" applyFont="1">
      <alignment horizontal="center" readingOrder="0" shrinkToFit="0" wrapText="0"/>
    </xf>
    <xf borderId="0" fillId="4" fontId="12" numFmtId="164" xfId="0" applyAlignment="1" applyFont="1" applyNumberFormat="1">
      <alignment horizontal="center" readingOrder="0" shrinkToFit="0" wrapText="0"/>
    </xf>
    <xf borderId="0" fillId="4" fontId="12" numFmtId="0" xfId="0" applyAlignment="1" applyFont="1">
      <alignment horizontal="center" readingOrder="0" shrinkToFit="0" wrapText="0"/>
    </xf>
    <xf borderId="0" fillId="5" fontId="12" numFmtId="0" xfId="0" applyAlignment="1" applyFill="1" applyFont="1">
      <alignment horizontal="center" readingOrder="0"/>
    </xf>
    <xf borderId="0" fillId="0" fontId="10" numFmtId="164" xfId="0" applyAlignment="1" applyFont="1" applyNumberFormat="1">
      <alignment horizontal="center" readingOrder="0" shrinkToFit="0" wrapText="0"/>
    </xf>
    <xf borderId="0" fillId="4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4" fontId="12" numFmtId="0" xfId="0" applyAlignment="1" applyFont="1">
      <alignment horizontal="center"/>
    </xf>
    <xf borderId="0" fillId="6" fontId="12" numFmtId="164" xfId="0" applyAlignment="1" applyFill="1" applyFont="1" applyNumberFormat="1">
      <alignment horizontal="center" readingOrder="0" shrinkToFit="0" wrapText="0"/>
    </xf>
    <xf borderId="0" fillId="0" fontId="10" numFmtId="0" xfId="0" applyAlignment="1" applyFont="1">
      <alignment horizontal="center" shrinkToFit="0" wrapText="0"/>
    </xf>
    <xf borderId="0" fillId="4" fontId="14" numFmtId="0" xfId="0" applyAlignment="1" applyFont="1">
      <alignment horizontal="center" readingOrder="0" shrinkToFit="0" wrapText="0"/>
    </xf>
    <xf borderId="0" fillId="4" fontId="12" numFmtId="0" xfId="0" applyAlignment="1" applyFont="1">
      <alignment horizontal="center" readingOrder="0" shrinkToFit="0" vertical="bottom" wrapText="0"/>
    </xf>
    <xf borderId="0" fillId="5" fontId="12" numFmtId="0" xfId="0" applyAlignment="1" applyFont="1">
      <alignment horizontal="center" readingOrder="0" shrinkToFit="0" wrapText="0"/>
    </xf>
    <xf borderId="0" fillId="7" fontId="12" numFmtId="164" xfId="0" applyAlignment="1" applyFill="1" applyFont="1" applyNumberFormat="1">
      <alignment horizontal="center" readingOrder="0" shrinkToFit="0" wrapText="0"/>
    </xf>
    <xf borderId="0" fillId="4" fontId="7" numFmtId="0" xfId="0" applyAlignment="1" applyFont="1">
      <alignment horizontal="center" readingOrder="0" shrinkToFit="0" wrapText="0"/>
    </xf>
    <xf borderId="0" fillId="4" fontId="12" numFmtId="166" xfId="0" applyAlignment="1" applyFont="1" applyNumberFormat="1">
      <alignment horizontal="center" readingOrder="0" shrinkToFit="0" wrapText="0"/>
    </xf>
    <xf borderId="0" fillId="0" fontId="12" numFmtId="166" xfId="0" applyAlignment="1" applyFont="1" applyNumberFormat="1">
      <alignment horizontal="center" readingOrder="0" shrinkToFit="0" wrapText="0"/>
    </xf>
    <xf borderId="0" fillId="8" fontId="12" numFmtId="0" xfId="0" applyAlignment="1" applyFill="1" applyFont="1">
      <alignment horizontal="center" readingOrder="0" shrinkToFit="0" wrapText="0"/>
    </xf>
    <xf borderId="0" fillId="5" fontId="12" numFmtId="0" xfId="0" applyAlignment="1" applyFont="1">
      <alignment shrinkToFit="0" wrapText="0"/>
    </xf>
    <xf borderId="0" fillId="0" fontId="12" numFmtId="0" xfId="0" applyAlignment="1" applyFont="1">
      <alignment readingOrder="0" shrinkToFit="0" wrapText="0"/>
    </xf>
    <xf borderId="6" fillId="0" fontId="12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horizontal="center" shrinkToFit="0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6" fillId="4" fontId="12" numFmtId="0" xfId="0" applyAlignment="1" applyBorder="1" applyFont="1">
      <alignment horizontal="center" readingOrder="0" shrinkToFit="0" wrapText="0"/>
    </xf>
    <xf borderId="0" fillId="0" fontId="12" numFmtId="165" xfId="0" applyAlignment="1" applyFont="1" applyNumberFormat="1">
      <alignment horizontal="center" readingOrder="0" shrinkToFit="0" wrapText="0"/>
    </xf>
    <xf borderId="0" fillId="0" fontId="15" numFmtId="0" xfId="0" applyAlignment="1" applyFont="1">
      <alignment horizontal="center" readingOrder="0" shrinkToFit="0" wrapText="0"/>
    </xf>
    <xf borderId="0" fillId="0" fontId="16" numFmtId="11" xfId="0" applyAlignment="1" applyFont="1" applyNumberFormat="1">
      <alignment horizontal="right" readingOrder="0" shrinkToFit="0" vertical="bottom" wrapText="0"/>
    </xf>
    <xf borderId="0" fillId="0" fontId="12" numFmtId="11" xfId="0" applyAlignment="1" applyFont="1" applyNumberFormat="1">
      <alignment horizontal="center" readingOrder="0" shrinkToFit="0" wrapText="0"/>
    </xf>
    <xf borderId="7" fillId="0" fontId="15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wrapText="0"/>
    </xf>
    <xf borderId="0" fillId="0" fontId="17" numFmtId="0" xfId="0" applyAlignment="1" applyFont="1">
      <alignment vertical="bottom"/>
    </xf>
    <xf borderId="1" fillId="3" fontId="18" numFmtId="0" xfId="0" applyAlignment="1" applyBorder="1" applyFont="1">
      <alignment horizontal="center" vertical="bottom"/>
    </xf>
    <xf borderId="1" fillId="3" fontId="19" numFmtId="0" xfId="0" applyAlignment="1" applyBorder="1" applyFont="1">
      <alignment horizontal="center" vertical="bottom"/>
    </xf>
    <xf borderId="1" fillId="3" fontId="20" numFmtId="0" xfId="0" applyAlignment="1" applyBorder="1" applyFont="1">
      <alignment horizontal="center" vertical="bottom"/>
    </xf>
    <xf borderId="0" fillId="0" fontId="21" numFmtId="0" xfId="0" applyAlignment="1" applyFont="1">
      <alignment vertical="bottom"/>
    </xf>
    <xf borderId="1" fillId="0" fontId="22" numFmtId="164" xfId="0" applyAlignment="1" applyBorder="1" applyFont="1" applyNumberFormat="1">
      <alignment horizontal="center" vertical="bottom"/>
    </xf>
    <xf borderId="1" fillId="0" fontId="22" numFmtId="0" xfId="0" applyAlignment="1" applyBorder="1" applyFont="1">
      <alignment horizontal="center" vertical="bottom"/>
    </xf>
    <xf borderId="6" fillId="0" fontId="23" numFmtId="0" xfId="0" applyAlignment="1" applyBorder="1" applyFont="1">
      <alignment vertical="bottom"/>
    </xf>
    <xf borderId="6" fillId="0" fontId="24" numFmtId="0" xfId="0" applyAlignment="1" applyBorder="1" applyFont="1">
      <alignment horizontal="center" vertical="bottom"/>
    </xf>
    <xf borderId="8" fillId="4" fontId="23" numFmtId="0" xfId="0" applyAlignment="1" applyBorder="1" applyFont="1">
      <alignment vertical="bottom"/>
    </xf>
    <xf borderId="8" fillId="0" fontId="23" numFmtId="0" xfId="0" applyAlignment="1" applyBorder="1" applyFont="1">
      <alignment vertical="bottom"/>
    </xf>
    <xf borderId="1" fillId="5" fontId="22" numFmtId="164" xfId="0" applyAlignment="1" applyBorder="1" applyFont="1" applyNumberFormat="1">
      <alignment horizontal="center" vertical="bottom"/>
    </xf>
    <xf borderId="1" fillId="5" fontId="22" numFmtId="0" xfId="0" applyAlignment="1" applyBorder="1" applyFont="1">
      <alignment horizontal="center" vertical="bottom"/>
    </xf>
    <xf borderId="6" fillId="0" fontId="25" numFmtId="0" xfId="0" applyAlignment="1" applyBorder="1" applyFont="1">
      <alignment horizontal="center" vertical="bottom"/>
    </xf>
    <xf borderId="0" fillId="0" fontId="23" numFmtId="0" xfId="0" applyAlignment="1" applyFont="1">
      <alignment vertical="bottom"/>
    </xf>
    <xf borderId="1" fillId="9" fontId="22" numFmtId="164" xfId="0" applyAlignment="1" applyBorder="1" applyFill="1" applyFont="1" applyNumberFormat="1">
      <alignment horizontal="center" vertical="bottom"/>
    </xf>
    <xf borderId="1" fillId="9" fontId="22" numFmtId="0" xfId="0" applyAlignment="1" applyBorder="1" applyFont="1">
      <alignment horizontal="center" vertical="bottom"/>
    </xf>
    <xf borderId="0" fillId="0" fontId="25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24" numFmtId="0" xfId="0" applyAlignment="1" applyFont="1">
      <alignment vertical="bottom"/>
    </xf>
    <xf borderId="1" fillId="10" fontId="22" numFmtId="164" xfId="0" applyAlignment="1" applyBorder="1" applyFill="1" applyFont="1" applyNumberFormat="1">
      <alignment horizontal="center" vertical="bottom"/>
    </xf>
    <xf borderId="1" fillId="10" fontId="22" numFmtId="0" xfId="0" applyAlignment="1" applyBorder="1" applyFont="1">
      <alignment horizontal="center" vertical="bottom"/>
    </xf>
    <xf borderId="1" fillId="0" fontId="23" numFmtId="0" xfId="0" applyAlignment="1" applyBorder="1" applyFont="1">
      <alignment vertical="bottom"/>
    </xf>
    <xf borderId="1" fillId="10" fontId="27" numFmtId="0" xfId="0" applyAlignment="1" applyBorder="1" applyFont="1">
      <alignment horizontal="center" vertical="bottom"/>
    </xf>
    <xf borderId="0" fillId="10" fontId="25" numFmtId="0" xfId="0" applyAlignment="1" applyFont="1">
      <alignment vertical="bottom"/>
    </xf>
    <xf borderId="1" fillId="10" fontId="23" numFmtId="0" xfId="0" applyAlignment="1" applyBorder="1" applyFont="1">
      <alignment vertical="bottom"/>
    </xf>
    <xf borderId="0" fillId="0" fontId="23" numFmtId="164" xfId="0" applyAlignment="1" applyFont="1" applyNumberFormat="1">
      <alignment vertical="bottom"/>
    </xf>
    <xf borderId="0" fillId="5" fontId="23" numFmtId="0" xfId="0" applyAlignment="1" applyFont="1">
      <alignment vertical="bottom"/>
    </xf>
    <xf borderId="1" fillId="5" fontId="23" numFmtId="0" xfId="0" applyAlignment="1" applyBorder="1" applyFont="1">
      <alignment vertical="bottom"/>
    </xf>
    <xf borderId="0" fillId="0" fontId="25" numFmtId="0" xfId="0" applyAlignment="1" applyFont="1">
      <alignment horizontal="center" vertical="bottom"/>
    </xf>
    <xf borderId="1" fillId="9" fontId="23" numFmtId="0" xfId="0" applyAlignment="1" applyBorder="1" applyFont="1">
      <alignment vertical="bottom"/>
    </xf>
    <xf borderId="1" fillId="5" fontId="27" numFmtId="0" xfId="0" applyAlignment="1" applyBorder="1" applyFont="1">
      <alignment horizontal="center" vertical="bottom"/>
    </xf>
    <xf borderId="0" fillId="0" fontId="25" numFmtId="164" xfId="0" applyAlignment="1" applyFont="1" applyNumberFormat="1">
      <alignment horizontal="right" vertical="bottom"/>
    </xf>
    <xf borderId="0" fillId="10" fontId="23" numFmtId="0" xfId="0" applyAlignment="1" applyFont="1">
      <alignment vertical="bottom"/>
    </xf>
    <xf borderId="1" fillId="10" fontId="23" numFmtId="164" xfId="0" applyAlignment="1" applyBorder="1" applyFont="1" applyNumberFormat="1">
      <alignment vertical="bottom"/>
    </xf>
    <xf borderId="0" fillId="0" fontId="23" numFmtId="0" xfId="0" applyFont="1"/>
    <xf borderId="1" fillId="0" fontId="23" numFmtId="0" xfId="0" applyBorder="1" applyFont="1"/>
    <xf borderId="1" fillId="11" fontId="23" numFmtId="0" xfId="0" applyBorder="1" applyFill="1" applyFont="1"/>
    <xf borderId="1" fillId="11" fontId="22" numFmtId="0" xfId="0" applyAlignment="1" applyBorder="1" applyFont="1">
      <alignment horizontal="center"/>
    </xf>
    <xf borderId="1" fillId="11" fontId="22" numFmtId="0" xfId="0" applyAlignment="1" applyBorder="1" applyFont="1">
      <alignment horizontal="center" vertical="bottom"/>
    </xf>
    <xf borderId="1" fillId="9" fontId="22" numFmtId="0" xfId="0" applyAlignment="1" applyBorder="1" applyFont="1">
      <alignment horizontal="center"/>
    </xf>
    <xf borderId="1" fillId="9" fontId="22" numFmtId="0" xfId="0" applyAlignment="1" applyBorder="1" applyFont="1">
      <alignment vertical="bottom"/>
    </xf>
    <xf borderId="1" fillId="0" fontId="22" numFmtId="167" xfId="0" applyAlignment="1" applyBorder="1" applyFont="1" applyNumberFormat="1">
      <alignment horizontal="right" vertical="bottom"/>
    </xf>
    <xf borderId="1" fillId="0" fontId="22" numFmtId="0" xfId="0" applyAlignment="1" applyBorder="1" applyFont="1">
      <alignment horizontal="center"/>
    </xf>
    <xf borderId="1" fillId="0" fontId="22" numFmtId="0" xfId="0" applyAlignment="1" applyBorder="1" applyFont="1">
      <alignment vertical="bottom"/>
    </xf>
    <xf borderId="0" fillId="0" fontId="2" numFmtId="0" xfId="0" applyAlignment="1" applyFont="1">
      <alignment shrinkToFit="0" vertical="center" wrapText="1"/>
    </xf>
    <xf borderId="1" fillId="12" fontId="28" numFmtId="0" xfId="0" applyAlignment="1" applyBorder="1" applyFill="1" applyFont="1">
      <alignment horizontal="center" readingOrder="0" shrinkToFit="0" vertical="center" wrapText="1"/>
    </xf>
    <xf borderId="1" fillId="12" fontId="29" numFmtId="0" xfId="0" applyAlignment="1" applyBorder="1" applyFont="1">
      <alignment horizontal="center" readingOrder="0" shrinkToFit="0" vertical="center" wrapText="1"/>
    </xf>
    <xf borderId="0" fillId="12" fontId="29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shrinkToFit="0" vertical="center" wrapText="1"/>
    </xf>
    <xf borderId="1" fillId="0" fontId="23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13" fontId="30" numFmtId="168" xfId="0" applyAlignment="1" applyFill="1" applyFont="1" applyNumberFormat="1">
      <alignment horizontal="center" readingOrder="0" shrinkToFit="0" vertical="center" wrapText="1"/>
    </xf>
    <xf borderId="0" fillId="13" fontId="30" numFmtId="0" xfId="0" applyAlignment="1" applyFont="1">
      <alignment horizontal="center" readingOrder="0" shrinkToFit="0" vertical="center" wrapText="1"/>
    </xf>
    <xf borderId="0" fillId="13" fontId="30" numFmtId="0" xfId="0" applyAlignment="1" applyFont="1">
      <alignment horizontal="center" readingOrder="0" shrinkToFit="0" vertical="center" wrapText="0"/>
    </xf>
    <xf borderId="0" fillId="13" fontId="3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2" numFmtId="0" xfId="0" applyFont="1"/>
    <xf borderId="0" fillId="0" fontId="25" numFmtId="168" xfId="0" applyAlignment="1" applyFont="1" applyNumberFormat="1">
      <alignment horizontal="center" shrinkToFit="0" wrapText="1"/>
    </xf>
    <xf borderId="0" fillId="0" fontId="25" numFmtId="0" xfId="0" applyAlignment="1" applyFont="1">
      <alignment horizontal="center" shrinkToFit="0" wrapText="1"/>
    </xf>
    <xf borderId="0" fillId="0" fontId="25" numFmtId="0" xfId="0" applyAlignment="1" applyFont="1">
      <alignment horizontal="center" readingOrder="0" shrinkToFit="0" wrapText="1"/>
    </xf>
    <xf borderId="0" fillId="0" fontId="32" numFmtId="0" xfId="0" applyAlignment="1" applyFont="1">
      <alignment readingOrder="0" shrinkToFit="0" wrapText="0"/>
    </xf>
    <xf borderId="0" fillId="0" fontId="25" numFmtId="169" xfId="0" applyAlignment="1" applyFont="1" applyNumberFormat="1">
      <alignment horizontal="center" shrinkToFit="0" wrapText="1"/>
    </xf>
    <xf borderId="0" fillId="0" fontId="24" numFmtId="0" xfId="0" applyFont="1"/>
    <xf borderId="0" fillId="0" fontId="25" numFmtId="0" xfId="0" applyAlignment="1" applyFont="1">
      <alignment horizontal="center"/>
    </xf>
    <xf borderId="0" fillId="0" fontId="24" numFmtId="0" xfId="0" applyAlignment="1" applyFont="1">
      <alignment horizontal="center"/>
    </xf>
    <xf borderId="0" fillId="0" fontId="32" numFmtId="0" xfId="0" applyFont="1"/>
    <xf borderId="0" fillId="0" fontId="25" numFmtId="0" xfId="0" applyAlignment="1" applyFont="1">
      <alignment readingOrder="0" shrinkToFit="0" wrapText="0"/>
    </xf>
    <xf borderId="0" fillId="0" fontId="25" numFmtId="168" xfId="0" applyAlignment="1" applyFont="1" applyNumberFormat="1">
      <alignment horizontal="center" shrinkToFit="0" wrapText="1"/>
    </xf>
    <xf borderId="0" fillId="0" fontId="25" numFmtId="0" xfId="0" applyAlignment="1" applyFont="1">
      <alignment horizontal="center" readingOrder="0"/>
    </xf>
    <xf borderId="0" fillId="0" fontId="25" numFmtId="0" xfId="0" applyAlignment="1" applyFont="1">
      <alignment shrinkToFit="0" wrapText="0"/>
    </xf>
    <xf borderId="0" fillId="0" fontId="25" numFmtId="0" xfId="0" applyFont="1"/>
    <xf borderId="0" fillId="0" fontId="24" numFmtId="0" xfId="0" applyAlignment="1" applyFont="1">
      <alignment horizontal="center" shrinkToFit="0" wrapText="1"/>
    </xf>
    <xf borderId="0" fillId="0" fontId="32" numFmtId="168" xfId="0" applyAlignment="1" applyFont="1" applyNumberFormat="1">
      <alignment horizontal="center" readingOrder="0"/>
    </xf>
    <xf borderId="0" fillId="0" fontId="32" numFmtId="0" xfId="0" applyAlignment="1" applyFont="1">
      <alignment horizontal="center" readingOrder="0"/>
    </xf>
    <xf borderId="0" fillId="0" fontId="32" numFmtId="0" xfId="0" applyAlignment="1" applyFont="1">
      <alignment horizontal="left" readingOrder="0" shrinkToFit="0" wrapText="0"/>
    </xf>
    <xf borderId="0" fillId="0" fontId="32" numFmtId="0" xfId="0" applyAlignment="1" applyFont="1">
      <alignment horizontal="center" readingOrder="0" shrinkToFit="0" wrapText="1"/>
    </xf>
    <xf borderId="0" fillId="0" fontId="32" numFmtId="0" xfId="0" applyAlignment="1" applyFont="1">
      <alignment horizontal="center"/>
    </xf>
    <xf borderId="0" fillId="0" fontId="32" numFmtId="169" xfId="0" applyAlignment="1" applyFont="1" applyNumberFormat="1">
      <alignment horizontal="center" readingOrder="0"/>
    </xf>
    <xf borderId="0" fillId="0" fontId="32" numFmtId="0" xfId="0" applyAlignment="1" applyFont="1">
      <alignment readingOrder="0"/>
    </xf>
    <xf borderId="0" fillId="0" fontId="32" numFmtId="0" xfId="0" applyAlignment="1" applyFont="1">
      <alignment horizontal="left" readingOrder="0"/>
    </xf>
    <xf borderId="0" fillId="0" fontId="32" numFmtId="1" xfId="0" applyAlignment="1" applyFont="1" applyNumberFormat="1">
      <alignment horizontal="center" readingOrder="0"/>
    </xf>
    <xf borderId="0" fillId="0" fontId="32" numFmtId="17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4" numFmtId="0" xfId="0" applyAlignment="1" applyFont="1">
      <alignment horizontal="left"/>
    </xf>
    <xf borderId="0" fillId="0" fontId="32" numFmtId="168" xfId="0" applyAlignment="1" applyFont="1" applyNumberFormat="1">
      <alignment horizontal="center"/>
    </xf>
    <xf borderId="0" fillId="0" fontId="32" numFmtId="0" xfId="0" applyAlignment="1" applyFont="1">
      <alignment shrinkToFit="0" wrapText="0"/>
    </xf>
    <xf borderId="0" fillId="13" fontId="30" numFmtId="0" xfId="0" applyAlignment="1" applyFont="1">
      <alignment horizontal="center" shrinkToFit="0" vertical="center" wrapText="1"/>
    </xf>
    <xf borderId="0" fillId="0" fontId="2" numFmtId="168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69" xfId="0" applyAlignment="1" applyFont="1" applyNumberFormat="1">
      <alignment horizontal="center"/>
    </xf>
    <xf borderId="0" fillId="13" fontId="30" numFmtId="0" xfId="0" applyAlignment="1" applyFont="1">
      <alignment horizontal="left" readingOrder="0" shrinkToFit="0" vertical="center" wrapText="1"/>
    </xf>
    <xf borderId="0" fillId="0" fontId="2" numFmtId="168" xfId="0" applyFont="1" applyNumberFormat="1"/>
    <xf borderId="0" fillId="0" fontId="2" numFmtId="169" xfId="0" applyFont="1" applyNumberFormat="1"/>
    <xf borderId="0" fillId="0" fontId="29" numFmtId="0" xfId="0" applyAlignment="1" applyFont="1">
      <alignment horizontal="left" readingOrder="0" shrinkToFit="0" vertical="center" wrapText="0"/>
    </xf>
    <xf borderId="0" fillId="0" fontId="29" numFmtId="0" xfId="0" applyAlignment="1" applyFont="1">
      <alignment horizontal="left" readingOrder="0" shrinkToFit="0" vertical="center" wrapText="0"/>
    </xf>
    <xf borderId="0" fillId="0" fontId="29" numFmtId="0" xfId="0" applyAlignment="1" applyFont="1">
      <alignment horizontal="center" readingOrder="0" shrinkToFit="0" vertical="center" wrapText="0"/>
    </xf>
    <xf borderId="0" fillId="0" fontId="29" numFmtId="0" xfId="0" applyFont="1"/>
    <xf borderId="0" fillId="0" fontId="2" numFmtId="171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72" xfId="0" applyAlignment="1" applyFont="1" applyNumberFormat="1">
      <alignment horizontal="right" readingOrder="0" shrinkToFit="0" vertical="center" wrapText="0"/>
    </xf>
    <xf borderId="0" fillId="0" fontId="2" numFmtId="171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72" xfId="0" applyAlignment="1" applyFont="1" applyNumberForma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73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33" numFmtId="0" xfId="0" applyAlignment="1" applyFont="1">
      <alignment horizontal="center" shrinkToFit="0" vertical="center" wrapText="1"/>
    </xf>
    <xf borderId="0" fillId="0" fontId="34" numFmtId="0" xfId="0" applyAlignment="1" applyFont="1">
      <alignment readingOrder="0" shrinkToFit="0" vertical="center" wrapText="0"/>
    </xf>
    <xf borderId="0" fillId="0" fontId="34" numFmtId="0" xfId="0" applyAlignment="1" applyFont="1">
      <alignment horizontal="center" readingOrder="0" shrinkToFit="0" vertical="center" wrapText="0"/>
    </xf>
    <xf borderId="0" fillId="0" fontId="2" numFmtId="172" xfId="0" applyAlignment="1" applyFont="1" applyNumberFormat="1">
      <alignment readingOrder="0" shrinkToFit="0" vertical="center" wrapText="0"/>
    </xf>
    <xf quotePrefix="1" borderId="0" fillId="0" fontId="2" numFmtId="0" xfId="0" applyAlignment="1" applyFont="1">
      <alignment horizontal="left" readingOrder="0" shrinkToFit="0" vertical="center" wrapText="0"/>
    </xf>
    <xf borderId="0" fillId="0" fontId="3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74" xfId="0" applyAlignment="1" applyFont="1" applyNumberForma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14" fontId="1" numFmtId="0" xfId="0" applyAlignment="1" applyFill="1" applyFont="1">
      <alignment horizontal="center" shrinkToFit="0" vertical="center" wrapText="1"/>
    </xf>
    <xf borderId="0" fillId="15" fontId="1" numFmtId="0" xfId="0" applyAlignment="1" applyFill="1" applyFont="1">
      <alignment horizontal="center" shrinkToFit="0" vertical="center" wrapText="1"/>
    </xf>
    <xf borderId="0" fillId="15" fontId="1" numFmtId="0" xfId="0" applyAlignment="1" applyFont="1">
      <alignment horizontal="left" shrinkToFit="0" vertical="center" wrapText="1"/>
    </xf>
    <xf borderId="0" fillId="16" fontId="1" numFmtId="0" xfId="0" applyAlignment="1" applyFill="1" applyFont="1">
      <alignment horizontal="center" shrinkToFit="0" vertical="center" wrapText="1"/>
    </xf>
    <xf borderId="0" fillId="17" fontId="1" numFmtId="0" xfId="0" applyAlignment="1" applyFill="1" applyFont="1">
      <alignment horizontal="center" shrinkToFit="0" vertical="center" wrapText="1"/>
    </xf>
    <xf borderId="0" fillId="18" fontId="1" numFmtId="0" xfId="0" applyAlignment="1" applyFill="1" applyFont="1">
      <alignment horizontal="center" readingOrder="0" shrinkToFit="0" vertical="center" wrapText="1"/>
    </xf>
    <xf borderId="0" fillId="19" fontId="1" numFmtId="0" xfId="0" applyAlignment="1" applyFill="1" applyFont="1">
      <alignment horizontal="center" readingOrder="0" shrinkToFit="0" vertical="center" wrapText="1"/>
    </xf>
    <xf borderId="0" fillId="14" fontId="1" numFmtId="0" xfId="0" applyAlignment="1" applyFont="1">
      <alignment horizontal="center" readingOrder="0" shrinkToFit="0" vertical="center" wrapText="1"/>
    </xf>
    <xf borderId="0" fillId="20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75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1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15" numFmtId="0" xfId="0" applyAlignment="1" applyBorder="1" applyFont="1">
      <alignment vertical="bottom"/>
    </xf>
  </cellXfs>
  <cellStyles count="1">
    <cellStyle xfId="0" name="Normal" builtinId="0"/>
  </cellStyles>
  <dxfs count="6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Step 3 FOC Request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Step 4 FOC Return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2" pivot="0" name="Step 4 FOC Return-style 2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Wahabdin Sangadji" id="{c3d03bfb-4e52-4414-ab2b-17d824437a34}" providerId="google-sheets"/>
</x18tc:personList>
</file>

<file path=xl/tables/table1.xml><?xml version="1.0" encoding="utf-8"?>
<table xmlns="http://schemas.openxmlformats.org/spreadsheetml/2006/main" ref="A1:M151" displayName="Form_Responses" name="Form_Responses" id="1">
  <autoFilter ref="$A$1:$M$151"/>
  <tableColumns count="13">
    <tableColumn name="Timestamp" id="1"/>
    <tableColumn name="Email Address" id="2"/>
    <tableColumn name="Requestor" id="3"/>
    <tableColumn name="Campaign Name" id="4"/>
    <tableColumn name="Unit Name" id="5"/>
    <tableColumn name="IMEI if any" id="6"/>
    <tableColumn name="KOL Name" id="7"/>
    <tableColumn name="KOL Phone Number" id="8"/>
    <tableColumn name="KOL address" id="9"/>
    <tableColumn name="Delivery Date" id="10"/>
    <tableColumn name="Type Of Delivery" id="11"/>
    <tableColumn name="Type of FOC" id="12"/>
    <tableColumn name="Deliver" id="13"/>
  </tableColumns>
  <tableStyleInfo name="Step 3 FOC Request-style" showColumnStripes="0" showFirstColumn="1" showLastColumn="1" showRowStripes="1"/>
</table>
</file>

<file path=xl/tables/table2.xml><?xml version="1.0" encoding="utf-8"?>
<table xmlns="http://schemas.openxmlformats.org/spreadsheetml/2006/main" headerRowCount="0" ref="A1:I1" displayName="Form_Responses2" name="Form_Responses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tep 4 FOC Retur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F3:I3" displayName="Table_1" name="Table_1" id="3">
  <tableColumns count="4">
    <tableColumn name="Column1" id="1"/>
    <tableColumn name="Column2" id="2"/>
    <tableColumn name="Column3" id="3"/>
    <tableColumn name="Column4" id="4"/>
  </tableColumns>
  <tableStyleInfo name="Step 4 FOC Retur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5" dT="2026-02-18T05:40:16.00" personId="{c3d03bfb-4e52-4414-ab2b-17d824437a34}" id="{c531bb72-5a4e-4222-a0e0-288ff0106469}" done="0">
    <x18tc:text xml:space="preserve">For this date, all is resubmit/redata for locker to this gsheet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U_IUQmXpwo9itcwpch1o60tnlAkvobbde1pOnz1nK0/edit?gid=1396078690" TargetMode="External"/><Relationship Id="rId2" Type="http://schemas.openxmlformats.org/officeDocument/2006/relationships/hyperlink" Target="https://docs.google.com/spreadsheets/d/15A99gUJB7IZCAV8yUKB99mOcb8wmz11Eb0x2lC2c7Ws/edit?gid=953700184" TargetMode="External"/><Relationship Id="rId3" Type="http://schemas.openxmlformats.org/officeDocument/2006/relationships/hyperlink" Target="https://docs.google.com/spreadsheets/d/1TpkHDc2XB2XsZ4fnAfaiEsWb9F0u0WirK9p0t1apXCw/edit?gid=1380997837" TargetMode="External"/><Relationship Id="rId4" Type="http://schemas.openxmlformats.org/officeDocument/2006/relationships/hyperlink" Target="https://insidemedia-my.sharepoint.com/:x:/r/personal/dinesh_sharma_wppmedia_com/_layouts/15/Doc.aspx?sourcedoc=%7BF5525DC8-17E5-4A11-A87C-1169ED6ADA3C%7D&amp;file=SAMSUNG%20FOC%20TRACKER.xlsx&amp;action=default&amp;mobileredirect=true" TargetMode="External"/><Relationship Id="rId5" Type="http://schemas.openxmlformats.org/officeDocument/2006/relationships/hyperlink" Target="https://docs.google.com/spreadsheets/d/1WqSvlj6NNBcB-jLxELT5gFcb12S1bNm-yZyfI4M_aqU/edit?gid=1708846993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../../../../../../:f:/r/personal/dinesh_sharma_groupm_com/Documents/GROUPM/SAMSUNG/S24%20EXTENDED%20_%20FOC%20DOCUMENT?csf=1&amp;web=1&amp;e=fTUNkO" TargetMode="External"/><Relationship Id="rId2" Type="http://schemas.openxmlformats.org/officeDocument/2006/relationships/hyperlink" Target="http://../../../:f:/g/personal/dinesh_sharma_groupm_com/EvSTcv94kmlBlIZ_kJqPtn0BizZi-PMP6zHdzUw-bbRinw?e=48ydAH" TargetMode="External"/><Relationship Id="rId3" Type="http://schemas.openxmlformats.org/officeDocument/2006/relationships/hyperlink" Target="http://../../../:f:/g/personal/dinesh_sharma_groupm_com/EvSTcv94kmlBlIZ_kJqPtn0BizZi-PMP6zHdzUw-bbRinw?e=48ydAH" TargetMode="External"/><Relationship Id="rId4" Type="http://schemas.openxmlformats.org/officeDocument/2006/relationships/hyperlink" Target="http://../../../:f:/g/personal/dinesh_sharma_groupm_com/EvSTcv94kmlBlIZ_kJqPtn0BizZi-PMP6zHdzUw-bbRinw?e=48ydAH" TargetMode="External"/><Relationship Id="rId5" Type="http://schemas.openxmlformats.org/officeDocument/2006/relationships/hyperlink" Target="http://../../../:f:/g/personal/dinesh_sharma_groupm_com/EvSTcv94kmlBlIZ_kJqPtn0BizZi-PMP6zHdzUw-bbRinw?e=48ydAH" TargetMode="External"/><Relationship Id="rId6" Type="http://schemas.openxmlformats.org/officeDocument/2006/relationships/hyperlink" Target="http://../../../:f:/g/personal/dinesh_sharma_groupm_com/EvSTcv94kmlBlIZ_kJqPtn0BizZi-PMP6zHdzUw-bbRinw?e=48ydAH" TargetMode="External"/><Relationship Id="rId7" Type="http://schemas.openxmlformats.org/officeDocument/2006/relationships/hyperlink" Target="http://../../../:f:/g/personal/dinesh_sharma_groupm_com/EvSTcv94kmlBlIZ_kJqPtn0BizZi-PMP6zHdzUw-bbRinw?e=48ydAH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salma.zulkarnaen@groupm.com" TargetMode="External"/><Relationship Id="rId2" Type="http://schemas.openxmlformats.org/officeDocument/2006/relationships/hyperlink" Target="mailto:audcharaporn.sada@groupm.com" TargetMode="External"/><Relationship Id="rId3" Type="http://schemas.openxmlformats.org/officeDocument/2006/relationships/hyperlink" Target="mailto:fenny.christien@groupm.com" TargetMode="External"/><Relationship Id="rId4" Type="http://schemas.openxmlformats.org/officeDocument/2006/relationships/hyperlink" Target="mailto:tris.finalia@groupm.com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drive.google.com/file/d/1SSGD7SXz2ZjKce6Tw1Ydgu7HW7QZOcVh/view?usp=sharing" TargetMode="External"/><Relationship Id="rId5" Type="http://schemas.openxmlformats.org/officeDocument/2006/relationships/hyperlink" Target="https://drive.google.com/file/d/1zBbkBjvAte6RUTKECKwHptIXuwOewZzk/view?usp=sharing" TargetMode="External"/><Relationship Id="rId6" Type="http://schemas.openxmlformats.org/officeDocument/2006/relationships/hyperlink" Target="https://drive.google.com/file/d/1dfQE8nvwW31BgTKppCggnTFJKRHDp_mh/view?usp=sharing" TargetMode="External"/><Relationship Id="rId7" Type="http://schemas.openxmlformats.org/officeDocument/2006/relationships/hyperlink" Target="https://drive.google.com/file/d/1Xg1hwUjowl4h-w1bdd-E2LHovkXMUM0D/view?usp=sharing" TargetMode="External"/><Relationship Id="rId8" Type="http://schemas.openxmlformats.org/officeDocument/2006/relationships/hyperlink" Target="https://drive.google.com/file/d/1xklgfwtw0_zj4Wooe3FGO6QmoscSK9xN/view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.38"/>
    <col customWidth="1" min="4" max="4" width="2.38"/>
    <col customWidth="1" min="6" max="6" width="2.25"/>
    <col customWidth="1" min="8" max="8" width="2.38"/>
    <col customWidth="1" min="10" max="10" width="2.38"/>
    <col customWidth="1" min="11" max="11" width="7.38"/>
    <col customWidth="1" min="12" max="12" width="22.88"/>
    <col customWidth="1" min="13" max="13" width="23.13"/>
  </cols>
  <sheetData>
    <row r="1">
      <c r="A1" s="1" t="s">
        <v>0</v>
      </c>
      <c r="B1" s="2"/>
      <c r="C1" s="3" t="s">
        <v>1</v>
      </c>
      <c r="D1" s="2"/>
      <c r="E1" s="1" t="s">
        <v>2</v>
      </c>
      <c r="F1" s="4"/>
      <c r="G1" s="5" t="s">
        <v>3</v>
      </c>
      <c r="H1" s="4"/>
      <c r="I1" s="5" t="s">
        <v>4</v>
      </c>
      <c r="J1" s="4"/>
      <c r="K1" s="1" t="s">
        <v>5</v>
      </c>
      <c r="L1" s="6" t="s">
        <v>6</v>
      </c>
      <c r="M1" s="7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8" t="s">
        <v>7</v>
      </c>
      <c r="B2" s="4"/>
      <c r="C2" s="8" t="s">
        <v>8</v>
      </c>
      <c r="D2" s="4"/>
      <c r="E2" s="9" t="s">
        <v>9</v>
      </c>
      <c r="F2" s="4"/>
      <c r="G2" s="9" t="s">
        <v>10</v>
      </c>
      <c r="H2" s="4"/>
      <c r="I2" s="9" t="s">
        <v>11</v>
      </c>
      <c r="J2" s="4"/>
      <c r="K2" s="8" t="s">
        <v>12</v>
      </c>
      <c r="L2" s="10" t="s">
        <v>13</v>
      </c>
      <c r="M2" s="11" t="s">
        <v>14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 t="s">
        <v>15</v>
      </c>
      <c r="B3" s="4"/>
      <c r="C3" s="12" t="s">
        <v>16</v>
      </c>
      <c r="D3" s="4"/>
      <c r="E3" s="9" t="s">
        <v>17</v>
      </c>
      <c r="F3" s="4"/>
      <c r="G3" s="9" t="s">
        <v>18</v>
      </c>
      <c r="H3" s="4"/>
      <c r="I3" s="9" t="s">
        <v>19</v>
      </c>
      <c r="J3" s="4"/>
      <c r="K3" s="8" t="s">
        <v>20</v>
      </c>
      <c r="L3" s="10" t="s">
        <v>21</v>
      </c>
      <c r="M3" s="13" t="s">
        <v>22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8" t="s">
        <v>23</v>
      </c>
      <c r="B4" s="4"/>
      <c r="C4" s="12" t="s">
        <v>24</v>
      </c>
      <c r="D4" s="4"/>
      <c r="E4" s="9" t="s">
        <v>25</v>
      </c>
      <c r="F4" s="4"/>
      <c r="G4" s="9" t="s">
        <v>26</v>
      </c>
      <c r="H4" s="4"/>
      <c r="I4" s="4"/>
      <c r="J4" s="4"/>
      <c r="K4" s="8" t="s">
        <v>12</v>
      </c>
      <c r="L4" s="10" t="s">
        <v>27</v>
      </c>
      <c r="M4" s="14" t="s">
        <v>28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8" t="s">
        <v>29</v>
      </c>
      <c r="B5" s="4"/>
      <c r="C5" s="8" t="s">
        <v>30</v>
      </c>
      <c r="D5" s="4"/>
      <c r="E5" s="9" t="s">
        <v>31</v>
      </c>
      <c r="F5" s="4"/>
      <c r="G5" s="9" t="s">
        <v>32</v>
      </c>
      <c r="H5" s="4"/>
      <c r="I5" s="4"/>
      <c r="J5" s="4"/>
      <c r="K5" s="8" t="s">
        <v>12</v>
      </c>
      <c r="L5" s="10" t="s">
        <v>33</v>
      </c>
      <c r="M5" s="15" t="s">
        <v>34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35</v>
      </c>
      <c r="B6" s="4"/>
      <c r="C6" s="12" t="s">
        <v>36</v>
      </c>
      <c r="D6" s="4"/>
      <c r="E6" s="9" t="s">
        <v>37</v>
      </c>
      <c r="F6" s="4"/>
      <c r="G6" s="9" t="s">
        <v>38</v>
      </c>
      <c r="H6" s="4"/>
      <c r="I6" s="4"/>
      <c r="J6" s="4"/>
      <c r="K6" s="8" t="s">
        <v>12</v>
      </c>
      <c r="L6" s="10" t="s">
        <v>39</v>
      </c>
      <c r="M6" s="14" t="s">
        <v>40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"/>
      <c r="B7" s="4"/>
      <c r="C7" s="8" t="s">
        <v>41</v>
      </c>
      <c r="D7" s="4"/>
      <c r="E7" s="9" t="s">
        <v>42</v>
      </c>
      <c r="F7" s="4"/>
      <c r="G7" s="16"/>
      <c r="H7" s="4"/>
      <c r="I7" s="4"/>
      <c r="J7" s="4"/>
      <c r="K7" s="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"/>
      <c r="B8" s="4"/>
      <c r="C8" s="8" t="s">
        <v>43</v>
      </c>
      <c r="D8" s="4"/>
      <c r="E8" s="9" t="s">
        <v>44</v>
      </c>
      <c r="F8" s="4"/>
      <c r="H8" s="4"/>
      <c r="I8" s="4"/>
      <c r="J8" s="4"/>
      <c r="K8" s="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"/>
      <c r="B9" s="4"/>
      <c r="C9" s="8" t="s">
        <v>45</v>
      </c>
      <c r="D9" s="4"/>
      <c r="E9" s="16"/>
      <c r="F9" s="4"/>
      <c r="H9" s="4"/>
      <c r="I9" s="4"/>
      <c r="J9" s="4"/>
      <c r="K9" s="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"/>
      <c r="B10" s="4"/>
      <c r="C10" s="8" t="s">
        <v>46</v>
      </c>
      <c r="D10" s="4"/>
      <c r="E10" s="16"/>
      <c r="F10" s="4"/>
      <c r="H10" s="4"/>
      <c r="I10" s="4"/>
      <c r="J10" s="4"/>
      <c r="K10" s="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"/>
      <c r="B11" s="4"/>
      <c r="C11" s="8" t="s">
        <v>47</v>
      </c>
      <c r="D11" s="4"/>
      <c r="E11" s="16"/>
      <c r="F11" s="4"/>
      <c r="G11" s="16"/>
      <c r="H11" s="4"/>
      <c r="I11" s="4"/>
      <c r="J11" s="4"/>
      <c r="K11" s="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2"/>
      <c r="B12" s="4"/>
      <c r="C12" s="8" t="s">
        <v>48</v>
      </c>
      <c r="D12" s="4"/>
      <c r="E12" s="16"/>
      <c r="F12" s="4"/>
      <c r="G12" s="16"/>
      <c r="H12" s="4"/>
      <c r="I12" s="4"/>
      <c r="J12" s="4"/>
      <c r="K12" s="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2"/>
      <c r="B13" s="4"/>
      <c r="C13" s="12" t="s">
        <v>49</v>
      </c>
      <c r="D13" s="4"/>
      <c r="E13" s="16"/>
      <c r="F13" s="4"/>
      <c r="G13" s="16"/>
      <c r="H13" s="4"/>
      <c r="I13" s="4"/>
      <c r="J13" s="4"/>
      <c r="K13" s="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2"/>
      <c r="B14" s="4"/>
      <c r="C14" s="8" t="s">
        <v>50</v>
      </c>
      <c r="D14" s="4"/>
      <c r="E14" s="16"/>
      <c r="F14" s="4"/>
      <c r="G14" s="16"/>
      <c r="H14" s="4"/>
      <c r="I14" s="4"/>
      <c r="J14" s="4"/>
      <c r="K14" s="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2"/>
      <c r="B15" s="4"/>
      <c r="C15" s="8" t="s">
        <v>51</v>
      </c>
      <c r="D15" s="4"/>
      <c r="E15" s="16"/>
      <c r="F15" s="4"/>
      <c r="G15" s="16"/>
      <c r="H15" s="4"/>
      <c r="I15" s="4"/>
      <c r="J15" s="4"/>
      <c r="K15" s="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2"/>
      <c r="B16" s="4"/>
      <c r="C16" s="8" t="s">
        <v>52</v>
      </c>
      <c r="D16" s="4"/>
      <c r="E16" s="16"/>
      <c r="F16" s="4"/>
      <c r="G16" s="16"/>
      <c r="H16" s="4"/>
      <c r="I16" s="4"/>
      <c r="J16" s="4"/>
      <c r="K16" s="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2"/>
      <c r="B17" s="4"/>
      <c r="C17" s="8" t="s">
        <v>53</v>
      </c>
      <c r="D17" s="4"/>
      <c r="E17" s="16"/>
      <c r="F17" s="4"/>
      <c r="G17" s="16"/>
      <c r="H17" s="4"/>
      <c r="I17" s="4"/>
      <c r="J17" s="4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2"/>
      <c r="B18" s="4"/>
      <c r="C18" s="2"/>
      <c r="D18" s="4"/>
      <c r="E18" s="16"/>
      <c r="F18" s="4"/>
      <c r="G18" s="16"/>
      <c r="H18" s="4"/>
      <c r="I18" s="4"/>
      <c r="J18" s="4"/>
      <c r="K18" s="2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2"/>
      <c r="B19" s="4"/>
      <c r="C19" s="2"/>
      <c r="D19" s="4"/>
      <c r="E19" s="16"/>
      <c r="F19" s="4"/>
      <c r="G19" s="16"/>
      <c r="H19" s="4"/>
      <c r="I19" s="4"/>
      <c r="J19" s="4"/>
      <c r="K19" s="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2"/>
      <c r="B20" s="4"/>
      <c r="C20" s="2"/>
      <c r="D20" s="4"/>
      <c r="E20" s="16"/>
      <c r="F20" s="4"/>
      <c r="G20" s="16"/>
      <c r="H20" s="4"/>
      <c r="I20" s="4"/>
      <c r="J20" s="4"/>
      <c r="K20" s="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2"/>
      <c r="B21" s="4"/>
      <c r="C21" s="2"/>
      <c r="D21" s="4"/>
      <c r="E21" s="16"/>
      <c r="F21" s="4"/>
      <c r="G21" s="16"/>
      <c r="H21" s="4"/>
      <c r="I21" s="4"/>
      <c r="J21" s="4"/>
      <c r="K21" s="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2"/>
      <c r="B22" s="4"/>
      <c r="C22" s="2"/>
      <c r="D22" s="4"/>
      <c r="E22" s="16"/>
      <c r="F22" s="4"/>
      <c r="G22" s="16"/>
      <c r="H22" s="4"/>
      <c r="I22" s="4"/>
      <c r="J22" s="4"/>
      <c r="K22" s="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2"/>
      <c r="B23" s="4"/>
      <c r="C23" s="2"/>
      <c r="D23" s="4"/>
      <c r="E23" s="16"/>
      <c r="F23" s="4"/>
      <c r="G23" s="16"/>
      <c r="H23" s="4"/>
      <c r="I23" s="4"/>
      <c r="J23" s="4"/>
      <c r="K23" s="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2"/>
      <c r="B24" s="4"/>
      <c r="C24" s="2"/>
      <c r="D24" s="4"/>
      <c r="E24" s="16"/>
      <c r="F24" s="4"/>
      <c r="G24" s="16"/>
      <c r="H24" s="4"/>
      <c r="I24" s="4"/>
      <c r="J24" s="4"/>
      <c r="K24" s="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2"/>
      <c r="B25" s="4"/>
      <c r="C25" s="2"/>
      <c r="D25" s="4"/>
      <c r="E25" s="16"/>
      <c r="F25" s="4"/>
      <c r="G25" s="16"/>
      <c r="H25" s="4"/>
      <c r="I25" s="4"/>
      <c r="J25" s="4"/>
      <c r="K25" s="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2"/>
      <c r="B26" s="4"/>
      <c r="C26" s="2"/>
      <c r="D26" s="4"/>
      <c r="E26" s="16"/>
      <c r="F26" s="4"/>
      <c r="G26" s="16"/>
      <c r="H26" s="4"/>
      <c r="I26" s="4"/>
      <c r="J26" s="4"/>
      <c r="K26" s="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2"/>
      <c r="B27" s="4"/>
      <c r="C27" s="2"/>
      <c r="D27" s="4"/>
      <c r="E27" s="16"/>
      <c r="F27" s="4"/>
      <c r="G27" s="16"/>
      <c r="H27" s="4"/>
      <c r="I27" s="4"/>
      <c r="J27" s="4"/>
      <c r="K27" s="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2"/>
      <c r="B28" s="4"/>
      <c r="C28" s="2"/>
      <c r="D28" s="4"/>
      <c r="E28" s="16"/>
      <c r="F28" s="4"/>
      <c r="G28" s="16"/>
      <c r="H28" s="4"/>
      <c r="I28" s="4"/>
      <c r="J28" s="4"/>
      <c r="K28" s="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2"/>
      <c r="B29" s="4"/>
      <c r="C29" s="2"/>
      <c r="D29" s="4"/>
      <c r="E29" s="16"/>
      <c r="F29" s="4"/>
      <c r="G29" s="16"/>
      <c r="H29" s="4"/>
      <c r="I29" s="4"/>
      <c r="J29" s="4"/>
      <c r="K29" s="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"/>
      <c r="B30" s="4"/>
      <c r="C30" s="2"/>
      <c r="D30" s="4"/>
      <c r="E30" s="16"/>
      <c r="F30" s="4"/>
      <c r="G30" s="16"/>
      <c r="H30" s="4"/>
      <c r="I30" s="4"/>
      <c r="J30" s="4"/>
      <c r="K30" s="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2"/>
      <c r="B31" s="4"/>
      <c r="C31" s="2"/>
      <c r="D31" s="4"/>
      <c r="E31" s="16"/>
      <c r="F31" s="4"/>
      <c r="G31" s="16"/>
      <c r="H31" s="4"/>
      <c r="I31" s="4"/>
      <c r="J31" s="4"/>
      <c r="K31" s="2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2"/>
      <c r="B32" s="4"/>
      <c r="C32" s="2"/>
      <c r="D32" s="4"/>
      <c r="E32" s="16"/>
      <c r="F32" s="4"/>
      <c r="G32" s="16"/>
      <c r="H32" s="4"/>
      <c r="I32" s="4"/>
      <c r="J32" s="4"/>
      <c r="K32" s="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2"/>
      <c r="B33" s="4"/>
      <c r="C33" s="2"/>
      <c r="D33" s="4"/>
      <c r="E33" s="16"/>
      <c r="F33" s="4"/>
      <c r="G33" s="16"/>
      <c r="H33" s="4"/>
      <c r="I33" s="4"/>
      <c r="J33" s="4"/>
      <c r="K33" s="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2"/>
      <c r="B34" s="4"/>
      <c r="C34" s="2"/>
      <c r="D34" s="4"/>
      <c r="E34" s="16"/>
      <c r="F34" s="4"/>
      <c r="G34" s="16"/>
      <c r="H34" s="4"/>
      <c r="I34" s="4"/>
      <c r="J34" s="4"/>
      <c r="K34" s="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2"/>
      <c r="B35" s="4"/>
      <c r="C35" s="2"/>
      <c r="D35" s="4"/>
      <c r="E35" s="16"/>
      <c r="F35" s="4"/>
      <c r="G35" s="16"/>
      <c r="H35" s="4"/>
      <c r="I35" s="4"/>
      <c r="J35" s="4"/>
      <c r="K35" s="2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2"/>
      <c r="B36" s="4"/>
      <c r="C36" s="2"/>
      <c r="D36" s="4"/>
      <c r="E36" s="16"/>
      <c r="F36" s="4"/>
      <c r="G36" s="16"/>
      <c r="H36" s="4"/>
      <c r="I36" s="4"/>
      <c r="J36" s="4"/>
      <c r="K36" s="2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2"/>
      <c r="B37" s="4"/>
      <c r="C37" s="2"/>
      <c r="D37" s="4"/>
      <c r="E37" s="16"/>
      <c r="F37" s="4"/>
      <c r="G37" s="16"/>
      <c r="H37" s="4"/>
      <c r="I37" s="4"/>
      <c r="J37" s="4"/>
      <c r="K37" s="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2"/>
      <c r="B38" s="4"/>
      <c r="C38" s="2"/>
      <c r="D38" s="4"/>
      <c r="E38" s="16"/>
      <c r="F38" s="4"/>
      <c r="G38" s="16"/>
      <c r="H38" s="4"/>
      <c r="I38" s="4"/>
      <c r="J38" s="4"/>
      <c r="K38" s="2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2"/>
      <c r="B39" s="4"/>
      <c r="C39" s="2"/>
      <c r="D39" s="4"/>
      <c r="E39" s="16"/>
      <c r="F39" s="4"/>
      <c r="G39" s="16"/>
      <c r="H39" s="4"/>
      <c r="I39" s="4"/>
      <c r="J39" s="4"/>
      <c r="K39" s="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2"/>
      <c r="B40" s="4"/>
      <c r="C40" s="2"/>
      <c r="D40" s="4"/>
      <c r="E40" s="16"/>
      <c r="F40" s="4"/>
      <c r="G40" s="16"/>
      <c r="H40" s="4"/>
      <c r="I40" s="4"/>
      <c r="J40" s="4"/>
      <c r="K40" s="2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2"/>
      <c r="B41" s="4"/>
      <c r="C41" s="2"/>
      <c r="D41" s="4"/>
      <c r="E41" s="16"/>
      <c r="F41" s="4"/>
      <c r="G41" s="16"/>
      <c r="H41" s="4"/>
      <c r="I41" s="4"/>
      <c r="J41" s="4"/>
      <c r="K41" s="2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2"/>
      <c r="B42" s="4"/>
      <c r="C42" s="2"/>
      <c r="D42" s="4"/>
      <c r="E42" s="16"/>
      <c r="F42" s="4"/>
      <c r="G42" s="16"/>
      <c r="H42" s="4"/>
      <c r="I42" s="4"/>
      <c r="J42" s="4"/>
      <c r="K42" s="2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2"/>
      <c r="B43" s="4"/>
      <c r="C43" s="2"/>
      <c r="D43" s="4"/>
      <c r="E43" s="16"/>
      <c r="F43" s="4"/>
      <c r="G43" s="16"/>
      <c r="H43" s="4"/>
      <c r="I43" s="4"/>
      <c r="J43" s="4"/>
      <c r="K43" s="2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"/>
      <c r="B44" s="4"/>
      <c r="C44" s="2"/>
      <c r="D44" s="4"/>
      <c r="E44" s="16"/>
      <c r="F44" s="4"/>
      <c r="G44" s="16"/>
      <c r="H44" s="4"/>
      <c r="I44" s="4"/>
      <c r="J44" s="4"/>
      <c r="K44" s="2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2"/>
      <c r="B45" s="4"/>
      <c r="C45" s="2"/>
      <c r="D45" s="4"/>
      <c r="E45" s="16"/>
      <c r="F45" s="4"/>
      <c r="G45" s="16"/>
      <c r="H45" s="4"/>
      <c r="I45" s="4"/>
      <c r="J45" s="4"/>
      <c r="K45" s="2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2"/>
      <c r="B46" s="4"/>
      <c r="C46" s="2"/>
      <c r="D46" s="4"/>
      <c r="E46" s="16"/>
      <c r="F46" s="4"/>
      <c r="G46" s="16"/>
      <c r="H46" s="4"/>
      <c r="I46" s="4"/>
      <c r="J46" s="4"/>
      <c r="K46" s="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2"/>
      <c r="B47" s="4"/>
      <c r="C47" s="2"/>
      <c r="D47" s="4"/>
      <c r="E47" s="16"/>
      <c r="F47" s="4"/>
      <c r="G47" s="16"/>
      <c r="H47" s="4"/>
      <c r="I47" s="4"/>
      <c r="J47" s="4"/>
      <c r="K47" s="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2"/>
      <c r="B48" s="4"/>
      <c r="C48" s="2"/>
      <c r="D48" s="4"/>
      <c r="E48" s="16"/>
      <c r="F48" s="4"/>
      <c r="G48" s="16"/>
      <c r="H48" s="4"/>
      <c r="I48" s="4"/>
      <c r="J48" s="4"/>
      <c r="K48" s="2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2"/>
      <c r="B49" s="4"/>
      <c r="C49" s="2"/>
      <c r="D49" s="4"/>
      <c r="E49" s="16"/>
      <c r="F49" s="4"/>
      <c r="G49" s="16"/>
      <c r="H49" s="4"/>
      <c r="I49" s="4"/>
      <c r="J49" s="4"/>
      <c r="K49" s="2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2"/>
      <c r="B50" s="4"/>
      <c r="C50" s="2"/>
      <c r="D50" s="4"/>
      <c r="E50" s="16"/>
      <c r="F50" s="4"/>
      <c r="G50" s="16"/>
      <c r="H50" s="4"/>
      <c r="I50" s="4"/>
      <c r="J50" s="4"/>
      <c r="K50" s="2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2"/>
      <c r="B51" s="4"/>
      <c r="C51" s="2"/>
      <c r="D51" s="4"/>
      <c r="E51" s="16"/>
      <c r="F51" s="4"/>
      <c r="G51" s="16"/>
      <c r="H51" s="4"/>
      <c r="I51" s="4"/>
      <c r="J51" s="4"/>
      <c r="K51" s="2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2"/>
      <c r="B52" s="4"/>
      <c r="C52" s="2"/>
      <c r="D52" s="4"/>
      <c r="E52" s="16"/>
      <c r="F52" s="4"/>
      <c r="G52" s="16"/>
      <c r="H52" s="4"/>
      <c r="I52" s="4"/>
      <c r="J52" s="4"/>
      <c r="K52" s="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2"/>
      <c r="B53" s="4"/>
      <c r="C53" s="2"/>
      <c r="D53" s="4"/>
      <c r="E53" s="16"/>
      <c r="F53" s="4"/>
      <c r="G53" s="16"/>
      <c r="H53" s="4"/>
      <c r="I53" s="4"/>
      <c r="J53" s="4"/>
      <c r="K53" s="2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2"/>
      <c r="B54" s="4"/>
      <c r="C54" s="2"/>
      <c r="D54" s="4"/>
      <c r="E54" s="16"/>
      <c r="F54" s="4"/>
      <c r="G54" s="16"/>
      <c r="H54" s="4"/>
      <c r="I54" s="4"/>
      <c r="J54" s="4"/>
      <c r="K54" s="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2"/>
      <c r="B55" s="4"/>
      <c r="C55" s="2"/>
      <c r="D55" s="4"/>
      <c r="E55" s="16"/>
      <c r="F55" s="4"/>
      <c r="G55" s="16"/>
      <c r="H55" s="4"/>
      <c r="I55" s="4"/>
      <c r="J55" s="4"/>
      <c r="K55" s="2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2"/>
      <c r="B56" s="4"/>
      <c r="C56" s="2"/>
      <c r="D56" s="4"/>
      <c r="E56" s="16"/>
      <c r="F56" s="4"/>
      <c r="G56" s="16"/>
      <c r="H56" s="4"/>
      <c r="I56" s="4"/>
      <c r="J56" s="4"/>
      <c r="K56" s="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2"/>
      <c r="B57" s="4"/>
      <c r="C57" s="2"/>
      <c r="D57" s="4"/>
      <c r="E57" s="16"/>
      <c r="F57" s="4"/>
      <c r="G57" s="16"/>
      <c r="H57" s="4"/>
      <c r="I57" s="4"/>
      <c r="J57" s="4"/>
      <c r="K57" s="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2"/>
      <c r="B58" s="4"/>
      <c r="C58" s="2"/>
      <c r="D58" s="4"/>
      <c r="E58" s="16"/>
      <c r="F58" s="4"/>
      <c r="G58" s="16"/>
      <c r="H58" s="4"/>
      <c r="I58" s="4"/>
      <c r="J58" s="4"/>
      <c r="K58" s="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2"/>
      <c r="B59" s="4"/>
      <c r="C59" s="2"/>
      <c r="D59" s="4"/>
      <c r="E59" s="16"/>
      <c r="F59" s="4"/>
      <c r="G59" s="16"/>
      <c r="H59" s="4"/>
      <c r="I59" s="4"/>
      <c r="J59" s="4"/>
      <c r="K59" s="2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2"/>
      <c r="B60" s="4"/>
      <c r="C60" s="2"/>
      <c r="D60" s="4"/>
      <c r="E60" s="16"/>
      <c r="F60" s="4"/>
      <c r="G60" s="16"/>
      <c r="H60" s="4"/>
      <c r="I60" s="4"/>
      <c r="J60" s="4"/>
      <c r="K60" s="2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2"/>
      <c r="B61" s="4"/>
      <c r="C61" s="2"/>
      <c r="D61" s="4"/>
      <c r="E61" s="16"/>
      <c r="F61" s="4"/>
      <c r="G61" s="16"/>
      <c r="H61" s="4"/>
      <c r="I61" s="4"/>
      <c r="J61" s="4"/>
      <c r="K61" s="2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2"/>
      <c r="B62" s="4"/>
      <c r="C62" s="2"/>
      <c r="D62" s="4"/>
      <c r="E62" s="16"/>
      <c r="F62" s="4"/>
      <c r="G62" s="16"/>
      <c r="H62" s="4"/>
      <c r="I62" s="4"/>
      <c r="J62" s="4"/>
      <c r="K62" s="2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2"/>
      <c r="B63" s="4"/>
      <c r="C63" s="2"/>
      <c r="D63" s="4"/>
      <c r="E63" s="16"/>
      <c r="F63" s="4"/>
      <c r="G63" s="16"/>
      <c r="H63" s="4"/>
      <c r="I63" s="4"/>
      <c r="J63" s="4"/>
      <c r="K63" s="2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2"/>
      <c r="B64" s="4"/>
      <c r="C64" s="2"/>
      <c r="D64" s="4"/>
      <c r="E64" s="16"/>
      <c r="F64" s="4"/>
      <c r="G64" s="16"/>
      <c r="H64" s="4"/>
      <c r="I64" s="4"/>
      <c r="J64" s="4"/>
      <c r="K64" s="2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2"/>
      <c r="B65" s="4"/>
      <c r="C65" s="2"/>
      <c r="D65" s="4"/>
      <c r="E65" s="16"/>
      <c r="F65" s="4"/>
      <c r="G65" s="16"/>
      <c r="H65" s="4"/>
      <c r="I65" s="4"/>
      <c r="J65" s="4"/>
      <c r="K65" s="2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2"/>
      <c r="B66" s="4"/>
      <c r="C66" s="2"/>
      <c r="D66" s="4"/>
      <c r="E66" s="16"/>
      <c r="F66" s="4"/>
      <c r="G66" s="16"/>
      <c r="H66" s="4"/>
      <c r="I66" s="4"/>
      <c r="J66" s="4"/>
      <c r="K66" s="2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2"/>
      <c r="B67" s="4"/>
      <c r="C67" s="2"/>
      <c r="D67" s="4"/>
      <c r="E67" s="16"/>
      <c r="F67" s="4"/>
      <c r="G67" s="16"/>
      <c r="H67" s="4"/>
      <c r="I67" s="4"/>
      <c r="J67" s="4"/>
      <c r="K67" s="2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2"/>
      <c r="B68" s="4"/>
      <c r="C68" s="2"/>
      <c r="D68" s="4"/>
      <c r="E68" s="16"/>
      <c r="F68" s="4"/>
      <c r="G68" s="16"/>
      <c r="H68" s="4"/>
      <c r="I68" s="4"/>
      <c r="J68" s="4"/>
      <c r="K68" s="2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2"/>
      <c r="B69" s="4"/>
      <c r="C69" s="2"/>
      <c r="D69" s="4"/>
      <c r="E69" s="16"/>
      <c r="F69" s="4"/>
      <c r="G69" s="16"/>
      <c r="H69" s="4"/>
      <c r="I69" s="4"/>
      <c r="J69" s="4"/>
      <c r="K69" s="2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2"/>
      <c r="B70" s="4"/>
      <c r="C70" s="2"/>
      <c r="D70" s="4"/>
      <c r="E70" s="16"/>
      <c r="F70" s="4"/>
      <c r="G70" s="16"/>
      <c r="H70" s="4"/>
      <c r="I70" s="4"/>
      <c r="J70" s="4"/>
      <c r="K70" s="2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2"/>
      <c r="B71" s="4"/>
      <c r="C71" s="2"/>
      <c r="D71" s="4"/>
      <c r="E71" s="16"/>
      <c r="F71" s="4"/>
      <c r="G71" s="16"/>
      <c r="H71" s="4"/>
      <c r="I71" s="4"/>
      <c r="J71" s="4"/>
      <c r="K71" s="2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2"/>
      <c r="B72" s="4"/>
      <c r="C72" s="2"/>
      <c r="D72" s="4"/>
      <c r="E72" s="16"/>
      <c r="F72" s="4"/>
      <c r="G72" s="16"/>
      <c r="H72" s="4"/>
      <c r="I72" s="4"/>
      <c r="J72" s="4"/>
      <c r="K72" s="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2"/>
      <c r="B73" s="4"/>
      <c r="C73" s="2"/>
      <c r="D73" s="4"/>
      <c r="E73" s="16"/>
      <c r="F73" s="4"/>
      <c r="G73" s="16"/>
      <c r="H73" s="4"/>
      <c r="I73" s="4"/>
      <c r="J73" s="4"/>
      <c r="K73" s="2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2"/>
      <c r="B74" s="4"/>
      <c r="C74" s="2"/>
      <c r="D74" s="4"/>
      <c r="E74" s="16"/>
      <c r="F74" s="4"/>
      <c r="G74" s="16"/>
      <c r="H74" s="4"/>
      <c r="I74" s="4"/>
      <c r="J74" s="4"/>
      <c r="K74" s="2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2"/>
      <c r="B75" s="4"/>
      <c r="C75" s="2"/>
      <c r="D75" s="4"/>
      <c r="E75" s="16"/>
      <c r="F75" s="4"/>
      <c r="G75" s="16"/>
      <c r="H75" s="4"/>
      <c r="I75" s="4"/>
      <c r="J75" s="4"/>
      <c r="K75" s="2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2"/>
      <c r="B76" s="4"/>
      <c r="C76" s="2"/>
      <c r="D76" s="4"/>
      <c r="E76" s="16"/>
      <c r="F76" s="4"/>
      <c r="G76" s="16"/>
      <c r="H76" s="4"/>
      <c r="I76" s="4"/>
      <c r="J76" s="4"/>
      <c r="K76" s="2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2"/>
      <c r="B77" s="4"/>
      <c r="C77" s="2"/>
      <c r="D77" s="4"/>
      <c r="E77" s="16"/>
      <c r="F77" s="4"/>
      <c r="G77" s="16"/>
      <c r="H77" s="4"/>
      <c r="I77" s="4"/>
      <c r="J77" s="4"/>
      <c r="K77" s="2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2"/>
      <c r="B78" s="4"/>
      <c r="C78" s="2"/>
      <c r="D78" s="4"/>
      <c r="E78" s="16"/>
      <c r="F78" s="4"/>
      <c r="G78" s="16"/>
      <c r="H78" s="4"/>
      <c r="I78" s="4"/>
      <c r="J78" s="4"/>
      <c r="K78" s="2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2"/>
      <c r="B79" s="4"/>
      <c r="C79" s="2"/>
      <c r="D79" s="4"/>
      <c r="E79" s="16"/>
      <c r="F79" s="4"/>
      <c r="G79" s="16"/>
      <c r="H79" s="4"/>
      <c r="I79" s="4"/>
      <c r="J79" s="4"/>
      <c r="K79" s="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2"/>
      <c r="B80" s="4"/>
      <c r="C80" s="2"/>
      <c r="D80" s="4"/>
      <c r="E80" s="16"/>
      <c r="F80" s="4"/>
      <c r="G80" s="16"/>
      <c r="H80" s="4"/>
      <c r="I80" s="4"/>
      <c r="J80" s="4"/>
      <c r="K80" s="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2"/>
      <c r="B81" s="4"/>
      <c r="C81" s="2"/>
      <c r="D81" s="4"/>
      <c r="E81" s="16"/>
      <c r="F81" s="4"/>
      <c r="G81" s="16"/>
      <c r="H81" s="4"/>
      <c r="I81" s="4"/>
      <c r="J81" s="4"/>
      <c r="K81" s="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2"/>
      <c r="B82" s="4"/>
      <c r="C82" s="2"/>
      <c r="D82" s="4"/>
      <c r="E82" s="16"/>
      <c r="F82" s="4"/>
      <c r="G82" s="16"/>
      <c r="H82" s="4"/>
      <c r="I82" s="4"/>
      <c r="J82" s="4"/>
      <c r="K82" s="2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2"/>
      <c r="B83" s="4"/>
      <c r="C83" s="2"/>
      <c r="D83" s="4"/>
      <c r="E83" s="16"/>
      <c r="F83" s="4"/>
      <c r="G83" s="16"/>
      <c r="H83" s="4"/>
      <c r="I83" s="4"/>
      <c r="J83" s="4"/>
      <c r="K83" s="2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2"/>
      <c r="B84" s="4"/>
      <c r="C84" s="2"/>
      <c r="D84" s="4"/>
      <c r="E84" s="16"/>
      <c r="F84" s="4"/>
      <c r="G84" s="16"/>
      <c r="H84" s="4"/>
      <c r="I84" s="4"/>
      <c r="J84" s="4"/>
      <c r="K84" s="2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2"/>
      <c r="B85" s="4"/>
      <c r="C85" s="2"/>
      <c r="D85" s="4"/>
      <c r="E85" s="16"/>
      <c r="F85" s="4"/>
      <c r="G85" s="16"/>
      <c r="H85" s="4"/>
      <c r="I85" s="4"/>
      <c r="J85" s="4"/>
      <c r="K85" s="2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2"/>
      <c r="B86" s="4"/>
      <c r="C86" s="2"/>
      <c r="D86" s="4"/>
      <c r="E86" s="16"/>
      <c r="F86" s="4"/>
      <c r="G86" s="16"/>
      <c r="H86" s="4"/>
      <c r="I86" s="4"/>
      <c r="J86" s="4"/>
      <c r="K86" s="2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2"/>
      <c r="B87" s="4"/>
      <c r="C87" s="2"/>
      <c r="D87" s="4"/>
      <c r="E87" s="16"/>
      <c r="F87" s="4"/>
      <c r="G87" s="16"/>
      <c r="H87" s="4"/>
      <c r="I87" s="4"/>
      <c r="J87" s="4"/>
      <c r="K87" s="2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2"/>
      <c r="B88" s="4"/>
      <c r="C88" s="2"/>
      <c r="D88" s="4"/>
      <c r="E88" s="16"/>
      <c r="F88" s="4"/>
      <c r="G88" s="16"/>
      <c r="H88" s="4"/>
      <c r="I88" s="4"/>
      <c r="J88" s="4"/>
      <c r="K88" s="2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2"/>
      <c r="B89" s="4"/>
      <c r="C89" s="2"/>
      <c r="D89" s="4"/>
      <c r="E89" s="16"/>
      <c r="F89" s="4"/>
      <c r="G89" s="16"/>
      <c r="H89" s="4"/>
      <c r="I89" s="4"/>
      <c r="J89" s="4"/>
      <c r="K89" s="2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2"/>
      <c r="B90" s="4"/>
      <c r="C90" s="2"/>
      <c r="D90" s="4"/>
      <c r="E90" s="16"/>
      <c r="F90" s="4"/>
      <c r="G90" s="16"/>
      <c r="H90" s="4"/>
      <c r="I90" s="4"/>
      <c r="J90" s="4"/>
      <c r="K90" s="2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2"/>
      <c r="B91" s="4"/>
      <c r="C91" s="2"/>
      <c r="D91" s="4"/>
      <c r="E91" s="16"/>
      <c r="F91" s="4"/>
      <c r="G91" s="16"/>
      <c r="H91" s="4"/>
      <c r="I91" s="4"/>
      <c r="J91" s="4"/>
      <c r="K91" s="2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2"/>
      <c r="B92" s="4"/>
      <c r="C92" s="2"/>
      <c r="D92" s="4"/>
      <c r="E92" s="16"/>
      <c r="F92" s="4"/>
      <c r="G92" s="16"/>
      <c r="H92" s="4"/>
      <c r="I92" s="4"/>
      <c r="J92" s="4"/>
      <c r="K92" s="2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2"/>
      <c r="B93" s="4"/>
      <c r="C93" s="2"/>
      <c r="D93" s="4"/>
      <c r="E93" s="16"/>
      <c r="F93" s="4"/>
      <c r="G93" s="16"/>
      <c r="H93" s="4"/>
      <c r="I93" s="4"/>
      <c r="J93" s="4"/>
      <c r="K93" s="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2"/>
      <c r="B94" s="4"/>
      <c r="C94" s="2"/>
      <c r="D94" s="4"/>
      <c r="E94" s="16"/>
      <c r="F94" s="4"/>
      <c r="G94" s="16"/>
      <c r="H94" s="4"/>
      <c r="I94" s="4"/>
      <c r="J94" s="4"/>
      <c r="K94" s="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2"/>
      <c r="B95" s="4"/>
      <c r="C95" s="2"/>
      <c r="D95" s="4"/>
      <c r="E95" s="16"/>
      <c r="F95" s="4"/>
      <c r="G95" s="16"/>
      <c r="H95" s="4"/>
      <c r="I95" s="4"/>
      <c r="J95" s="4"/>
      <c r="K95" s="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2"/>
      <c r="B96" s="4"/>
      <c r="C96" s="2"/>
      <c r="D96" s="4"/>
      <c r="E96" s="16"/>
      <c r="F96" s="4"/>
      <c r="G96" s="16"/>
      <c r="H96" s="4"/>
      <c r="I96" s="4"/>
      <c r="J96" s="4"/>
      <c r="K96" s="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2"/>
      <c r="B97" s="4"/>
      <c r="C97" s="2"/>
      <c r="D97" s="4"/>
      <c r="E97" s="16"/>
      <c r="F97" s="4"/>
      <c r="G97" s="16"/>
      <c r="H97" s="4"/>
      <c r="I97" s="4"/>
      <c r="J97" s="4"/>
      <c r="K97" s="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2"/>
      <c r="B98" s="4"/>
      <c r="C98" s="2"/>
      <c r="D98" s="4"/>
      <c r="E98" s="16"/>
      <c r="F98" s="4"/>
      <c r="G98" s="16"/>
      <c r="H98" s="4"/>
      <c r="I98" s="4"/>
      <c r="J98" s="4"/>
      <c r="K98" s="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2"/>
      <c r="B99" s="4"/>
      <c r="C99" s="2"/>
      <c r="D99" s="4"/>
      <c r="E99" s="16"/>
      <c r="F99" s="4"/>
      <c r="G99" s="16"/>
      <c r="H99" s="4"/>
      <c r="I99" s="4"/>
      <c r="J99" s="4"/>
      <c r="K99" s="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2"/>
      <c r="B100" s="4"/>
      <c r="C100" s="2"/>
      <c r="D100" s="4"/>
      <c r="E100" s="16"/>
      <c r="F100" s="4"/>
      <c r="G100" s="16"/>
      <c r="H100" s="4"/>
      <c r="I100" s="4"/>
      <c r="J100" s="4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2"/>
      <c r="B101" s="4"/>
      <c r="C101" s="2"/>
      <c r="D101" s="4"/>
      <c r="E101" s="16"/>
      <c r="F101" s="4"/>
      <c r="G101" s="16"/>
      <c r="H101" s="4"/>
      <c r="I101" s="4"/>
      <c r="J101" s="4"/>
      <c r="K101" s="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2"/>
      <c r="B102" s="4"/>
      <c r="C102" s="2"/>
      <c r="D102" s="4"/>
      <c r="E102" s="16"/>
      <c r="F102" s="4"/>
      <c r="G102" s="16"/>
      <c r="H102" s="4"/>
      <c r="I102" s="4"/>
      <c r="J102" s="4"/>
      <c r="K102" s="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2"/>
      <c r="B103" s="4"/>
      <c r="C103" s="2"/>
      <c r="D103" s="4"/>
      <c r="E103" s="16"/>
      <c r="F103" s="4"/>
      <c r="G103" s="16"/>
      <c r="H103" s="4"/>
      <c r="I103" s="4"/>
      <c r="J103" s="4"/>
      <c r="K103" s="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2"/>
      <c r="B104" s="4"/>
      <c r="C104" s="2"/>
      <c r="D104" s="4"/>
      <c r="E104" s="16"/>
      <c r="F104" s="4"/>
      <c r="G104" s="16"/>
      <c r="H104" s="4"/>
      <c r="I104" s="4"/>
      <c r="J104" s="4"/>
      <c r="K104" s="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2"/>
      <c r="B105" s="4"/>
      <c r="C105" s="2"/>
      <c r="D105" s="4"/>
      <c r="E105" s="16"/>
      <c r="F105" s="4"/>
      <c r="G105" s="16"/>
      <c r="H105" s="4"/>
      <c r="I105" s="4"/>
      <c r="J105" s="4"/>
      <c r="K105" s="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2"/>
      <c r="B106" s="4"/>
      <c r="C106" s="2"/>
      <c r="D106" s="4"/>
      <c r="E106" s="16"/>
      <c r="F106" s="4"/>
      <c r="G106" s="16"/>
      <c r="H106" s="4"/>
      <c r="I106" s="4"/>
      <c r="J106" s="4"/>
      <c r="K106" s="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2"/>
      <c r="B107" s="4"/>
      <c r="C107" s="2"/>
      <c r="D107" s="4"/>
      <c r="E107" s="16"/>
      <c r="F107" s="4"/>
      <c r="G107" s="16"/>
      <c r="H107" s="4"/>
      <c r="I107" s="4"/>
      <c r="J107" s="4"/>
      <c r="K107" s="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2"/>
      <c r="B108" s="4"/>
      <c r="C108" s="2"/>
      <c r="D108" s="4"/>
      <c r="E108" s="16"/>
      <c r="F108" s="4"/>
      <c r="G108" s="16"/>
      <c r="H108" s="4"/>
      <c r="I108" s="4"/>
      <c r="J108" s="4"/>
      <c r="K108" s="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2"/>
      <c r="B109" s="4"/>
      <c r="C109" s="2"/>
      <c r="D109" s="4"/>
      <c r="E109" s="16"/>
      <c r="F109" s="4"/>
      <c r="G109" s="16"/>
      <c r="H109" s="4"/>
      <c r="I109" s="4"/>
      <c r="J109" s="4"/>
      <c r="K109" s="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2"/>
      <c r="B110" s="4"/>
      <c r="C110" s="2"/>
      <c r="D110" s="4"/>
      <c r="E110" s="16"/>
      <c r="F110" s="4"/>
      <c r="G110" s="16"/>
      <c r="H110" s="4"/>
      <c r="I110" s="4"/>
      <c r="J110" s="4"/>
      <c r="K110" s="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2"/>
      <c r="B111" s="4"/>
      <c r="C111" s="2"/>
      <c r="D111" s="4"/>
      <c r="E111" s="16"/>
      <c r="F111" s="4"/>
      <c r="G111" s="16"/>
      <c r="H111" s="4"/>
      <c r="I111" s="4"/>
      <c r="J111" s="4"/>
      <c r="K111" s="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2"/>
      <c r="B112" s="4"/>
      <c r="C112" s="2"/>
      <c r="D112" s="4"/>
      <c r="E112" s="16"/>
      <c r="F112" s="4"/>
      <c r="G112" s="16"/>
      <c r="H112" s="4"/>
      <c r="I112" s="4"/>
      <c r="J112" s="4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2"/>
      <c r="B113" s="4"/>
      <c r="C113" s="2"/>
      <c r="D113" s="4"/>
      <c r="E113" s="16"/>
      <c r="F113" s="4"/>
      <c r="G113" s="16"/>
      <c r="H113" s="4"/>
      <c r="I113" s="4"/>
      <c r="J113" s="4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2"/>
      <c r="B114" s="4"/>
      <c r="C114" s="2"/>
      <c r="D114" s="4"/>
      <c r="E114" s="16"/>
      <c r="F114" s="4"/>
      <c r="G114" s="16"/>
      <c r="H114" s="4"/>
      <c r="I114" s="4"/>
      <c r="J114" s="4"/>
      <c r="K114" s="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2"/>
      <c r="B115" s="4"/>
      <c r="C115" s="2"/>
      <c r="D115" s="4"/>
      <c r="E115" s="16"/>
      <c r="F115" s="4"/>
      <c r="G115" s="16"/>
      <c r="H115" s="4"/>
      <c r="I115" s="4"/>
      <c r="J115" s="4"/>
      <c r="K115" s="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2"/>
      <c r="B116" s="4"/>
      <c r="C116" s="2"/>
      <c r="D116" s="4"/>
      <c r="E116" s="16"/>
      <c r="F116" s="4"/>
      <c r="G116" s="16"/>
      <c r="H116" s="4"/>
      <c r="I116" s="4"/>
      <c r="J116" s="4"/>
      <c r="K116" s="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2"/>
      <c r="B117" s="4"/>
      <c r="C117" s="2"/>
      <c r="D117" s="4"/>
      <c r="E117" s="16"/>
      <c r="F117" s="4"/>
      <c r="G117" s="16"/>
      <c r="H117" s="4"/>
      <c r="I117" s="4"/>
      <c r="J117" s="4"/>
      <c r="K117" s="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2"/>
      <c r="B118" s="4"/>
      <c r="C118" s="2"/>
      <c r="D118" s="4"/>
      <c r="E118" s="16"/>
      <c r="F118" s="4"/>
      <c r="G118" s="16"/>
      <c r="H118" s="4"/>
      <c r="I118" s="4"/>
      <c r="J118" s="4"/>
      <c r="K118" s="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"/>
      <c r="B119" s="4"/>
      <c r="C119" s="2"/>
      <c r="D119" s="4"/>
      <c r="E119" s="16"/>
      <c r="F119" s="4"/>
      <c r="G119" s="16"/>
      <c r="H119" s="4"/>
      <c r="I119" s="4"/>
      <c r="J119" s="4"/>
      <c r="K119" s="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"/>
      <c r="B120" s="4"/>
      <c r="C120" s="2"/>
      <c r="D120" s="4"/>
      <c r="E120" s="16"/>
      <c r="F120" s="4"/>
      <c r="G120" s="16"/>
      <c r="H120" s="4"/>
      <c r="I120" s="4"/>
      <c r="J120" s="4"/>
      <c r="K120" s="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"/>
      <c r="B121" s="4"/>
      <c r="C121" s="2"/>
      <c r="D121" s="4"/>
      <c r="E121" s="16"/>
      <c r="F121" s="4"/>
      <c r="G121" s="16"/>
      <c r="H121" s="4"/>
      <c r="I121" s="4"/>
      <c r="J121" s="4"/>
      <c r="K121" s="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"/>
      <c r="B122" s="4"/>
      <c r="C122" s="2"/>
      <c r="D122" s="4"/>
      <c r="E122" s="16"/>
      <c r="F122" s="4"/>
      <c r="G122" s="16"/>
      <c r="H122" s="4"/>
      <c r="I122" s="4"/>
      <c r="J122" s="4"/>
      <c r="K122" s="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"/>
      <c r="B123" s="4"/>
      <c r="C123" s="2"/>
      <c r="D123" s="4"/>
      <c r="E123" s="16"/>
      <c r="F123" s="4"/>
      <c r="G123" s="16"/>
      <c r="H123" s="4"/>
      <c r="I123" s="4"/>
      <c r="J123" s="4"/>
      <c r="K123" s="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"/>
      <c r="B124" s="4"/>
      <c r="C124" s="2"/>
      <c r="D124" s="4"/>
      <c r="E124" s="16"/>
      <c r="F124" s="4"/>
      <c r="G124" s="16"/>
      <c r="H124" s="4"/>
      <c r="I124" s="4"/>
      <c r="J124" s="4"/>
      <c r="K124" s="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"/>
      <c r="B125" s="4"/>
      <c r="C125" s="2"/>
      <c r="D125" s="4"/>
      <c r="E125" s="16"/>
      <c r="F125" s="4"/>
      <c r="G125" s="16"/>
      <c r="H125" s="4"/>
      <c r="I125" s="4"/>
      <c r="J125" s="4"/>
      <c r="K125" s="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"/>
      <c r="B126" s="4"/>
      <c r="C126" s="2"/>
      <c r="D126" s="4"/>
      <c r="E126" s="16"/>
      <c r="F126" s="4"/>
      <c r="G126" s="16"/>
      <c r="H126" s="4"/>
      <c r="I126" s="4"/>
      <c r="J126" s="4"/>
      <c r="K126" s="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"/>
      <c r="B127" s="4"/>
      <c r="C127" s="2"/>
      <c r="D127" s="4"/>
      <c r="E127" s="16"/>
      <c r="F127" s="4"/>
      <c r="G127" s="16"/>
      <c r="H127" s="4"/>
      <c r="I127" s="4"/>
      <c r="J127" s="4"/>
      <c r="K127" s="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"/>
      <c r="B128" s="4"/>
      <c r="C128" s="2"/>
      <c r="D128" s="4"/>
      <c r="E128" s="16"/>
      <c r="F128" s="4"/>
      <c r="G128" s="16"/>
      <c r="H128" s="4"/>
      <c r="I128" s="4"/>
      <c r="J128" s="4"/>
      <c r="K128" s="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"/>
      <c r="B129" s="4"/>
      <c r="C129" s="2"/>
      <c r="D129" s="4"/>
      <c r="E129" s="16"/>
      <c r="F129" s="4"/>
      <c r="G129" s="16"/>
      <c r="H129" s="4"/>
      <c r="I129" s="4"/>
      <c r="J129" s="4"/>
      <c r="K129" s="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"/>
      <c r="B130" s="4"/>
      <c r="C130" s="2"/>
      <c r="D130" s="4"/>
      <c r="E130" s="16"/>
      <c r="F130" s="4"/>
      <c r="G130" s="16"/>
      <c r="H130" s="4"/>
      <c r="I130" s="4"/>
      <c r="J130" s="4"/>
      <c r="K130" s="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"/>
      <c r="B131" s="4"/>
      <c r="C131" s="2"/>
      <c r="D131" s="4"/>
      <c r="E131" s="16"/>
      <c r="F131" s="4"/>
      <c r="G131" s="16"/>
      <c r="H131" s="4"/>
      <c r="I131" s="4"/>
      <c r="J131" s="4"/>
      <c r="K131" s="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"/>
      <c r="B132" s="4"/>
      <c r="C132" s="2"/>
      <c r="D132" s="4"/>
      <c r="E132" s="16"/>
      <c r="F132" s="4"/>
      <c r="G132" s="16"/>
      <c r="H132" s="4"/>
      <c r="I132" s="4"/>
      <c r="J132" s="4"/>
      <c r="K132" s="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"/>
      <c r="B133" s="4"/>
      <c r="C133" s="2"/>
      <c r="D133" s="4"/>
      <c r="E133" s="16"/>
      <c r="F133" s="4"/>
      <c r="G133" s="16"/>
      <c r="H133" s="4"/>
      <c r="I133" s="4"/>
      <c r="J133" s="4"/>
      <c r="K133" s="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"/>
      <c r="B134" s="4"/>
      <c r="C134" s="2"/>
      <c r="D134" s="4"/>
      <c r="E134" s="16"/>
      <c r="F134" s="4"/>
      <c r="G134" s="16"/>
      <c r="H134" s="4"/>
      <c r="I134" s="4"/>
      <c r="J134" s="4"/>
      <c r="K134" s="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"/>
      <c r="B135" s="4"/>
      <c r="C135" s="2"/>
      <c r="D135" s="4"/>
      <c r="E135" s="16"/>
      <c r="F135" s="4"/>
      <c r="G135" s="16"/>
      <c r="H135" s="4"/>
      <c r="I135" s="4"/>
      <c r="J135" s="4"/>
      <c r="K135" s="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"/>
      <c r="B136" s="4"/>
      <c r="C136" s="2"/>
      <c r="D136" s="4"/>
      <c r="E136" s="16"/>
      <c r="F136" s="4"/>
      <c r="G136" s="16"/>
      <c r="H136" s="4"/>
      <c r="I136" s="4"/>
      <c r="J136" s="4"/>
      <c r="K136" s="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"/>
      <c r="B137" s="4"/>
      <c r="C137" s="2"/>
      <c r="D137" s="4"/>
      <c r="E137" s="16"/>
      <c r="F137" s="4"/>
      <c r="G137" s="16"/>
      <c r="H137" s="4"/>
      <c r="I137" s="4"/>
      <c r="J137" s="4"/>
      <c r="K137" s="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"/>
      <c r="B138" s="4"/>
      <c r="C138" s="2"/>
      <c r="D138" s="4"/>
      <c r="E138" s="16"/>
      <c r="F138" s="4"/>
      <c r="G138" s="16"/>
      <c r="H138" s="4"/>
      <c r="I138" s="4"/>
      <c r="J138" s="4"/>
      <c r="K138" s="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"/>
      <c r="B139" s="4"/>
      <c r="C139" s="2"/>
      <c r="D139" s="4"/>
      <c r="E139" s="16"/>
      <c r="F139" s="4"/>
      <c r="G139" s="16"/>
      <c r="H139" s="4"/>
      <c r="I139" s="4"/>
      <c r="J139" s="4"/>
      <c r="K139" s="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"/>
      <c r="B140" s="4"/>
      <c r="C140" s="2"/>
      <c r="D140" s="4"/>
      <c r="E140" s="16"/>
      <c r="F140" s="4"/>
      <c r="G140" s="16"/>
      <c r="H140" s="4"/>
      <c r="I140" s="4"/>
      <c r="J140" s="4"/>
      <c r="K140" s="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"/>
      <c r="B141" s="4"/>
      <c r="C141" s="2"/>
      <c r="D141" s="4"/>
      <c r="E141" s="16"/>
      <c r="F141" s="4"/>
      <c r="G141" s="16"/>
      <c r="H141" s="4"/>
      <c r="I141" s="4"/>
      <c r="J141" s="4"/>
      <c r="K141" s="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"/>
      <c r="B142" s="4"/>
      <c r="C142" s="2"/>
      <c r="D142" s="4"/>
      <c r="E142" s="16"/>
      <c r="F142" s="4"/>
      <c r="G142" s="16"/>
      <c r="H142" s="4"/>
      <c r="I142" s="4"/>
      <c r="J142" s="4"/>
      <c r="K142" s="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"/>
      <c r="B143" s="4"/>
      <c r="C143" s="2"/>
      <c r="D143" s="4"/>
      <c r="E143" s="16"/>
      <c r="F143" s="4"/>
      <c r="G143" s="16"/>
      <c r="H143" s="4"/>
      <c r="I143" s="4"/>
      <c r="J143" s="4"/>
      <c r="K143" s="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"/>
      <c r="B144" s="4"/>
      <c r="C144" s="2"/>
      <c r="D144" s="4"/>
      <c r="E144" s="16"/>
      <c r="F144" s="4"/>
      <c r="G144" s="16"/>
      <c r="H144" s="4"/>
      <c r="I144" s="4"/>
      <c r="J144" s="4"/>
      <c r="K144" s="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"/>
      <c r="B145" s="4"/>
      <c r="C145" s="2"/>
      <c r="D145" s="4"/>
      <c r="E145" s="16"/>
      <c r="F145" s="4"/>
      <c r="G145" s="16"/>
      <c r="H145" s="4"/>
      <c r="I145" s="4"/>
      <c r="J145" s="4"/>
      <c r="K145" s="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"/>
      <c r="B146" s="4"/>
      <c r="C146" s="2"/>
      <c r="D146" s="4"/>
      <c r="E146" s="16"/>
      <c r="F146" s="4"/>
      <c r="G146" s="16"/>
      <c r="H146" s="4"/>
      <c r="I146" s="4"/>
      <c r="J146" s="4"/>
      <c r="K146" s="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"/>
      <c r="B147" s="4"/>
      <c r="C147" s="2"/>
      <c r="D147" s="4"/>
      <c r="E147" s="16"/>
      <c r="F147" s="4"/>
      <c r="G147" s="16"/>
      <c r="H147" s="4"/>
      <c r="I147" s="4"/>
      <c r="J147" s="4"/>
      <c r="K147" s="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"/>
      <c r="B148" s="4"/>
      <c r="C148" s="2"/>
      <c r="D148" s="4"/>
      <c r="E148" s="16"/>
      <c r="F148" s="4"/>
      <c r="G148" s="16"/>
      <c r="H148" s="4"/>
      <c r="I148" s="4"/>
      <c r="J148" s="4"/>
      <c r="K148" s="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"/>
      <c r="B149" s="4"/>
      <c r="C149" s="2"/>
      <c r="D149" s="4"/>
      <c r="E149" s="16"/>
      <c r="F149" s="4"/>
      <c r="G149" s="16"/>
      <c r="H149" s="4"/>
      <c r="I149" s="4"/>
      <c r="J149" s="4"/>
      <c r="K149" s="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"/>
      <c r="B150" s="4"/>
      <c r="C150" s="2"/>
      <c r="D150" s="4"/>
      <c r="E150" s="16"/>
      <c r="F150" s="4"/>
      <c r="G150" s="16"/>
      <c r="H150" s="4"/>
      <c r="I150" s="4"/>
      <c r="J150" s="4"/>
      <c r="K150" s="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"/>
      <c r="B151" s="4"/>
      <c r="C151" s="2"/>
      <c r="D151" s="4"/>
      <c r="E151" s="16"/>
      <c r="F151" s="4"/>
      <c r="G151" s="16"/>
      <c r="H151" s="4"/>
      <c r="I151" s="4"/>
      <c r="J151" s="4"/>
      <c r="K151" s="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"/>
      <c r="B152" s="4"/>
      <c r="C152" s="2"/>
      <c r="D152" s="4"/>
      <c r="E152" s="16"/>
      <c r="F152" s="4"/>
      <c r="G152" s="16"/>
      <c r="H152" s="4"/>
      <c r="I152" s="4"/>
      <c r="J152" s="4"/>
      <c r="K152" s="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"/>
      <c r="B153" s="4"/>
      <c r="C153" s="2"/>
      <c r="D153" s="4"/>
      <c r="E153" s="16"/>
      <c r="F153" s="4"/>
      <c r="G153" s="16"/>
      <c r="H153" s="4"/>
      <c r="I153" s="4"/>
      <c r="J153" s="4"/>
      <c r="K153" s="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"/>
      <c r="B154" s="4"/>
      <c r="C154" s="2"/>
      <c r="D154" s="4"/>
      <c r="E154" s="16"/>
      <c r="F154" s="4"/>
      <c r="G154" s="16"/>
      <c r="H154" s="4"/>
      <c r="I154" s="4"/>
      <c r="J154" s="4"/>
      <c r="K154" s="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"/>
      <c r="B155" s="4"/>
      <c r="C155" s="2"/>
      <c r="D155" s="4"/>
      <c r="E155" s="16"/>
      <c r="F155" s="4"/>
      <c r="G155" s="16"/>
      <c r="H155" s="4"/>
      <c r="I155" s="4"/>
      <c r="J155" s="4"/>
      <c r="K155" s="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"/>
      <c r="B156" s="4"/>
      <c r="C156" s="2"/>
      <c r="D156" s="4"/>
      <c r="E156" s="16"/>
      <c r="F156" s="4"/>
      <c r="G156" s="16"/>
      <c r="H156" s="4"/>
      <c r="I156" s="4"/>
      <c r="J156" s="4"/>
      <c r="K156" s="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"/>
      <c r="B157" s="4"/>
      <c r="C157" s="2"/>
      <c r="D157" s="4"/>
      <c r="E157" s="16"/>
      <c r="F157" s="4"/>
      <c r="G157" s="16"/>
      <c r="H157" s="4"/>
      <c r="I157" s="4"/>
      <c r="J157" s="4"/>
      <c r="K157" s="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"/>
      <c r="B158" s="4"/>
      <c r="C158" s="2"/>
      <c r="D158" s="4"/>
      <c r="E158" s="16"/>
      <c r="F158" s="4"/>
      <c r="G158" s="16"/>
      <c r="H158" s="4"/>
      <c r="I158" s="4"/>
      <c r="J158" s="4"/>
      <c r="K158" s="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"/>
      <c r="B159" s="4"/>
      <c r="C159" s="2"/>
      <c r="D159" s="4"/>
      <c r="E159" s="16"/>
      <c r="F159" s="4"/>
      <c r="G159" s="16"/>
      <c r="H159" s="4"/>
      <c r="I159" s="4"/>
      <c r="J159" s="4"/>
      <c r="K159" s="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"/>
      <c r="B160" s="4"/>
      <c r="C160" s="2"/>
      <c r="D160" s="4"/>
      <c r="E160" s="16"/>
      <c r="F160" s="4"/>
      <c r="G160" s="16"/>
      <c r="H160" s="4"/>
      <c r="I160" s="4"/>
      <c r="J160" s="4"/>
      <c r="K160" s="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"/>
      <c r="B161" s="4"/>
      <c r="C161" s="2"/>
      <c r="D161" s="4"/>
      <c r="E161" s="16"/>
      <c r="F161" s="4"/>
      <c r="G161" s="16"/>
      <c r="H161" s="4"/>
      <c r="I161" s="4"/>
      <c r="J161" s="4"/>
      <c r="K161" s="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"/>
      <c r="B162" s="4"/>
      <c r="C162" s="2"/>
      <c r="D162" s="4"/>
      <c r="E162" s="16"/>
      <c r="F162" s="4"/>
      <c r="G162" s="16"/>
      <c r="H162" s="4"/>
      <c r="I162" s="4"/>
      <c r="J162" s="4"/>
      <c r="K162" s="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"/>
      <c r="B163" s="4"/>
      <c r="C163" s="2"/>
      <c r="D163" s="4"/>
      <c r="E163" s="16"/>
      <c r="F163" s="4"/>
      <c r="G163" s="16"/>
      <c r="H163" s="4"/>
      <c r="I163" s="4"/>
      <c r="J163" s="4"/>
      <c r="K163" s="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"/>
      <c r="B164" s="4"/>
      <c r="C164" s="2"/>
      <c r="D164" s="4"/>
      <c r="E164" s="16"/>
      <c r="F164" s="4"/>
      <c r="G164" s="16"/>
      <c r="H164" s="4"/>
      <c r="I164" s="4"/>
      <c r="J164" s="4"/>
      <c r="K164" s="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"/>
      <c r="B165" s="4"/>
      <c r="C165" s="2"/>
      <c r="D165" s="4"/>
      <c r="E165" s="16"/>
      <c r="F165" s="4"/>
      <c r="G165" s="16"/>
      <c r="H165" s="4"/>
      <c r="I165" s="4"/>
      <c r="J165" s="4"/>
      <c r="K165" s="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"/>
      <c r="B166" s="4"/>
      <c r="C166" s="2"/>
      <c r="D166" s="4"/>
      <c r="E166" s="16"/>
      <c r="F166" s="4"/>
      <c r="G166" s="16"/>
      <c r="H166" s="4"/>
      <c r="I166" s="4"/>
      <c r="J166" s="4"/>
      <c r="K166" s="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"/>
      <c r="B167" s="4"/>
      <c r="C167" s="2"/>
      <c r="D167" s="4"/>
      <c r="E167" s="16"/>
      <c r="F167" s="4"/>
      <c r="G167" s="16"/>
      <c r="H167" s="4"/>
      <c r="I167" s="4"/>
      <c r="J167" s="4"/>
      <c r="K167" s="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"/>
      <c r="B168" s="4"/>
      <c r="C168" s="2"/>
      <c r="D168" s="4"/>
      <c r="E168" s="16"/>
      <c r="F168" s="4"/>
      <c r="G168" s="16"/>
      <c r="H168" s="4"/>
      <c r="I168" s="4"/>
      <c r="J168" s="4"/>
      <c r="K168" s="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"/>
      <c r="B169" s="4"/>
      <c r="C169" s="2"/>
      <c r="D169" s="4"/>
      <c r="E169" s="16"/>
      <c r="F169" s="4"/>
      <c r="G169" s="16"/>
      <c r="H169" s="4"/>
      <c r="I169" s="4"/>
      <c r="J169" s="4"/>
      <c r="K169" s="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"/>
      <c r="B170" s="4"/>
      <c r="C170" s="2"/>
      <c r="D170" s="4"/>
      <c r="E170" s="16"/>
      <c r="F170" s="4"/>
      <c r="G170" s="16"/>
      <c r="H170" s="4"/>
      <c r="I170" s="4"/>
      <c r="J170" s="4"/>
      <c r="K170" s="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"/>
      <c r="B171" s="4"/>
      <c r="C171" s="2"/>
      <c r="D171" s="4"/>
      <c r="E171" s="16"/>
      <c r="F171" s="4"/>
      <c r="G171" s="16"/>
      <c r="H171" s="4"/>
      <c r="I171" s="4"/>
      <c r="J171" s="4"/>
      <c r="K171" s="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"/>
      <c r="B172" s="4"/>
      <c r="C172" s="2"/>
      <c r="D172" s="4"/>
      <c r="E172" s="16"/>
      <c r="F172" s="4"/>
      <c r="G172" s="16"/>
      <c r="H172" s="4"/>
      <c r="I172" s="4"/>
      <c r="J172" s="4"/>
      <c r="K172" s="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"/>
      <c r="B173" s="4"/>
      <c r="C173" s="2"/>
      <c r="D173" s="4"/>
      <c r="E173" s="16"/>
      <c r="F173" s="4"/>
      <c r="G173" s="16"/>
      <c r="H173" s="4"/>
      <c r="I173" s="4"/>
      <c r="J173" s="4"/>
      <c r="K173" s="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"/>
      <c r="B174" s="4"/>
      <c r="C174" s="2"/>
      <c r="D174" s="4"/>
      <c r="E174" s="16"/>
      <c r="F174" s="4"/>
      <c r="G174" s="16"/>
      <c r="H174" s="4"/>
      <c r="I174" s="4"/>
      <c r="J174" s="4"/>
      <c r="K174" s="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"/>
      <c r="B175" s="4"/>
      <c r="C175" s="2"/>
      <c r="D175" s="4"/>
      <c r="E175" s="16"/>
      <c r="F175" s="4"/>
      <c r="G175" s="16"/>
      <c r="H175" s="4"/>
      <c r="I175" s="4"/>
      <c r="J175" s="4"/>
      <c r="K175" s="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"/>
      <c r="B176" s="4"/>
      <c r="C176" s="2"/>
      <c r="D176" s="4"/>
      <c r="E176" s="16"/>
      <c r="F176" s="4"/>
      <c r="G176" s="16"/>
      <c r="H176" s="4"/>
      <c r="I176" s="4"/>
      <c r="J176" s="4"/>
      <c r="K176" s="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"/>
      <c r="B177" s="4"/>
      <c r="C177" s="2"/>
      <c r="D177" s="4"/>
      <c r="E177" s="16"/>
      <c r="F177" s="4"/>
      <c r="G177" s="16"/>
      <c r="H177" s="4"/>
      <c r="I177" s="4"/>
      <c r="J177" s="4"/>
      <c r="K177" s="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"/>
      <c r="B178" s="4"/>
      <c r="C178" s="2"/>
      <c r="D178" s="4"/>
      <c r="E178" s="16"/>
      <c r="F178" s="4"/>
      <c r="G178" s="16"/>
      <c r="H178" s="4"/>
      <c r="I178" s="4"/>
      <c r="J178" s="4"/>
      <c r="K178" s="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"/>
      <c r="B179" s="4"/>
      <c r="C179" s="2"/>
      <c r="D179" s="4"/>
      <c r="E179" s="16"/>
      <c r="F179" s="4"/>
      <c r="G179" s="16"/>
      <c r="H179" s="4"/>
      <c r="I179" s="4"/>
      <c r="J179" s="4"/>
      <c r="K179" s="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"/>
      <c r="B180" s="4"/>
      <c r="C180" s="2"/>
      <c r="D180" s="4"/>
      <c r="E180" s="16"/>
      <c r="F180" s="4"/>
      <c r="G180" s="16"/>
      <c r="H180" s="4"/>
      <c r="I180" s="4"/>
      <c r="J180" s="4"/>
      <c r="K180" s="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"/>
      <c r="B181" s="4"/>
      <c r="C181" s="2"/>
      <c r="D181" s="4"/>
      <c r="E181" s="16"/>
      <c r="F181" s="4"/>
      <c r="G181" s="16"/>
      <c r="H181" s="4"/>
      <c r="I181" s="4"/>
      <c r="J181" s="4"/>
      <c r="K181" s="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"/>
      <c r="B182" s="4"/>
      <c r="C182" s="2"/>
      <c r="D182" s="4"/>
      <c r="E182" s="16"/>
      <c r="F182" s="4"/>
      <c r="G182" s="16"/>
      <c r="H182" s="4"/>
      <c r="I182" s="4"/>
      <c r="J182" s="4"/>
      <c r="K182" s="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"/>
      <c r="B183" s="4"/>
      <c r="C183" s="2"/>
      <c r="D183" s="4"/>
      <c r="E183" s="16"/>
      <c r="F183" s="4"/>
      <c r="G183" s="16"/>
      <c r="H183" s="4"/>
      <c r="I183" s="4"/>
      <c r="J183" s="4"/>
      <c r="K183" s="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"/>
      <c r="B184" s="4"/>
      <c r="C184" s="2"/>
      <c r="D184" s="4"/>
      <c r="E184" s="16"/>
      <c r="F184" s="4"/>
      <c r="G184" s="16"/>
      <c r="H184" s="4"/>
      <c r="I184" s="4"/>
      <c r="J184" s="4"/>
      <c r="K184" s="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"/>
      <c r="B185" s="4"/>
      <c r="C185" s="2"/>
      <c r="D185" s="4"/>
      <c r="E185" s="16"/>
      <c r="F185" s="4"/>
      <c r="G185" s="16"/>
      <c r="H185" s="4"/>
      <c r="I185" s="4"/>
      <c r="J185" s="4"/>
      <c r="K185" s="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"/>
      <c r="B186" s="4"/>
      <c r="C186" s="2"/>
      <c r="D186" s="4"/>
      <c r="E186" s="16"/>
      <c r="F186" s="4"/>
      <c r="G186" s="16"/>
      <c r="H186" s="4"/>
      <c r="I186" s="4"/>
      <c r="J186" s="4"/>
      <c r="K186" s="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"/>
      <c r="B187" s="4"/>
      <c r="C187" s="2"/>
      <c r="D187" s="4"/>
      <c r="E187" s="16"/>
      <c r="F187" s="4"/>
      <c r="G187" s="16"/>
      <c r="H187" s="4"/>
      <c r="I187" s="4"/>
      <c r="J187" s="4"/>
      <c r="K187" s="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"/>
      <c r="B188" s="4"/>
      <c r="C188" s="2"/>
      <c r="D188" s="4"/>
      <c r="E188" s="16"/>
      <c r="F188" s="4"/>
      <c r="G188" s="16"/>
      <c r="H188" s="4"/>
      <c r="I188" s="4"/>
      <c r="J188" s="4"/>
      <c r="K188" s="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"/>
      <c r="B189" s="4"/>
      <c r="C189" s="2"/>
      <c r="D189" s="4"/>
      <c r="E189" s="16"/>
      <c r="F189" s="4"/>
      <c r="G189" s="16"/>
      <c r="H189" s="4"/>
      <c r="I189" s="4"/>
      <c r="J189" s="4"/>
      <c r="K189" s="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"/>
      <c r="B190" s="4"/>
      <c r="C190" s="2"/>
      <c r="D190" s="4"/>
      <c r="E190" s="16"/>
      <c r="F190" s="4"/>
      <c r="G190" s="16"/>
      <c r="H190" s="4"/>
      <c r="I190" s="4"/>
      <c r="J190" s="4"/>
      <c r="K190" s="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"/>
      <c r="B191" s="4"/>
      <c r="C191" s="2"/>
      <c r="D191" s="4"/>
      <c r="E191" s="16"/>
      <c r="F191" s="4"/>
      <c r="G191" s="16"/>
      <c r="H191" s="4"/>
      <c r="I191" s="4"/>
      <c r="J191" s="4"/>
      <c r="K191" s="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"/>
      <c r="B192" s="4"/>
      <c r="C192" s="2"/>
      <c r="D192" s="4"/>
      <c r="E192" s="16"/>
      <c r="F192" s="4"/>
      <c r="G192" s="16"/>
      <c r="H192" s="4"/>
      <c r="I192" s="4"/>
      <c r="J192" s="4"/>
      <c r="K192" s="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"/>
      <c r="B193" s="4"/>
      <c r="C193" s="2"/>
      <c r="D193" s="4"/>
      <c r="E193" s="16"/>
      <c r="F193" s="4"/>
      <c r="G193" s="16"/>
      <c r="H193" s="4"/>
      <c r="I193" s="4"/>
      <c r="J193" s="4"/>
      <c r="K193" s="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"/>
      <c r="B194" s="4"/>
      <c r="C194" s="2"/>
      <c r="D194" s="4"/>
      <c r="E194" s="16"/>
      <c r="F194" s="4"/>
      <c r="G194" s="16"/>
      <c r="H194" s="4"/>
      <c r="I194" s="4"/>
      <c r="J194" s="4"/>
      <c r="K194" s="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"/>
      <c r="B195" s="4"/>
      <c r="C195" s="2"/>
      <c r="D195" s="4"/>
      <c r="E195" s="16"/>
      <c r="F195" s="4"/>
      <c r="G195" s="16"/>
      <c r="H195" s="4"/>
      <c r="I195" s="4"/>
      <c r="J195" s="4"/>
      <c r="K195" s="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"/>
      <c r="B196" s="4"/>
      <c r="C196" s="2"/>
      <c r="D196" s="4"/>
      <c r="E196" s="16"/>
      <c r="F196" s="4"/>
      <c r="G196" s="16"/>
      <c r="H196" s="4"/>
      <c r="I196" s="4"/>
      <c r="J196" s="4"/>
      <c r="K196" s="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"/>
      <c r="B197" s="4"/>
      <c r="C197" s="2"/>
      <c r="D197" s="4"/>
      <c r="E197" s="16"/>
      <c r="F197" s="4"/>
      <c r="G197" s="16"/>
      <c r="H197" s="4"/>
      <c r="I197" s="4"/>
      <c r="J197" s="4"/>
      <c r="K197" s="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"/>
      <c r="B198" s="4"/>
      <c r="C198" s="2"/>
      <c r="D198" s="4"/>
      <c r="E198" s="16"/>
      <c r="F198" s="4"/>
      <c r="G198" s="16"/>
      <c r="H198" s="4"/>
      <c r="I198" s="4"/>
      <c r="J198" s="4"/>
      <c r="K198" s="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"/>
      <c r="B199" s="4"/>
      <c r="C199" s="2"/>
      <c r="D199" s="4"/>
      <c r="E199" s="16"/>
      <c r="F199" s="4"/>
      <c r="G199" s="16"/>
      <c r="H199" s="4"/>
      <c r="I199" s="4"/>
      <c r="J199" s="4"/>
      <c r="K199" s="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"/>
      <c r="B200" s="4"/>
      <c r="C200" s="2"/>
      <c r="D200" s="4"/>
      <c r="E200" s="16"/>
      <c r="F200" s="4"/>
      <c r="G200" s="16"/>
      <c r="H200" s="4"/>
      <c r="I200" s="4"/>
      <c r="J200" s="4"/>
      <c r="K200" s="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"/>
      <c r="B201" s="4"/>
      <c r="C201" s="2"/>
      <c r="D201" s="4"/>
      <c r="E201" s="16"/>
      <c r="F201" s="4"/>
      <c r="G201" s="16"/>
      <c r="H201" s="4"/>
      <c r="I201" s="4"/>
      <c r="J201" s="4"/>
      <c r="K201" s="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"/>
      <c r="B202" s="4"/>
      <c r="C202" s="2"/>
      <c r="D202" s="4"/>
      <c r="E202" s="16"/>
      <c r="F202" s="4"/>
      <c r="G202" s="16"/>
      <c r="H202" s="4"/>
      <c r="I202" s="4"/>
      <c r="J202" s="4"/>
      <c r="K202" s="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"/>
      <c r="B203" s="4"/>
      <c r="C203" s="2"/>
      <c r="D203" s="4"/>
      <c r="E203" s="16"/>
      <c r="F203" s="4"/>
      <c r="G203" s="16"/>
      <c r="H203" s="4"/>
      <c r="I203" s="4"/>
      <c r="J203" s="4"/>
      <c r="K203" s="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"/>
      <c r="B204" s="4"/>
      <c r="C204" s="2"/>
      <c r="D204" s="4"/>
      <c r="E204" s="16"/>
      <c r="F204" s="4"/>
      <c r="G204" s="16"/>
      <c r="H204" s="4"/>
      <c r="I204" s="4"/>
      <c r="J204" s="4"/>
      <c r="K204" s="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"/>
      <c r="B205" s="4"/>
      <c r="C205" s="2"/>
      <c r="D205" s="4"/>
      <c r="E205" s="16"/>
      <c r="F205" s="4"/>
      <c r="G205" s="16"/>
      <c r="H205" s="4"/>
      <c r="I205" s="4"/>
      <c r="J205" s="4"/>
      <c r="K205" s="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"/>
      <c r="B206" s="4"/>
      <c r="C206" s="2"/>
      <c r="D206" s="4"/>
      <c r="E206" s="16"/>
      <c r="F206" s="4"/>
      <c r="G206" s="16"/>
      <c r="H206" s="4"/>
      <c r="I206" s="4"/>
      <c r="J206" s="4"/>
      <c r="K206" s="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"/>
      <c r="B207" s="4"/>
      <c r="C207" s="2"/>
      <c r="D207" s="4"/>
      <c r="E207" s="16"/>
      <c r="F207" s="4"/>
      <c r="G207" s="16"/>
      <c r="H207" s="4"/>
      <c r="I207" s="4"/>
      <c r="J207" s="4"/>
      <c r="K207" s="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"/>
      <c r="B208" s="4"/>
      <c r="C208" s="2"/>
      <c r="D208" s="4"/>
      <c r="E208" s="16"/>
      <c r="F208" s="4"/>
      <c r="G208" s="16"/>
      <c r="H208" s="4"/>
      <c r="I208" s="4"/>
      <c r="J208" s="4"/>
      <c r="K208" s="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"/>
      <c r="B209" s="4"/>
      <c r="C209" s="2"/>
      <c r="D209" s="4"/>
      <c r="E209" s="16"/>
      <c r="F209" s="4"/>
      <c r="G209" s="16"/>
      <c r="H209" s="4"/>
      <c r="I209" s="4"/>
      <c r="J209" s="4"/>
      <c r="K209" s="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"/>
      <c r="B210" s="4"/>
      <c r="C210" s="2"/>
      <c r="D210" s="4"/>
      <c r="E210" s="16"/>
      <c r="F210" s="4"/>
      <c r="G210" s="16"/>
      <c r="H210" s="4"/>
      <c r="I210" s="4"/>
      <c r="J210" s="4"/>
      <c r="K210" s="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"/>
      <c r="B211" s="4"/>
      <c r="C211" s="2"/>
      <c r="D211" s="4"/>
      <c r="E211" s="16"/>
      <c r="F211" s="4"/>
      <c r="G211" s="16"/>
      <c r="H211" s="4"/>
      <c r="I211" s="4"/>
      <c r="J211" s="4"/>
      <c r="K211" s="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"/>
      <c r="B212" s="4"/>
      <c r="C212" s="2"/>
      <c r="D212" s="4"/>
      <c r="E212" s="16"/>
      <c r="F212" s="4"/>
      <c r="G212" s="16"/>
      <c r="H212" s="4"/>
      <c r="I212" s="4"/>
      <c r="J212" s="4"/>
      <c r="K212" s="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"/>
      <c r="B213" s="4"/>
      <c r="C213" s="2"/>
      <c r="D213" s="4"/>
      <c r="E213" s="16"/>
      <c r="F213" s="4"/>
      <c r="G213" s="16"/>
      <c r="H213" s="4"/>
      <c r="I213" s="4"/>
      <c r="J213" s="4"/>
      <c r="K213" s="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"/>
      <c r="B214" s="4"/>
      <c r="C214" s="2"/>
      <c r="D214" s="4"/>
      <c r="E214" s="16"/>
      <c r="F214" s="4"/>
      <c r="G214" s="16"/>
      <c r="H214" s="4"/>
      <c r="I214" s="4"/>
      <c r="J214" s="4"/>
      <c r="K214" s="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"/>
      <c r="B215" s="4"/>
      <c r="C215" s="2"/>
      <c r="D215" s="4"/>
      <c r="E215" s="16"/>
      <c r="F215" s="4"/>
      <c r="G215" s="16"/>
      <c r="H215" s="4"/>
      <c r="I215" s="4"/>
      <c r="J215" s="4"/>
      <c r="K215" s="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"/>
      <c r="B216" s="4"/>
      <c r="C216" s="2"/>
      <c r="D216" s="4"/>
      <c r="E216" s="16"/>
      <c r="F216" s="4"/>
      <c r="G216" s="16"/>
      <c r="H216" s="4"/>
      <c r="I216" s="4"/>
      <c r="J216" s="4"/>
      <c r="K216" s="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"/>
      <c r="B217" s="4"/>
      <c r="C217" s="2"/>
      <c r="D217" s="4"/>
      <c r="E217" s="16"/>
      <c r="F217" s="4"/>
      <c r="G217" s="16"/>
      <c r="H217" s="4"/>
      <c r="I217" s="4"/>
      <c r="J217" s="4"/>
      <c r="K217" s="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"/>
      <c r="B218" s="4"/>
      <c r="C218" s="2"/>
      <c r="D218" s="4"/>
      <c r="E218" s="16"/>
      <c r="F218" s="4"/>
      <c r="G218" s="16"/>
      <c r="H218" s="4"/>
      <c r="I218" s="4"/>
      <c r="J218" s="4"/>
      <c r="K218" s="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"/>
      <c r="B219" s="4"/>
      <c r="C219" s="2"/>
      <c r="D219" s="4"/>
      <c r="E219" s="16"/>
      <c r="F219" s="4"/>
      <c r="G219" s="16"/>
      <c r="H219" s="4"/>
      <c r="I219" s="4"/>
      <c r="J219" s="4"/>
      <c r="K219" s="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"/>
      <c r="B220" s="4"/>
      <c r="C220" s="2"/>
      <c r="D220" s="4"/>
      <c r="E220" s="16"/>
      <c r="F220" s="4"/>
      <c r="G220" s="16"/>
      <c r="H220" s="4"/>
      <c r="I220" s="4"/>
      <c r="J220" s="4"/>
      <c r="K220" s="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"/>
      <c r="B221" s="4"/>
      <c r="C221" s="2"/>
      <c r="D221" s="4"/>
      <c r="E221" s="16"/>
      <c r="F221" s="4"/>
      <c r="G221" s="16"/>
      <c r="H221" s="4"/>
      <c r="I221" s="4"/>
      <c r="J221" s="4"/>
      <c r="K221" s="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"/>
      <c r="B222" s="4"/>
      <c r="C222" s="2"/>
      <c r="D222" s="4"/>
      <c r="E222" s="16"/>
      <c r="F222" s="4"/>
      <c r="G222" s="16"/>
      <c r="H222" s="4"/>
      <c r="I222" s="4"/>
      <c r="J222" s="4"/>
      <c r="K222" s="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"/>
      <c r="B223" s="4"/>
      <c r="C223" s="2"/>
      <c r="D223" s="4"/>
      <c r="E223" s="16"/>
      <c r="F223" s="4"/>
      <c r="G223" s="16"/>
      <c r="H223" s="4"/>
      <c r="I223" s="4"/>
      <c r="J223" s="4"/>
      <c r="K223" s="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"/>
      <c r="B224" s="4"/>
      <c r="C224" s="2"/>
      <c r="D224" s="4"/>
      <c r="E224" s="16"/>
      <c r="F224" s="4"/>
      <c r="G224" s="16"/>
      <c r="H224" s="4"/>
      <c r="I224" s="4"/>
      <c r="J224" s="4"/>
      <c r="K224" s="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"/>
      <c r="B225" s="4"/>
      <c r="C225" s="2"/>
      <c r="D225" s="4"/>
      <c r="E225" s="16"/>
      <c r="F225" s="4"/>
      <c r="G225" s="16"/>
      <c r="H225" s="4"/>
      <c r="I225" s="4"/>
      <c r="J225" s="4"/>
      <c r="K225" s="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"/>
      <c r="B226" s="4"/>
      <c r="C226" s="2"/>
      <c r="D226" s="4"/>
      <c r="E226" s="16"/>
      <c r="F226" s="4"/>
      <c r="G226" s="16"/>
      <c r="H226" s="4"/>
      <c r="I226" s="4"/>
      <c r="J226" s="4"/>
      <c r="K226" s="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"/>
      <c r="B227" s="4"/>
      <c r="C227" s="2"/>
      <c r="D227" s="4"/>
      <c r="E227" s="16"/>
      <c r="F227" s="4"/>
      <c r="G227" s="16"/>
      <c r="H227" s="4"/>
      <c r="I227" s="4"/>
      <c r="J227" s="4"/>
      <c r="K227" s="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"/>
      <c r="B228" s="4"/>
      <c r="C228" s="2"/>
      <c r="D228" s="4"/>
      <c r="E228" s="16"/>
      <c r="F228" s="4"/>
      <c r="G228" s="16"/>
      <c r="H228" s="4"/>
      <c r="I228" s="4"/>
      <c r="J228" s="4"/>
      <c r="K228" s="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"/>
      <c r="B229" s="4"/>
      <c r="C229" s="2"/>
      <c r="D229" s="4"/>
      <c r="E229" s="16"/>
      <c r="F229" s="4"/>
      <c r="G229" s="16"/>
      <c r="H229" s="4"/>
      <c r="I229" s="4"/>
      <c r="J229" s="4"/>
      <c r="K229" s="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"/>
      <c r="B230" s="4"/>
      <c r="C230" s="2"/>
      <c r="D230" s="4"/>
      <c r="E230" s="16"/>
      <c r="F230" s="4"/>
      <c r="G230" s="16"/>
      <c r="H230" s="4"/>
      <c r="I230" s="4"/>
      <c r="J230" s="4"/>
      <c r="K230" s="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"/>
      <c r="B231" s="4"/>
      <c r="C231" s="2"/>
      <c r="D231" s="4"/>
      <c r="E231" s="16"/>
      <c r="F231" s="4"/>
      <c r="G231" s="16"/>
      <c r="H231" s="4"/>
      <c r="I231" s="4"/>
      <c r="J231" s="4"/>
      <c r="K231" s="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"/>
      <c r="B232" s="4"/>
      <c r="C232" s="2"/>
      <c r="D232" s="4"/>
      <c r="E232" s="16"/>
      <c r="F232" s="4"/>
      <c r="G232" s="16"/>
      <c r="H232" s="4"/>
      <c r="I232" s="4"/>
      <c r="J232" s="4"/>
      <c r="K232" s="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"/>
      <c r="B233" s="4"/>
      <c r="C233" s="2"/>
      <c r="D233" s="4"/>
      <c r="E233" s="16"/>
      <c r="F233" s="4"/>
      <c r="G233" s="16"/>
      <c r="H233" s="4"/>
      <c r="I233" s="4"/>
      <c r="J233" s="4"/>
      <c r="K233" s="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"/>
      <c r="B234" s="4"/>
      <c r="C234" s="2"/>
      <c r="D234" s="4"/>
      <c r="E234" s="16"/>
      <c r="F234" s="4"/>
      <c r="G234" s="16"/>
      <c r="H234" s="4"/>
      <c r="I234" s="4"/>
      <c r="J234" s="4"/>
      <c r="K234" s="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"/>
      <c r="B235" s="4"/>
      <c r="C235" s="2"/>
      <c r="D235" s="4"/>
      <c r="E235" s="16"/>
      <c r="F235" s="4"/>
      <c r="G235" s="16"/>
      <c r="H235" s="4"/>
      <c r="I235" s="4"/>
      <c r="J235" s="4"/>
      <c r="K235" s="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"/>
      <c r="B236" s="4"/>
      <c r="C236" s="2"/>
      <c r="D236" s="4"/>
      <c r="E236" s="16"/>
      <c r="F236" s="4"/>
      <c r="G236" s="16"/>
      <c r="H236" s="4"/>
      <c r="I236" s="4"/>
      <c r="J236" s="4"/>
      <c r="K236" s="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"/>
      <c r="B237" s="4"/>
      <c r="C237" s="2"/>
      <c r="D237" s="4"/>
      <c r="E237" s="16"/>
      <c r="F237" s="4"/>
      <c r="G237" s="16"/>
      <c r="H237" s="4"/>
      <c r="I237" s="4"/>
      <c r="J237" s="4"/>
      <c r="K237" s="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"/>
      <c r="B238" s="4"/>
      <c r="C238" s="2"/>
      <c r="D238" s="4"/>
      <c r="E238" s="16"/>
      <c r="F238" s="4"/>
      <c r="G238" s="16"/>
      <c r="H238" s="4"/>
      <c r="I238" s="4"/>
      <c r="J238" s="4"/>
      <c r="K238" s="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"/>
      <c r="B239" s="4"/>
      <c r="C239" s="2"/>
      <c r="D239" s="4"/>
      <c r="E239" s="16"/>
      <c r="F239" s="4"/>
      <c r="G239" s="16"/>
      <c r="H239" s="4"/>
      <c r="I239" s="4"/>
      <c r="J239" s="4"/>
      <c r="K239" s="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"/>
      <c r="B240" s="4"/>
      <c r="C240" s="2"/>
      <c r="D240" s="4"/>
      <c r="E240" s="16"/>
      <c r="F240" s="4"/>
      <c r="G240" s="16"/>
      <c r="H240" s="4"/>
      <c r="I240" s="4"/>
      <c r="J240" s="4"/>
      <c r="K240" s="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"/>
      <c r="B241" s="4"/>
      <c r="C241" s="2"/>
      <c r="D241" s="4"/>
      <c r="E241" s="16"/>
      <c r="F241" s="4"/>
      <c r="G241" s="16"/>
      <c r="H241" s="4"/>
      <c r="I241" s="4"/>
      <c r="J241" s="4"/>
      <c r="K241" s="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"/>
      <c r="B242" s="4"/>
      <c r="C242" s="2"/>
      <c r="D242" s="4"/>
      <c r="E242" s="16"/>
      <c r="F242" s="4"/>
      <c r="G242" s="16"/>
      <c r="H242" s="4"/>
      <c r="I242" s="4"/>
      <c r="J242" s="4"/>
      <c r="K242" s="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"/>
      <c r="B243" s="4"/>
      <c r="C243" s="2"/>
      <c r="D243" s="4"/>
      <c r="E243" s="16"/>
      <c r="F243" s="4"/>
      <c r="G243" s="16"/>
      <c r="H243" s="4"/>
      <c r="I243" s="4"/>
      <c r="J243" s="4"/>
      <c r="K243" s="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"/>
      <c r="B244" s="4"/>
      <c r="C244" s="2"/>
      <c r="D244" s="4"/>
      <c r="E244" s="16"/>
      <c r="F244" s="4"/>
      <c r="G244" s="16"/>
      <c r="H244" s="4"/>
      <c r="I244" s="4"/>
      <c r="J244" s="4"/>
      <c r="K244" s="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"/>
      <c r="B245" s="4"/>
      <c r="C245" s="2"/>
      <c r="D245" s="4"/>
      <c r="E245" s="16"/>
      <c r="F245" s="4"/>
      <c r="G245" s="16"/>
      <c r="H245" s="4"/>
      <c r="I245" s="4"/>
      <c r="J245" s="4"/>
      <c r="K245" s="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"/>
      <c r="B246" s="4"/>
      <c r="C246" s="2"/>
      <c r="D246" s="4"/>
      <c r="E246" s="16"/>
      <c r="F246" s="4"/>
      <c r="G246" s="16"/>
      <c r="H246" s="4"/>
      <c r="I246" s="4"/>
      <c r="J246" s="4"/>
      <c r="K246" s="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"/>
      <c r="B247" s="4"/>
      <c r="C247" s="2"/>
      <c r="D247" s="4"/>
      <c r="E247" s="16"/>
      <c r="F247" s="4"/>
      <c r="G247" s="16"/>
      <c r="H247" s="4"/>
      <c r="I247" s="4"/>
      <c r="J247" s="4"/>
      <c r="K247" s="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"/>
      <c r="B248" s="4"/>
      <c r="C248" s="2"/>
      <c r="D248" s="4"/>
      <c r="E248" s="16"/>
      <c r="F248" s="4"/>
      <c r="G248" s="16"/>
      <c r="H248" s="4"/>
      <c r="I248" s="4"/>
      <c r="J248" s="4"/>
      <c r="K248" s="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"/>
      <c r="B249" s="4"/>
      <c r="C249" s="2"/>
      <c r="D249" s="4"/>
      <c r="E249" s="16"/>
      <c r="F249" s="4"/>
      <c r="G249" s="16"/>
      <c r="H249" s="4"/>
      <c r="I249" s="4"/>
      <c r="J249" s="4"/>
      <c r="K249" s="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"/>
      <c r="B250" s="4"/>
      <c r="C250" s="2"/>
      <c r="D250" s="4"/>
      <c r="E250" s="16"/>
      <c r="F250" s="4"/>
      <c r="G250" s="16"/>
      <c r="H250" s="4"/>
      <c r="I250" s="4"/>
      <c r="J250" s="4"/>
      <c r="K250" s="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"/>
      <c r="B251" s="4"/>
      <c r="C251" s="2"/>
      <c r="D251" s="4"/>
      <c r="E251" s="16"/>
      <c r="F251" s="4"/>
      <c r="G251" s="16"/>
      <c r="H251" s="4"/>
      <c r="I251" s="4"/>
      <c r="J251" s="4"/>
      <c r="K251" s="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"/>
      <c r="B252" s="4"/>
      <c r="C252" s="2"/>
      <c r="D252" s="4"/>
      <c r="E252" s="16"/>
      <c r="F252" s="4"/>
      <c r="G252" s="16"/>
      <c r="H252" s="4"/>
      <c r="I252" s="4"/>
      <c r="J252" s="4"/>
      <c r="K252" s="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"/>
      <c r="B253" s="4"/>
      <c r="C253" s="2"/>
      <c r="D253" s="4"/>
      <c r="E253" s="16"/>
      <c r="F253" s="4"/>
      <c r="G253" s="16"/>
      <c r="H253" s="4"/>
      <c r="I253" s="4"/>
      <c r="J253" s="4"/>
      <c r="K253" s="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"/>
      <c r="B254" s="4"/>
      <c r="C254" s="2"/>
      <c r="D254" s="4"/>
      <c r="E254" s="16"/>
      <c r="F254" s="4"/>
      <c r="G254" s="16"/>
      <c r="H254" s="4"/>
      <c r="I254" s="4"/>
      <c r="J254" s="4"/>
      <c r="K254" s="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"/>
      <c r="B255" s="4"/>
      <c r="C255" s="2"/>
      <c r="D255" s="4"/>
      <c r="E255" s="16"/>
      <c r="F255" s="4"/>
      <c r="G255" s="16"/>
      <c r="H255" s="4"/>
      <c r="I255" s="4"/>
      <c r="J255" s="4"/>
      <c r="K255" s="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"/>
      <c r="B256" s="4"/>
      <c r="C256" s="2"/>
      <c r="D256" s="4"/>
      <c r="E256" s="16"/>
      <c r="F256" s="4"/>
      <c r="G256" s="16"/>
      <c r="H256" s="4"/>
      <c r="I256" s="4"/>
      <c r="J256" s="4"/>
      <c r="K256" s="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"/>
      <c r="B257" s="4"/>
      <c r="C257" s="2"/>
      <c r="D257" s="4"/>
      <c r="E257" s="16"/>
      <c r="F257" s="4"/>
      <c r="G257" s="16"/>
      <c r="H257" s="4"/>
      <c r="I257" s="4"/>
      <c r="J257" s="4"/>
      <c r="K257" s="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"/>
      <c r="B258" s="4"/>
      <c r="C258" s="2"/>
      <c r="D258" s="4"/>
      <c r="E258" s="16"/>
      <c r="F258" s="4"/>
      <c r="G258" s="16"/>
      <c r="H258" s="4"/>
      <c r="I258" s="4"/>
      <c r="J258" s="4"/>
      <c r="K258" s="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"/>
      <c r="B259" s="4"/>
      <c r="C259" s="2"/>
      <c r="D259" s="4"/>
      <c r="E259" s="16"/>
      <c r="F259" s="4"/>
      <c r="G259" s="16"/>
      <c r="H259" s="4"/>
      <c r="I259" s="4"/>
      <c r="J259" s="4"/>
      <c r="K259" s="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"/>
      <c r="B260" s="4"/>
      <c r="C260" s="2"/>
      <c r="D260" s="4"/>
      <c r="E260" s="16"/>
      <c r="F260" s="4"/>
      <c r="G260" s="16"/>
      <c r="H260" s="4"/>
      <c r="I260" s="4"/>
      <c r="J260" s="4"/>
      <c r="K260" s="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"/>
      <c r="B261" s="4"/>
      <c r="C261" s="2"/>
      <c r="D261" s="4"/>
      <c r="E261" s="16"/>
      <c r="F261" s="4"/>
      <c r="G261" s="16"/>
      <c r="H261" s="4"/>
      <c r="I261" s="4"/>
      <c r="J261" s="4"/>
      <c r="K261" s="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"/>
      <c r="B262" s="4"/>
      <c r="C262" s="2"/>
      <c r="D262" s="4"/>
      <c r="E262" s="16"/>
      <c r="F262" s="4"/>
      <c r="G262" s="16"/>
      <c r="H262" s="4"/>
      <c r="I262" s="4"/>
      <c r="J262" s="4"/>
      <c r="K262" s="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"/>
      <c r="B263" s="4"/>
      <c r="C263" s="2"/>
      <c r="D263" s="4"/>
      <c r="E263" s="16"/>
      <c r="F263" s="4"/>
      <c r="G263" s="16"/>
      <c r="H263" s="4"/>
      <c r="I263" s="4"/>
      <c r="J263" s="4"/>
      <c r="K263" s="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"/>
      <c r="B264" s="4"/>
      <c r="C264" s="2"/>
      <c r="D264" s="4"/>
      <c r="E264" s="16"/>
      <c r="F264" s="4"/>
      <c r="G264" s="16"/>
      <c r="H264" s="4"/>
      <c r="I264" s="4"/>
      <c r="J264" s="4"/>
      <c r="K264" s="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"/>
      <c r="B265" s="4"/>
      <c r="C265" s="2"/>
      <c r="D265" s="4"/>
      <c r="E265" s="16"/>
      <c r="F265" s="4"/>
      <c r="G265" s="16"/>
      <c r="H265" s="4"/>
      <c r="I265" s="4"/>
      <c r="J265" s="4"/>
      <c r="K265" s="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"/>
      <c r="B266" s="4"/>
      <c r="C266" s="2"/>
      <c r="D266" s="4"/>
      <c r="E266" s="16"/>
      <c r="F266" s="4"/>
      <c r="G266" s="16"/>
      <c r="H266" s="4"/>
      <c r="I266" s="4"/>
      <c r="J266" s="4"/>
      <c r="K266" s="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"/>
      <c r="B267" s="4"/>
      <c r="C267" s="2"/>
      <c r="D267" s="4"/>
      <c r="E267" s="16"/>
      <c r="F267" s="4"/>
      <c r="G267" s="16"/>
      <c r="H267" s="4"/>
      <c r="I267" s="4"/>
      <c r="J267" s="4"/>
      <c r="K267" s="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"/>
      <c r="B268" s="4"/>
      <c r="C268" s="2"/>
      <c r="D268" s="4"/>
      <c r="E268" s="16"/>
      <c r="F268" s="4"/>
      <c r="G268" s="16"/>
      <c r="H268" s="4"/>
      <c r="I268" s="4"/>
      <c r="J268" s="4"/>
      <c r="K268" s="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"/>
      <c r="B269" s="4"/>
      <c r="C269" s="2"/>
      <c r="D269" s="4"/>
      <c r="E269" s="16"/>
      <c r="F269" s="4"/>
      <c r="G269" s="16"/>
      <c r="H269" s="4"/>
      <c r="I269" s="4"/>
      <c r="J269" s="4"/>
      <c r="K269" s="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"/>
      <c r="B270" s="4"/>
      <c r="C270" s="2"/>
      <c r="D270" s="4"/>
      <c r="E270" s="16"/>
      <c r="F270" s="4"/>
      <c r="G270" s="16"/>
      <c r="H270" s="4"/>
      <c r="I270" s="4"/>
      <c r="J270" s="4"/>
      <c r="K270" s="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"/>
      <c r="B271" s="4"/>
      <c r="C271" s="2"/>
      <c r="D271" s="4"/>
      <c r="E271" s="16"/>
      <c r="F271" s="4"/>
      <c r="G271" s="16"/>
      <c r="H271" s="4"/>
      <c r="I271" s="4"/>
      <c r="J271" s="4"/>
      <c r="K271" s="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"/>
      <c r="B272" s="4"/>
      <c r="C272" s="2"/>
      <c r="D272" s="4"/>
      <c r="E272" s="16"/>
      <c r="F272" s="4"/>
      <c r="G272" s="16"/>
      <c r="H272" s="4"/>
      <c r="I272" s="4"/>
      <c r="J272" s="4"/>
      <c r="K272" s="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"/>
      <c r="B273" s="4"/>
      <c r="C273" s="2"/>
      <c r="D273" s="4"/>
      <c r="E273" s="16"/>
      <c r="F273" s="4"/>
      <c r="G273" s="16"/>
      <c r="H273" s="4"/>
      <c r="I273" s="4"/>
      <c r="J273" s="4"/>
      <c r="K273" s="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"/>
      <c r="B274" s="4"/>
      <c r="C274" s="2"/>
      <c r="D274" s="4"/>
      <c r="E274" s="16"/>
      <c r="F274" s="4"/>
      <c r="G274" s="16"/>
      <c r="H274" s="4"/>
      <c r="I274" s="4"/>
      <c r="J274" s="4"/>
      <c r="K274" s="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"/>
      <c r="B275" s="4"/>
      <c r="C275" s="2"/>
      <c r="D275" s="4"/>
      <c r="E275" s="16"/>
      <c r="F275" s="4"/>
      <c r="G275" s="16"/>
      <c r="H275" s="4"/>
      <c r="I275" s="4"/>
      <c r="J275" s="4"/>
      <c r="K275" s="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"/>
      <c r="B276" s="4"/>
      <c r="C276" s="2"/>
      <c r="D276" s="4"/>
      <c r="E276" s="16"/>
      <c r="F276" s="4"/>
      <c r="G276" s="16"/>
      <c r="H276" s="4"/>
      <c r="I276" s="4"/>
      <c r="J276" s="4"/>
      <c r="K276" s="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"/>
      <c r="B277" s="4"/>
      <c r="C277" s="2"/>
      <c r="D277" s="4"/>
      <c r="E277" s="16"/>
      <c r="F277" s="4"/>
      <c r="G277" s="16"/>
      <c r="H277" s="4"/>
      <c r="I277" s="4"/>
      <c r="J277" s="4"/>
      <c r="K277" s="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"/>
      <c r="B278" s="4"/>
      <c r="C278" s="2"/>
      <c r="D278" s="4"/>
      <c r="E278" s="16"/>
      <c r="F278" s="4"/>
      <c r="G278" s="16"/>
      <c r="H278" s="4"/>
      <c r="I278" s="4"/>
      <c r="J278" s="4"/>
      <c r="K278" s="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"/>
      <c r="B279" s="4"/>
      <c r="C279" s="2"/>
      <c r="D279" s="4"/>
      <c r="E279" s="16"/>
      <c r="F279" s="4"/>
      <c r="G279" s="16"/>
      <c r="H279" s="4"/>
      <c r="I279" s="4"/>
      <c r="J279" s="4"/>
      <c r="K279" s="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"/>
      <c r="B280" s="4"/>
      <c r="C280" s="2"/>
      <c r="D280" s="4"/>
      <c r="E280" s="16"/>
      <c r="F280" s="4"/>
      <c r="G280" s="16"/>
      <c r="H280" s="4"/>
      <c r="I280" s="4"/>
      <c r="J280" s="4"/>
      <c r="K280" s="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"/>
      <c r="B281" s="4"/>
      <c r="C281" s="2"/>
      <c r="D281" s="4"/>
      <c r="E281" s="16"/>
      <c r="F281" s="4"/>
      <c r="G281" s="16"/>
      <c r="H281" s="4"/>
      <c r="I281" s="4"/>
      <c r="J281" s="4"/>
      <c r="K281" s="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"/>
      <c r="B282" s="4"/>
      <c r="C282" s="2"/>
      <c r="D282" s="4"/>
      <c r="E282" s="16"/>
      <c r="F282" s="4"/>
      <c r="G282" s="16"/>
      <c r="H282" s="4"/>
      <c r="I282" s="4"/>
      <c r="J282" s="4"/>
      <c r="K282" s="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"/>
      <c r="B283" s="4"/>
      <c r="C283" s="2"/>
      <c r="D283" s="4"/>
      <c r="E283" s="16"/>
      <c r="F283" s="4"/>
      <c r="G283" s="16"/>
      <c r="H283" s="4"/>
      <c r="I283" s="4"/>
      <c r="J283" s="4"/>
      <c r="K283" s="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"/>
      <c r="B284" s="4"/>
      <c r="C284" s="2"/>
      <c r="D284" s="4"/>
      <c r="E284" s="16"/>
      <c r="F284" s="4"/>
      <c r="G284" s="16"/>
      <c r="H284" s="4"/>
      <c r="I284" s="4"/>
      <c r="J284" s="4"/>
      <c r="K284" s="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"/>
      <c r="B285" s="4"/>
      <c r="C285" s="2"/>
      <c r="D285" s="4"/>
      <c r="E285" s="16"/>
      <c r="F285" s="4"/>
      <c r="G285" s="16"/>
      <c r="H285" s="4"/>
      <c r="I285" s="4"/>
      <c r="J285" s="4"/>
      <c r="K285" s="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"/>
      <c r="B286" s="4"/>
      <c r="C286" s="2"/>
      <c r="D286" s="4"/>
      <c r="E286" s="16"/>
      <c r="F286" s="4"/>
      <c r="G286" s="16"/>
      <c r="H286" s="4"/>
      <c r="I286" s="4"/>
      <c r="J286" s="4"/>
      <c r="K286" s="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"/>
      <c r="B287" s="4"/>
      <c r="C287" s="2"/>
      <c r="D287" s="4"/>
      <c r="E287" s="16"/>
      <c r="F287" s="4"/>
      <c r="G287" s="16"/>
      <c r="H287" s="4"/>
      <c r="I287" s="4"/>
      <c r="J287" s="4"/>
      <c r="K287" s="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"/>
      <c r="B288" s="4"/>
      <c r="C288" s="2"/>
      <c r="D288" s="4"/>
      <c r="E288" s="16"/>
      <c r="F288" s="4"/>
      <c r="G288" s="16"/>
      <c r="H288" s="4"/>
      <c r="I288" s="4"/>
      <c r="J288" s="4"/>
      <c r="K288" s="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"/>
      <c r="B289" s="4"/>
      <c r="C289" s="2"/>
      <c r="D289" s="4"/>
      <c r="E289" s="16"/>
      <c r="F289" s="4"/>
      <c r="G289" s="16"/>
      <c r="H289" s="4"/>
      <c r="I289" s="4"/>
      <c r="J289" s="4"/>
      <c r="K289" s="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"/>
      <c r="B290" s="4"/>
      <c r="C290" s="2"/>
      <c r="D290" s="4"/>
      <c r="E290" s="16"/>
      <c r="F290" s="4"/>
      <c r="G290" s="16"/>
      <c r="H290" s="4"/>
      <c r="I290" s="4"/>
      <c r="J290" s="4"/>
      <c r="K290" s="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"/>
      <c r="B291" s="4"/>
      <c r="C291" s="2"/>
      <c r="D291" s="4"/>
      <c r="E291" s="16"/>
      <c r="F291" s="4"/>
      <c r="G291" s="16"/>
      <c r="H291" s="4"/>
      <c r="I291" s="4"/>
      <c r="J291" s="4"/>
      <c r="K291" s="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"/>
      <c r="B292" s="4"/>
      <c r="C292" s="2"/>
      <c r="D292" s="4"/>
      <c r="E292" s="16"/>
      <c r="F292" s="4"/>
      <c r="G292" s="16"/>
      <c r="H292" s="4"/>
      <c r="I292" s="4"/>
      <c r="J292" s="4"/>
      <c r="K292" s="2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"/>
      <c r="B293" s="4"/>
      <c r="C293" s="2"/>
      <c r="D293" s="4"/>
      <c r="E293" s="16"/>
      <c r="F293" s="4"/>
      <c r="G293" s="16"/>
      <c r="H293" s="4"/>
      <c r="I293" s="4"/>
      <c r="J293" s="4"/>
      <c r="K293" s="2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"/>
      <c r="B294" s="4"/>
      <c r="C294" s="2"/>
      <c r="D294" s="4"/>
      <c r="E294" s="16"/>
      <c r="F294" s="4"/>
      <c r="G294" s="16"/>
      <c r="H294" s="4"/>
      <c r="I294" s="4"/>
      <c r="J294" s="4"/>
      <c r="K294" s="2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"/>
      <c r="B295" s="4"/>
      <c r="C295" s="2"/>
      <c r="D295" s="4"/>
      <c r="E295" s="16"/>
      <c r="F295" s="4"/>
      <c r="G295" s="16"/>
      <c r="H295" s="4"/>
      <c r="I295" s="4"/>
      <c r="J295" s="4"/>
      <c r="K295" s="2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"/>
      <c r="B296" s="4"/>
      <c r="C296" s="2"/>
      <c r="D296" s="4"/>
      <c r="E296" s="16"/>
      <c r="F296" s="4"/>
      <c r="G296" s="16"/>
      <c r="H296" s="4"/>
      <c r="I296" s="4"/>
      <c r="J296" s="4"/>
      <c r="K296" s="2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"/>
      <c r="B297" s="4"/>
      <c r="C297" s="2"/>
      <c r="D297" s="4"/>
      <c r="E297" s="16"/>
      <c r="F297" s="4"/>
      <c r="G297" s="16"/>
      <c r="H297" s="4"/>
      <c r="I297" s="4"/>
      <c r="J297" s="4"/>
      <c r="K297" s="2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"/>
      <c r="B298" s="4"/>
      <c r="C298" s="2"/>
      <c r="D298" s="4"/>
      <c r="E298" s="16"/>
      <c r="F298" s="4"/>
      <c r="G298" s="16"/>
      <c r="H298" s="4"/>
      <c r="I298" s="4"/>
      <c r="J298" s="4"/>
      <c r="K298" s="2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"/>
      <c r="B299" s="4"/>
      <c r="C299" s="2"/>
      <c r="D299" s="4"/>
      <c r="E299" s="16"/>
      <c r="F299" s="4"/>
      <c r="G299" s="16"/>
      <c r="H299" s="4"/>
      <c r="I299" s="4"/>
      <c r="J299" s="4"/>
      <c r="K299" s="2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"/>
      <c r="B300" s="4"/>
      <c r="C300" s="2"/>
      <c r="D300" s="4"/>
      <c r="E300" s="16"/>
      <c r="F300" s="4"/>
      <c r="G300" s="16"/>
      <c r="H300" s="4"/>
      <c r="I300" s="4"/>
      <c r="J300" s="4"/>
      <c r="K300" s="2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"/>
      <c r="B301" s="4"/>
      <c r="C301" s="2"/>
      <c r="D301" s="4"/>
      <c r="E301" s="16"/>
      <c r="F301" s="4"/>
      <c r="G301" s="16"/>
      <c r="H301" s="4"/>
      <c r="I301" s="4"/>
      <c r="J301" s="4"/>
      <c r="K301" s="2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"/>
      <c r="B302" s="4"/>
      <c r="C302" s="2"/>
      <c r="D302" s="4"/>
      <c r="E302" s="16"/>
      <c r="F302" s="4"/>
      <c r="G302" s="16"/>
      <c r="H302" s="4"/>
      <c r="I302" s="4"/>
      <c r="J302" s="4"/>
      <c r="K302" s="2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"/>
      <c r="B303" s="4"/>
      <c r="C303" s="2"/>
      <c r="D303" s="4"/>
      <c r="E303" s="16"/>
      <c r="F303" s="4"/>
      <c r="G303" s="16"/>
      <c r="H303" s="4"/>
      <c r="I303" s="4"/>
      <c r="J303" s="4"/>
      <c r="K303" s="2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"/>
      <c r="B304" s="4"/>
      <c r="C304" s="2"/>
      <c r="D304" s="4"/>
      <c r="E304" s="16"/>
      <c r="F304" s="4"/>
      <c r="G304" s="16"/>
      <c r="H304" s="4"/>
      <c r="I304" s="4"/>
      <c r="J304" s="4"/>
      <c r="K304" s="2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"/>
      <c r="B305" s="4"/>
      <c r="C305" s="2"/>
      <c r="D305" s="4"/>
      <c r="E305" s="16"/>
      <c r="F305" s="4"/>
      <c r="G305" s="16"/>
      <c r="H305" s="4"/>
      <c r="I305" s="4"/>
      <c r="J305" s="4"/>
      <c r="K305" s="2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"/>
      <c r="B306" s="4"/>
      <c r="C306" s="2"/>
      <c r="D306" s="4"/>
      <c r="E306" s="16"/>
      <c r="F306" s="4"/>
      <c r="G306" s="16"/>
      <c r="H306" s="4"/>
      <c r="I306" s="4"/>
      <c r="J306" s="4"/>
      <c r="K306" s="2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"/>
      <c r="B307" s="4"/>
      <c r="C307" s="2"/>
      <c r="D307" s="4"/>
      <c r="E307" s="16"/>
      <c r="F307" s="4"/>
      <c r="G307" s="16"/>
      <c r="H307" s="4"/>
      <c r="I307" s="4"/>
      <c r="J307" s="4"/>
      <c r="K307" s="2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"/>
      <c r="B308" s="4"/>
      <c r="C308" s="2"/>
      <c r="D308" s="4"/>
      <c r="E308" s="16"/>
      <c r="F308" s="4"/>
      <c r="G308" s="16"/>
      <c r="H308" s="4"/>
      <c r="I308" s="4"/>
      <c r="J308" s="4"/>
      <c r="K308" s="2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"/>
      <c r="B309" s="4"/>
      <c r="C309" s="2"/>
      <c r="D309" s="4"/>
      <c r="E309" s="16"/>
      <c r="F309" s="4"/>
      <c r="G309" s="16"/>
      <c r="H309" s="4"/>
      <c r="I309" s="4"/>
      <c r="J309" s="4"/>
      <c r="K309" s="2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"/>
      <c r="B310" s="4"/>
      <c r="C310" s="2"/>
      <c r="D310" s="4"/>
      <c r="E310" s="16"/>
      <c r="F310" s="4"/>
      <c r="G310" s="16"/>
      <c r="H310" s="4"/>
      <c r="I310" s="4"/>
      <c r="J310" s="4"/>
      <c r="K310" s="2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"/>
      <c r="B311" s="4"/>
      <c r="C311" s="2"/>
      <c r="D311" s="4"/>
      <c r="E311" s="16"/>
      <c r="F311" s="4"/>
      <c r="G311" s="16"/>
      <c r="H311" s="4"/>
      <c r="I311" s="4"/>
      <c r="J311" s="4"/>
      <c r="K311" s="2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"/>
      <c r="B312" s="4"/>
      <c r="C312" s="2"/>
      <c r="D312" s="4"/>
      <c r="E312" s="16"/>
      <c r="F312" s="4"/>
      <c r="G312" s="16"/>
      <c r="H312" s="4"/>
      <c r="I312" s="4"/>
      <c r="J312" s="4"/>
      <c r="K312" s="2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"/>
      <c r="B313" s="4"/>
      <c r="C313" s="2"/>
      <c r="D313" s="4"/>
      <c r="E313" s="16"/>
      <c r="F313" s="4"/>
      <c r="G313" s="16"/>
      <c r="H313" s="4"/>
      <c r="I313" s="4"/>
      <c r="J313" s="4"/>
      <c r="K313" s="2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"/>
      <c r="B314" s="4"/>
      <c r="C314" s="2"/>
      <c r="D314" s="4"/>
      <c r="E314" s="16"/>
      <c r="F314" s="4"/>
      <c r="G314" s="16"/>
      <c r="H314" s="4"/>
      <c r="I314" s="4"/>
      <c r="J314" s="4"/>
      <c r="K314" s="2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"/>
      <c r="B315" s="4"/>
      <c r="C315" s="2"/>
      <c r="D315" s="4"/>
      <c r="E315" s="16"/>
      <c r="F315" s="4"/>
      <c r="G315" s="16"/>
      <c r="H315" s="4"/>
      <c r="I315" s="4"/>
      <c r="J315" s="4"/>
      <c r="K315" s="2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"/>
      <c r="B316" s="4"/>
      <c r="C316" s="2"/>
      <c r="D316" s="4"/>
      <c r="E316" s="16"/>
      <c r="F316" s="4"/>
      <c r="G316" s="16"/>
      <c r="H316" s="4"/>
      <c r="I316" s="4"/>
      <c r="J316" s="4"/>
      <c r="K316" s="2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"/>
      <c r="B317" s="4"/>
      <c r="C317" s="2"/>
      <c r="D317" s="4"/>
      <c r="E317" s="16"/>
      <c r="F317" s="4"/>
      <c r="G317" s="16"/>
      <c r="H317" s="4"/>
      <c r="I317" s="4"/>
      <c r="J317" s="4"/>
      <c r="K317" s="2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"/>
      <c r="B318" s="4"/>
      <c r="C318" s="2"/>
      <c r="D318" s="4"/>
      <c r="E318" s="16"/>
      <c r="F318" s="4"/>
      <c r="G318" s="16"/>
      <c r="H318" s="4"/>
      <c r="I318" s="4"/>
      <c r="J318" s="4"/>
      <c r="K318" s="2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"/>
      <c r="B319" s="4"/>
      <c r="C319" s="2"/>
      <c r="D319" s="4"/>
      <c r="E319" s="16"/>
      <c r="F319" s="4"/>
      <c r="G319" s="16"/>
      <c r="H319" s="4"/>
      <c r="I319" s="4"/>
      <c r="J319" s="4"/>
      <c r="K319" s="2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"/>
      <c r="B320" s="4"/>
      <c r="C320" s="2"/>
      <c r="D320" s="4"/>
      <c r="E320" s="16"/>
      <c r="F320" s="4"/>
      <c r="G320" s="16"/>
      <c r="H320" s="4"/>
      <c r="I320" s="4"/>
      <c r="J320" s="4"/>
      <c r="K320" s="2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"/>
      <c r="B321" s="4"/>
      <c r="C321" s="2"/>
      <c r="D321" s="4"/>
      <c r="E321" s="16"/>
      <c r="F321" s="4"/>
      <c r="G321" s="16"/>
      <c r="H321" s="4"/>
      <c r="I321" s="4"/>
      <c r="J321" s="4"/>
      <c r="K321" s="2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"/>
      <c r="B322" s="4"/>
      <c r="C322" s="2"/>
      <c r="D322" s="4"/>
      <c r="E322" s="16"/>
      <c r="F322" s="4"/>
      <c r="G322" s="16"/>
      <c r="H322" s="4"/>
      <c r="I322" s="4"/>
      <c r="J322" s="4"/>
      <c r="K322" s="2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"/>
      <c r="B323" s="4"/>
      <c r="C323" s="2"/>
      <c r="D323" s="4"/>
      <c r="E323" s="16"/>
      <c r="F323" s="4"/>
      <c r="G323" s="16"/>
      <c r="H323" s="4"/>
      <c r="I323" s="4"/>
      <c r="J323" s="4"/>
      <c r="K323" s="2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"/>
      <c r="B324" s="4"/>
      <c r="C324" s="2"/>
      <c r="D324" s="4"/>
      <c r="E324" s="16"/>
      <c r="F324" s="4"/>
      <c r="G324" s="16"/>
      <c r="H324" s="4"/>
      <c r="I324" s="4"/>
      <c r="J324" s="4"/>
      <c r="K324" s="2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"/>
      <c r="B325" s="4"/>
      <c r="C325" s="2"/>
      <c r="D325" s="4"/>
      <c r="E325" s="16"/>
      <c r="F325" s="4"/>
      <c r="G325" s="16"/>
      <c r="H325" s="4"/>
      <c r="I325" s="4"/>
      <c r="J325" s="4"/>
      <c r="K325" s="2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"/>
      <c r="B326" s="4"/>
      <c r="C326" s="2"/>
      <c r="D326" s="4"/>
      <c r="E326" s="16"/>
      <c r="F326" s="4"/>
      <c r="G326" s="16"/>
      <c r="H326" s="4"/>
      <c r="I326" s="4"/>
      <c r="J326" s="4"/>
      <c r="K326" s="2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"/>
      <c r="B327" s="4"/>
      <c r="C327" s="2"/>
      <c r="D327" s="4"/>
      <c r="E327" s="16"/>
      <c r="F327" s="4"/>
      <c r="G327" s="16"/>
      <c r="H327" s="4"/>
      <c r="I327" s="4"/>
      <c r="J327" s="4"/>
      <c r="K327" s="2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"/>
      <c r="B328" s="4"/>
      <c r="C328" s="2"/>
      <c r="D328" s="4"/>
      <c r="E328" s="16"/>
      <c r="F328" s="4"/>
      <c r="G328" s="16"/>
      <c r="H328" s="4"/>
      <c r="I328" s="4"/>
      <c r="J328" s="4"/>
      <c r="K328" s="2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"/>
      <c r="B329" s="4"/>
      <c r="C329" s="2"/>
      <c r="D329" s="4"/>
      <c r="E329" s="16"/>
      <c r="F329" s="4"/>
      <c r="G329" s="16"/>
      <c r="H329" s="4"/>
      <c r="I329" s="4"/>
      <c r="J329" s="4"/>
      <c r="K329" s="2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"/>
      <c r="B330" s="4"/>
      <c r="C330" s="2"/>
      <c r="D330" s="4"/>
      <c r="E330" s="16"/>
      <c r="F330" s="4"/>
      <c r="G330" s="16"/>
      <c r="H330" s="4"/>
      <c r="I330" s="4"/>
      <c r="J330" s="4"/>
      <c r="K330" s="2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"/>
      <c r="B331" s="4"/>
      <c r="C331" s="2"/>
      <c r="D331" s="4"/>
      <c r="E331" s="16"/>
      <c r="F331" s="4"/>
      <c r="G331" s="16"/>
      <c r="H331" s="4"/>
      <c r="I331" s="4"/>
      <c r="J331" s="4"/>
      <c r="K331" s="2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"/>
      <c r="B332" s="4"/>
      <c r="C332" s="2"/>
      <c r="D332" s="4"/>
      <c r="E332" s="16"/>
      <c r="F332" s="4"/>
      <c r="G332" s="16"/>
      <c r="H332" s="4"/>
      <c r="I332" s="4"/>
      <c r="J332" s="4"/>
      <c r="K332" s="2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"/>
      <c r="B333" s="4"/>
      <c r="C333" s="2"/>
      <c r="D333" s="4"/>
      <c r="E333" s="16"/>
      <c r="F333" s="4"/>
      <c r="G333" s="16"/>
      <c r="H333" s="4"/>
      <c r="I333" s="4"/>
      <c r="J333" s="4"/>
      <c r="K333" s="2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"/>
      <c r="B334" s="4"/>
      <c r="C334" s="2"/>
      <c r="D334" s="4"/>
      <c r="E334" s="16"/>
      <c r="F334" s="4"/>
      <c r="G334" s="16"/>
      <c r="H334" s="4"/>
      <c r="I334" s="4"/>
      <c r="J334" s="4"/>
      <c r="K334" s="2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"/>
      <c r="B335" s="4"/>
      <c r="C335" s="2"/>
      <c r="D335" s="4"/>
      <c r="E335" s="16"/>
      <c r="F335" s="4"/>
      <c r="G335" s="16"/>
      <c r="H335" s="4"/>
      <c r="I335" s="4"/>
      <c r="J335" s="4"/>
      <c r="K335" s="2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"/>
      <c r="B336" s="4"/>
      <c r="C336" s="2"/>
      <c r="D336" s="4"/>
      <c r="E336" s="16"/>
      <c r="F336" s="4"/>
      <c r="G336" s="16"/>
      <c r="H336" s="4"/>
      <c r="I336" s="4"/>
      <c r="J336" s="4"/>
      <c r="K336" s="2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"/>
      <c r="B337" s="4"/>
      <c r="C337" s="2"/>
      <c r="D337" s="4"/>
      <c r="E337" s="16"/>
      <c r="F337" s="4"/>
      <c r="G337" s="16"/>
      <c r="H337" s="4"/>
      <c r="I337" s="4"/>
      <c r="J337" s="4"/>
      <c r="K337" s="2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"/>
      <c r="B338" s="4"/>
      <c r="C338" s="2"/>
      <c r="D338" s="4"/>
      <c r="E338" s="16"/>
      <c r="F338" s="4"/>
      <c r="G338" s="16"/>
      <c r="H338" s="4"/>
      <c r="I338" s="4"/>
      <c r="J338" s="4"/>
      <c r="K338" s="2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"/>
      <c r="B339" s="4"/>
      <c r="C339" s="2"/>
      <c r="D339" s="4"/>
      <c r="E339" s="16"/>
      <c r="F339" s="4"/>
      <c r="G339" s="16"/>
      <c r="H339" s="4"/>
      <c r="I339" s="4"/>
      <c r="J339" s="4"/>
      <c r="K339" s="2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"/>
      <c r="B340" s="4"/>
      <c r="C340" s="2"/>
      <c r="D340" s="4"/>
      <c r="E340" s="16"/>
      <c r="F340" s="4"/>
      <c r="G340" s="16"/>
      <c r="H340" s="4"/>
      <c r="I340" s="4"/>
      <c r="J340" s="4"/>
      <c r="K340" s="2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"/>
      <c r="B341" s="4"/>
      <c r="C341" s="2"/>
      <c r="D341" s="4"/>
      <c r="E341" s="16"/>
      <c r="F341" s="4"/>
      <c r="G341" s="16"/>
      <c r="H341" s="4"/>
      <c r="I341" s="4"/>
      <c r="J341" s="4"/>
      <c r="K341" s="2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"/>
      <c r="B342" s="4"/>
      <c r="C342" s="2"/>
      <c r="D342" s="4"/>
      <c r="E342" s="16"/>
      <c r="F342" s="4"/>
      <c r="G342" s="16"/>
      <c r="H342" s="4"/>
      <c r="I342" s="4"/>
      <c r="J342" s="4"/>
      <c r="K342" s="2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"/>
      <c r="B343" s="4"/>
      <c r="C343" s="2"/>
      <c r="D343" s="4"/>
      <c r="E343" s="16"/>
      <c r="F343" s="4"/>
      <c r="G343" s="16"/>
      <c r="H343" s="4"/>
      <c r="I343" s="4"/>
      <c r="J343" s="4"/>
      <c r="K343" s="2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"/>
      <c r="B344" s="4"/>
      <c r="C344" s="2"/>
      <c r="D344" s="4"/>
      <c r="E344" s="16"/>
      <c r="F344" s="4"/>
      <c r="G344" s="16"/>
      <c r="H344" s="4"/>
      <c r="I344" s="4"/>
      <c r="J344" s="4"/>
      <c r="K344" s="2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"/>
      <c r="B345" s="4"/>
      <c r="C345" s="2"/>
      <c r="D345" s="4"/>
      <c r="E345" s="16"/>
      <c r="F345" s="4"/>
      <c r="G345" s="16"/>
      <c r="H345" s="4"/>
      <c r="I345" s="4"/>
      <c r="J345" s="4"/>
      <c r="K345" s="2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"/>
      <c r="B346" s="4"/>
      <c r="C346" s="2"/>
      <c r="D346" s="4"/>
      <c r="E346" s="16"/>
      <c r="F346" s="4"/>
      <c r="G346" s="16"/>
      <c r="H346" s="4"/>
      <c r="I346" s="4"/>
      <c r="J346" s="4"/>
      <c r="K346" s="2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"/>
      <c r="B347" s="4"/>
      <c r="C347" s="2"/>
      <c r="D347" s="4"/>
      <c r="E347" s="16"/>
      <c r="F347" s="4"/>
      <c r="G347" s="16"/>
      <c r="H347" s="4"/>
      <c r="I347" s="4"/>
      <c r="J347" s="4"/>
      <c r="K347" s="2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"/>
      <c r="B348" s="4"/>
      <c r="C348" s="2"/>
      <c r="D348" s="4"/>
      <c r="E348" s="16"/>
      <c r="F348" s="4"/>
      <c r="G348" s="16"/>
      <c r="H348" s="4"/>
      <c r="I348" s="4"/>
      <c r="J348" s="4"/>
      <c r="K348" s="2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"/>
      <c r="B349" s="4"/>
      <c r="C349" s="2"/>
      <c r="D349" s="4"/>
      <c r="E349" s="16"/>
      <c r="F349" s="4"/>
      <c r="G349" s="16"/>
      <c r="H349" s="4"/>
      <c r="I349" s="4"/>
      <c r="J349" s="4"/>
      <c r="K349" s="2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"/>
      <c r="B350" s="4"/>
      <c r="C350" s="2"/>
      <c r="D350" s="4"/>
      <c r="E350" s="16"/>
      <c r="F350" s="4"/>
      <c r="G350" s="16"/>
      <c r="H350" s="4"/>
      <c r="I350" s="4"/>
      <c r="J350" s="4"/>
      <c r="K350" s="2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"/>
      <c r="B351" s="4"/>
      <c r="C351" s="2"/>
      <c r="D351" s="4"/>
      <c r="E351" s="16"/>
      <c r="F351" s="4"/>
      <c r="G351" s="16"/>
      <c r="H351" s="4"/>
      <c r="I351" s="4"/>
      <c r="J351" s="4"/>
      <c r="K351" s="2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"/>
      <c r="B352" s="4"/>
      <c r="C352" s="2"/>
      <c r="D352" s="4"/>
      <c r="E352" s="16"/>
      <c r="F352" s="4"/>
      <c r="G352" s="16"/>
      <c r="H352" s="4"/>
      <c r="I352" s="4"/>
      <c r="J352" s="4"/>
      <c r="K352" s="2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"/>
      <c r="B353" s="4"/>
      <c r="C353" s="2"/>
      <c r="D353" s="4"/>
      <c r="E353" s="16"/>
      <c r="F353" s="4"/>
      <c r="G353" s="16"/>
      <c r="H353" s="4"/>
      <c r="I353" s="4"/>
      <c r="J353" s="4"/>
      <c r="K353" s="2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"/>
      <c r="B354" s="4"/>
      <c r="C354" s="2"/>
      <c r="D354" s="4"/>
      <c r="E354" s="16"/>
      <c r="F354" s="4"/>
      <c r="G354" s="16"/>
      <c r="H354" s="4"/>
      <c r="I354" s="4"/>
      <c r="J354" s="4"/>
      <c r="K354" s="2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"/>
      <c r="B355" s="4"/>
      <c r="C355" s="2"/>
      <c r="D355" s="4"/>
      <c r="E355" s="16"/>
      <c r="F355" s="4"/>
      <c r="G355" s="16"/>
      <c r="H355" s="4"/>
      <c r="I355" s="4"/>
      <c r="J355" s="4"/>
      <c r="K355" s="2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"/>
      <c r="B356" s="4"/>
      <c r="C356" s="2"/>
      <c r="D356" s="4"/>
      <c r="E356" s="16"/>
      <c r="F356" s="4"/>
      <c r="G356" s="16"/>
      <c r="H356" s="4"/>
      <c r="I356" s="4"/>
      <c r="J356" s="4"/>
      <c r="K356" s="2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"/>
      <c r="B357" s="4"/>
      <c r="C357" s="2"/>
      <c r="D357" s="4"/>
      <c r="E357" s="16"/>
      <c r="F357" s="4"/>
      <c r="G357" s="16"/>
      <c r="H357" s="4"/>
      <c r="I357" s="4"/>
      <c r="J357" s="4"/>
      <c r="K357" s="2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"/>
      <c r="B358" s="4"/>
      <c r="C358" s="2"/>
      <c r="D358" s="4"/>
      <c r="E358" s="16"/>
      <c r="F358" s="4"/>
      <c r="G358" s="16"/>
      <c r="H358" s="4"/>
      <c r="I358" s="4"/>
      <c r="J358" s="4"/>
      <c r="K358" s="2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"/>
      <c r="B359" s="4"/>
      <c r="C359" s="2"/>
      <c r="D359" s="4"/>
      <c r="E359" s="16"/>
      <c r="F359" s="4"/>
      <c r="G359" s="16"/>
      <c r="H359" s="4"/>
      <c r="I359" s="4"/>
      <c r="J359" s="4"/>
      <c r="K359" s="2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"/>
      <c r="B360" s="4"/>
      <c r="C360" s="2"/>
      <c r="D360" s="4"/>
      <c r="E360" s="16"/>
      <c r="F360" s="4"/>
      <c r="G360" s="16"/>
      <c r="H360" s="4"/>
      <c r="I360" s="4"/>
      <c r="J360" s="4"/>
      <c r="K360" s="2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"/>
      <c r="B361" s="4"/>
      <c r="C361" s="2"/>
      <c r="D361" s="4"/>
      <c r="E361" s="16"/>
      <c r="F361" s="4"/>
      <c r="G361" s="16"/>
      <c r="H361" s="4"/>
      <c r="I361" s="4"/>
      <c r="J361" s="4"/>
      <c r="K361" s="2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"/>
      <c r="B362" s="4"/>
      <c r="C362" s="2"/>
      <c r="D362" s="4"/>
      <c r="E362" s="16"/>
      <c r="F362" s="4"/>
      <c r="G362" s="16"/>
      <c r="H362" s="4"/>
      <c r="I362" s="4"/>
      <c r="J362" s="4"/>
      <c r="K362" s="2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"/>
      <c r="B363" s="4"/>
      <c r="C363" s="2"/>
      <c r="D363" s="4"/>
      <c r="E363" s="16"/>
      <c r="F363" s="4"/>
      <c r="G363" s="16"/>
      <c r="H363" s="4"/>
      <c r="I363" s="4"/>
      <c r="J363" s="4"/>
      <c r="K363" s="2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"/>
      <c r="B364" s="4"/>
      <c r="C364" s="2"/>
      <c r="D364" s="4"/>
      <c r="E364" s="16"/>
      <c r="F364" s="4"/>
      <c r="G364" s="16"/>
      <c r="H364" s="4"/>
      <c r="I364" s="4"/>
      <c r="J364" s="4"/>
      <c r="K364" s="2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"/>
      <c r="B365" s="4"/>
      <c r="C365" s="2"/>
      <c r="D365" s="4"/>
      <c r="E365" s="16"/>
      <c r="F365" s="4"/>
      <c r="G365" s="16"/>
      <c r="H365" s="4"/>
      <c r="I365" s="4"/>
      <c r="J365" s="4"/>
      <c r="K365" s="2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"/>
      <c r="B366" s="4"/>
      <c r="C366" s="2"/>
      <c r="D366" s="4"/>
      <c r="E366" s="16"/>
      <c r="F366" s="4"/>
      <c r="G366" s="16"/>
      <c r="H366" s="4"/>
      <c r="I366" s="4"/>
      <c r="J366" s="4"/>
      <c r="K366" s="2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"/>
      <c r="B367" s="4"/>
      <c r="C367" s="2"/>
      <c r="D367" s="4"/>
      <c r="E367" s="16"/>
      <c r="F367" s="4"/>
      <c r="G367" s="16"/>
      <c r="H367" s="4"/>
      <c r="I367" s="4"/>
      <c r="J367" s="4"/>
      <c r="K367" s="2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"/>
      <c r="B368" s="4"/>
      <c r="C368" s="2"/>
      <c r="D368" s="4"/>
      <c r="E368" s="16"/>
      <c r="F368" s="4"/>
      <c r="G368" s="16"/>
      <c r="H368" s="4"/>
      <c r="I368" s="4"/>
      <c r="J368" s="4"/>
      <c r="K368" s="2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"/>
      <c r="B369" s="4"/>
      <c r="C369" s="2"/>
      <c r="D369" s="4"/>
      <c r="E369" s="16"/>
      <c r="F369" s="4"/>
      <c r="G369" s="16"/>
      <c r="H369" s="4"/>
      <c r="I369" s="4"/>
      <c r="J369" s="4"/>
      <c r="K369" s="2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"/>
      <c r="B370" s="4"/>
      <c r="C370" s="2"/>
      <c r="D370" s="4"/>
      <c r="E370" s="16"/>
      <c r="F370" s="4"/>
      <c r="G370" s="16"/>
      <c r="H370" s="4"/>
      <c r="I370" s="4"/>
      <c r="J370" s="4"/>
      <c r="K370" s="2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"/>
      <c r="B371" s="4"/>
      <c r="C371" s="2"/>
      <c r="D371" s="4"/>
      <c r="E371" s="16"/>
      <c r="F371" s="4"/>
      <c r="G371" s="16"/>
      <c r="H371" s="4"/>
      <c r="I371" s="4"/>
      <c r="J371" s="4"/>
      <c r="K371" s="2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"/>
      <c r="B372" s="4"/>
      <c r="C372" s="2"/>
      <c r="D372" s="4"/>
      <c r="E372" s="16"/>
      <c r="F372" s="4"/>
      <c r="G372" s="16"/>
      <c r="H372" s="4"/>
      <c r="I372" s="4"/>
      <c r="J372" s="4"/>
      <c r="K372" s="2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"/>
      <c r="B373" s="4"/>
      <c r="C373" s="2"/>
      <c r="D373" s="4"/>
      <c r="E373" s="16"/>
      <c r="F373" s="4"/>
      <c r="G373" s="16"/>
      <c r="H373" s="4"/>
      <c r="I373" s="4"/>
      <c r="J373" s="4"/>
      <c r="K373" s="2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"/>
      <c r="B374" s="4"/>
      <c r="C374" s="2"/>
      <c r="D374" s="4"/>
      <c r="E374" s="16"/>
      <c r="F374" s="4"/>
      <c r="G374" s="16"/>
      <c r="H374" s="4"/>
      <c r="I374" s="4"/>
      <c r="J374" s="4"/>
      <c r="K374" s="2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"/>
      <c r="B375" s="4"/>
      <c r="C375" s="2"/>
      <c r="D375" s="4"/>
      <c r="E375" s="16"/>
      <c r="F375" s="4"/>
      <c r="G375" s="16"/>
      <c r="H375" s="4"/>
      <c r="I375" s="4"/>
      <c r="J375" s="4"/>
      <c r="K375" s="2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"/>
      <c r="B376" s="4"/>
      <c r="C376" s="2"/>
      <c r="D376" s="4"/>
      <c r="E376" s="16"/>
      <c r="F376" s="4"/>
      <c r="G376" s="16"/>
      <c r="H376" s="4"/>
      <c r="I376" s="4"/>
      <c r="J376" s="4"/>
      <c r="K376" s="2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"/>
      <c r="B377" s="4"/>
      <c r="C377" s="2"/>
      <c r="D377" s="4"/>
      <c r="E377" s="16"/>
      <c r="F377" s="4"/>
      <c r="G377" s="16"/>
      <c r="H377" s="4"/>
      <c r="I377" s="4"/>
      <c r="J377" s="4"/>
      <c r="K377" s="2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"/>
      <c r="B378" s="4"/>
      <c r="C378" s="2"/>
      <c r="D378" s="4"/>
      <c r="E378" s="16"/>
      <c r="F378" s="4"/>
      <c r="G378" s="16"/>
      <c r="H378" s="4"/>
      <c r="I378" s="4"/>
      <c r="J378" s="4"/>
      <c r="K378" s="2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"/>
      <c r="B379" s="4"/>
      <c r="C379" s="2"/>
      <c r="D379" s="4"/>
      <c r="E379" s="16"/>
      <c r="F379" s="4"/>
      <c r="G379" s="16"/>
      <c r="H379" s="4"/>
      <c r="I379" s="4"/>
      <c r="J379" s="4"/>
      <c r="K379" s="2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"/>
      <c r="B380" s="4"/>
      <c r="C380" s="2"/>
      <c r="D380" s="4"/>
      <c r="E380" s="16"/>
      <c r="F380" s="4"/>
      <c r="G380" s="16"/>
      <c r="H380" s="4"/>
      <c r="I380" s="4"/>
      <c r="J380" s="4"/>
      <c r="K380" s="2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"/>
      <c r="B381" s="4"/>
      <c r="C381" s="2"/>
      <c r="D381" s="4"/>
      <c r="E381" s="16"/>
      <c r="F381" s="4"/>
      <c r="G381" s="16"/>
      <c r="H381" s="4"/>
      <c r="I381" s="4"/>
      <c r="J381" s="4"/>
      <c r="K381" s="2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"/>
      <c r="B382" s="4"/>
      <c r="C382" s="2"/>
      <c r="D382" s="4"/>
      <c r="E382" s="16"/>
      <c r="F382" s="4"/>
      <c r="G382" s="16"/>
      <c r="H382" s="4"/>
      <c r="I382" s="4"/>
      <c r="J382" s="4"/>
      <c r="K382" s="2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"/>
      <c r="B383" s="4"/>
      <c r="C383" s="2"/>
      <c r="D383" s="4"/>
      <c r="E383" s="16"/>
      <c r="F383" s="4"/>
      <c r="G383" s="16"/>
      <c r="H383" s="4"/>
      <c r="I383" s="4"/>
      <c r="J383" s="4"/>
      <c r="K383" s="2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"/>
      <c r="B384" s="4"/>
      <c r="C384" s="2"/>
      <c r="D384" s="4"/>
      <c r="E384" s="16"/>
      <c r="F384" s="4"/>
      <c r="G384" s="16"/>
      <c r="H384" s="4"/>
      <c r="I384" s="4"/>
      <c r="J384" s="4"/>
      <c r="K384" s="2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"/>
      <c r="B385" s="4"/>
      <c r="C385" s="2"/>
      <c r="D385" s="4"/>
      <c r="E385" s="16"/>
      <c r="F385" s="4"/>
      <c r="G385" s="16"/>
      <c r="H385" s="4"/>
      <c r="I385" s="4"/>
      <c r="J385" s="4"/>
      <c r="K385" s="2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"/>
      <c r="B386" s="4"/>
      <c r="C386" s="2"/>
      <c r="D386" s="4"/>
      <c r="E386" s="16"/>
      <c r="F386" s="4"/>
      <c r="G386" s="16"/>
      <c r="H386" s="4"/>
      <c r="I386" s="4"/>
      <c r="J386" s="4"/>
      <c r="K386" s="2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"/>
      <c r="B387" s="4"/>
      <c r="C387" s="2"/>
      <c r="D387" s="4"/>
      <c r="E387" s="16"/>
      <c r="F387" s="4"/>
      <c r="G387" s="16"/>
      <c r="H387" s="4"/>
      <c r="I387" s="4"/>
      <c r="J387" s="4"/>
      <c r="K387" s="2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"/>
      <c r="B388" s="4"/>
      <c r="C388" s="2"/>
      <c r="D388" s="4"/>
      <c r="E388" s="16"/>
      <c r="F388" s="4"/>
      <c r="G388" s="16"/>
      <c r="H388" s="4"/>
      <c r="I388" s="4"/>
      <c r="J388" s="4"/>
      <c r="K388" s="2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"/>
      <c r="B389" s="4"/>
      <c r="C389" s="2"/>
      <c r="D389" s="4"/>
      <c r="E389" s="16"/>
      <c r="F389" s="4"/>
      <c r="G389" s="16"/>
      <c r="H389" s="4"/>
      <c r="I389" s="4"/>
      <c r="J389" s="4"/>
      <c r="K389" s="2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"/>
      <c r="B390" s="4"/>
      <c r="C390" s="2"/>
      <c r="D390" s="4"/>
      <c r="E390" s="16"/>
      <c r="F390" s="4"/>
      <c r="G390" s="16"/>
      <c r="H390" s="4"/>
      <c r="I390" s="4"/>
      <c r="J390" s="4"/>
      <c r="K390" s="2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"/>
      <c r="B391" s="4"/>
      <c r="C391" s="2"/>
      <c r="D391" s="4"/>
      <c r="E391" s="16"/>
      <c r="F391" s="4"/>
      <c r="G391" s="16"/>
      <c r="H391" s="4"/>
      <c r="I391" s="4"/>
      <c r="J391" s="4"/>
      <c r="K391" s="2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"/>
      <c r="B392" s="4"/>
      <c r="C392" s="2"/>
      <c r="D392" s="4"/>
      <c r="E392" s="16"/>
      <c r="F392" s="4"/>
      <c r="G392" s="16"/>
      <c r="H392" s="4"/>
      <c r="I392" s="4"/>
      <c r="J392" s="4"/>
      <c r="K392" s="2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"/>
      <c r="B393" s="4"/>
      <c r="C393" s="2"/>
      <c r="D393" s="4"/>
      <c r="E393" s="16"/>
      <c r="F393" s="4"/>
      <c r="G393" s="16"/>
      <c r="H393" s="4"/>
      <c r="I393" s="4"/>
      <c r="J393" s="4"/>
      <c r="K393" s="2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"/>
      <c r="B394" s="4"/>
      <c r="C394" s="2"/>
      <c r="D394" s="4"/>
      <c r="E394" s="16"/>
      <c r="F394" s="4"/>
      <c r="G394" s="16"/>
      <c r="H394" s="4"/>
      <c r="I394" s="4"/>
      <c r="J394" s="4"/>
      <c r="K394" s="2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"/>
      <c r="B395" s="4"/>
      <c r="C395" s="2"/>
      <c r="D395" s="4"/>
      <c r="E395" s="16"/>
      <c r="F395" s="4"/>
      <c r="G395" s="16"/>
      <c r="H395" s="4"/>
      <c r="I395" s="4"/>
      <c r="J395" s="4"/>
      <c r="K395" s="2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"/>
      <c r="B396" s="4"/>
      <c r="C396" s="2"/>
      <c r="D396" s="4"/>
      <c r="E396" s="16"/>
      <c r="F396" s="4"/>
      <c r="G396" s="16"/>
      <c r="H396" s="4"/>
      <c r="I396" s="4"/>
      <c r="J396" s="4"/>
      <c r="K396" s="2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"/>
      <c r="B397" s="4"/>
      <c r="C397" s="2"/>
      <c r="D397" s="4"/>
      <c r="E397" s="16"/>
      <c r="F397" s="4"/>
      <c r="G397" s="16"/>
      <c r="H397" s="4"/>
      <c r="I397" s="4"/>
      <c r="J397" s="4"/>
      <c r="K397" s="2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"/>
      <c r="B398" s="4"/>
      <c r="C398" s="2"/>
      <c r="D398" s="4"/>
      <c r="E398" s="16"/>
      <c r="F398" s="4"/>
      <c r="G398" s="16"/>
      <c r="H398" s="4"/>
      <c r="I398" s="4"/>
      <c r="J398" s="4"/>
      <c r="K398" s="2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"/>
      <c r="B399" s="4"/>
      <c r="C399" s="2"/>
      <c r="D399" s="4"/>
      <c r="E399" s="16"/>
      <c r="F399" s="4"/>
      <c r="G399" s="16"/>
      <c r="H399" s="4"/>
      <c r="I399" s="4"/>
      <c r="J399" s="4"/>
      <c r="K399" s="2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"/>
      <c r="B400" s="4"/>
      <c r="C400" s="2"/>
      <c r="D400" s="4"/>
      <c r="E400" s="16"/>
      <c r="F400" s="4"/>
      <c r="G400" s="16"/>
      <c r="H400" s="4"/>
      <c r="I400" s="4"/>
      <c r="J400" s="4"/>
      <c r="K400" s="2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"/>
      <c r="B401" s="4"/>
      <c r="C401" s="2"/>
      <c r="D401" s="4"/>
      <c r="E401" s="16"/>
      <c r="F401" s="4"/>
      <c r="G401" s="16"/>
      <c r="H401" s="4"/>
      <c r="I401" s="4"/>
      <c r="J401" s="4"/>
      <c r="K401" s="2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"/>
      <c r="B402" s="4"/>
      <c r="C402" s="2"/>
      <c r="D402" s="4"/>
      <c r="E402" s="16"/>
      <c r="F402" s="4"/>
      <c r="G402" s="16"/>
      <c r="H402" s="4"/>
      <c r="I402" s="4"/>
      <c r="J402" s="4"/>
      <c r="K402" s="2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"/>
      <c r="B403" s="4"/>
      <c r="C403" s="2"/>
      <c r="D403" s="4"/>
      <c r="E403" s="16"/>
      <c r="F403" s="4"/>
      <c r="G403" s="16"/>
      <c r="H403" s="4"/>
      <c r="I403" s="4"/>
      <c r="J403" s="4"/>
      <c r="K403" s="2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"/>
      <c r="B404" s="4"/>
      <c r="C404" s="2"/>
      <c r="D404" s="4"/>
      <c r="E404" s="16"/>
      <c r="F404" s="4"/>
      <c r="G404" s="16"/>
      <c r="H404" s="4"/>
      <c r="I404" s="4"/>
      <c r="J404" s="4"/>
      <c r="K404" s="2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"/>
      <c r="B405" s="4"/>
      <c r="C405" s="2"/>
      <c r="D405" s="4"/>
      <c r="E405" s="16"/>
      <c r="F405" s="4"/>
      <c r="G405" s="16"/>
      <c r="H405" s="4"/>
      <c r="I405" s="4"/>
      <c r="J405" s="4"/>
      <c r="K405" s="2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"/>
      <c r="B406" s="4"/>
      <c r="C406" s="2"/>
      <c r="D406" s="4"/>
      <c r="E406" s="16"/>
      <c r="F406" s="4"/>
      <c r="G406" s="16"/>
      <c r="H406" s="4"/>
      <c r="I406" s="4"/>
      <c r="J406" s="4"/>
      <c r="K406" s="2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"/>
      <c r="B407" s="4"/>
      <c r="C407" s="2"/>
      <c r="D407" s="4"/>
      <c r="E407" s="16"/>
      <c r="F407" s="4"/>
      <c r="G407" s="16"/>
      <c r="H407" s="4"/>
      <c r="I407" s="4"/>
      <c r="J407" s="4"/>
      <c r="K407" s="2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"/>
      <c r="B408" s="4"/>
      <c r="C408" s="2"/>
      <c r="D408" s="4"/>
      <c r="E408" s="16"/>
      <c r="F408" s="4"/>
      <c r="G408" s="16"/>
      <c r="H408" s="4"/>
      <c r="I408" s="4"/>
      <c r="J408" s="4"/>
      <c r="K408" s="2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"/>
      <c r="B409" s="4"/>
      <c r="C409" s="2"/>
      <c r="D409" s="4"/>
      <c r="E409" s="16"/>
      <c r="F409" s="4"/>
      <c r="G409" s="16"/>
      <c r="H409" s="4"/>
      <c r="I409" s="4"/>
      <c r="J409" s="4"/>
      <c r="K409" s="2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"/>
      <c r="B410" s="4"/>
      <c r="C410" s="2"/>
      <c r="D410" s="4"/>
      <c r="E410" s="16"/>
      <c r="F410" s="4"/>
      <c r="G410" s="16"/>
      <c r="H410" s="4"/>
      <c r="I410" s="4"/>
      <c r="J410" s="4"/>
      <c r="K410" s="2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"/>
      <c r="B411" s="4"/>
      <c r="C411" s="2"/>
      <c r="D411" s="4"/>
      <c r="E411" s="16"/>
      <c r="F411" s="4"/>
      <c r="G411" s="16"/>
      <c r="H411" s="4"/>
      <c r="I411" s="4"/>
      <c r="J411" s="4"/>
      <c r="K411" s="2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"/>
      <c r="B412" s="4"/>
      <c r="C412" s="2"/>
      <c r="D412" s="4"/>
      <c r="E412" s="16"/>
      <c r="F412" s="4"/>
      <c r="G412" s="16"/>
      <c r="H412" s="4"/>
      <c r="I412" s="4"/>
      <c r="J412" s="4"/>
      <c r="K412" s="2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"/>
      <c r="B413" s="4"/>
      <c r="C413" s="2"/>
      <c r="D413" s="4"/>
      <c r="E413" s="16"/>
      <c r="F413" s="4"/>
      <c r="G413" s="16"/>
      <c r="H413" s="4"/>
      <c r="I413" s="4"/>
      <c r="J413" s="4"/>
      <c r="K413" s="2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"/>
      <c r="B414" s="4"/>
      <c r="C414" s="2"/>
      <c r="D414" s="4"/>
      <c r="E414" s="16"/>
      <c r="F414" s="4"/>
      <c r="G414" s="16"/>
      <c r="H414" s="4"/>
      <c r="I414" s="4"/>
      <c r="J414" s="4"/>
      <c r="K414" s="2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"/>
      <c r="B415" s="4"/>
      <c r="C415" s="2"/>
      <c r="D415" s="4"/>
      <c r="E415" s="16"/>
      <c r="F415" s="4"/>
      <c r="G415" s="16"/>
      <c r="H415" s="4"/>
      <c r="I415" s="4"/>
      <c r="J415" s="4"/>
      <c r="K415" s="2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"/>
      <c r="B416" s="4"/>
      <c r="C416" s="2"/>
      <c r="D416" s="4"/>
      <c r="E416" s="16"/>
      <c r="F416" s="4"/>
      <c r="G416" s="16"/>
      <c r="H416" s="4"/>
      <c r="I416" s="4"/>
      <c r="J416" s="4"/>
      <c r="K416" s="2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"/>
      <c r="B417" s="4"/>
      <c r="C417" s="2"/>
      <c r="D417" s="4"/>
      <c r="E417" s="16"/>
      <c r="F417" s="4"/>
      <c r="G417" s="16"/>
      <c r="H417" s="4"/>
      <c r="I417" s="4"/>
      <c r="J417" s="4"/>
      <c r="K417" s="2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"/>
      <c r="B418" s="4"/>
      <c r="C418" s="2"/>
      <c r="D418" s="4"/>
      <c r="E418" s="16"/>
      <c r="F418" s="4"/>
      <c r="G418" s="16"/>
      <c r="H418" s="4"/>
      <c r="I418" s="4"/>
      <c r="J418" s="4"/>
      <c r="K418" s="2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"/>
      <c r="B419" s="4"/>
      <c r="C419" s="2"/>
      <c r="D419" s="4"/>
      <c r="E419" s="16"/>
      <c r="F419" s="4"/>
      <c r="G419" s="16"/>
      <c r="H419" s="4"/>
      <c r="I419" s="4"/>
      <c r="J419" s="4"/>
      <c r="K419" s="2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"/>
      <c r="B420" s="4"/>
      <c r="C420" s="2"/>
      <c r="D420" s="4"/>
      <c r="E420" s="16"/>
      <c r="F420" s="4"/>
      <c r="G420" s="16"/>
      <c r="H420" s="4"/>
      <c r="I420" s="4"/>
      <c r="J420" s="4"/>
      <c r="K420" s="2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"/>
      <c r="B421" s="4"/>
      <c r="C421" s="2"/>
      <c r="D421" s="4"/>
      <c r="E421" s="16"/>
      <c r="F421" s="4"/>
      <c r="G421" s="16"/>
      <c r="H421" s="4"/>
      <c r="I421" s="4"/>
      <c r="J421" s="4"/>
      <c r="K421" s="2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"/>
      <c r="B422" s="4"/>
      <c r="C422" s="2"/>
      <c r="D422" s="4"/>
      <c r="E422" s="16"/>
      <c r="F422" s="4"/>
      <c r="G422" s="16"/>
      <c r="H422" s="4"/>
      <c r="I422" s="4"/>
      <c r="J422" s="4"/>
      <c r="K422" s="2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"/>
      <c r="B423" s="4"/>
      <c r="C423" s="2"/>
      <c r="D423" s="4"/>
      <c r="E423" s="16"/>
      <c r="F423" s="4"/>
      <c r="G423" s="16"/>
      <c r="H423" s="4"/>
      <c r="I423" s="4"/>
      <c r="J423" s="4"/>
      <c r="K423" s="2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"/>
      <c r="B424" s="4"/>
      <c r="C424" s="2"/>
      <c r="D424" s="4"/>
      <c r="E424" s="16"/>
      <c r="F424" s="4"/>
      <c r="G424" s="16"/>
      <c r="H424" s="4"/>
      <c r="I424" s="4"/>
      <c r="J424" s="4"/>
      <c r="K424" s="2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"/>
      <c r="B425" s="4"/>
      <c r="C425" s="2"/>
      <c r="D425" s="4"/>
      <c r="E425" s="16"/>
      <c r="F425" s="4"/>
      <c r="G425" s="16"/>
      <c r="H425" s="4"/>
      <c r="I425" s="4"/>
      <c r="J425" s="4"/>
      <c r="K425" s="2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"/>
      <c r="B426" s="4"/>
      <c r="C426" s="2"/>
      <c r="D426" s="4"/>
      <c r="E426" s="16"/>
      <c r="F426" s="4"/>
      <c r="G426" s="16"/>
      <c r="H426" s="4"/>
      <c r="I426" s="4"/>
      <c r="J426" s="4"/>
      <c r="K426" s="2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"/>
      <c r="B427" s="4"/>
      <c r="C427" s="2"/>
      <c r="D427" s="4"/>
      <c r="E427" s="16"/>
      <c r="F427" s="4"/>
      <c r="G427" s="16"/>
      <c r="H427" s="4"/>
      <c r="I427" s="4"/>
      <c r="J427" s="4"/>
      <c r="K427" s="2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"/>
      <c r="B428" s="4"/>
      <c r="C428" s="2"/>
      <c r="D428" s="4"/>
      <c r="E428" s="16"/>
      <c r="F428" s="4"/>
      <c r="G428" s="16"/>
      <c r="H428" s="4"/>
      <c r="I428" s="4"/>
      <c r="J428" s="4"/>
      <c r="K428" s="2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"/>
      <c r="B429" s="4"/>
      <c r="C429" s="2"/>
      <c r="D429" s="4"/>
      <c r="E429" s="16"/>
      <c r="F429" s="4"/>
      <c r="G429" s="16"/>
      <c r="H429" s="4"/>
      <c r="I429" s="4"/>
      <c r="J429" s="4"/>
      <c r="K429" s="2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"/>
      <c r="B430" s="4"/>
      <c r="C430" s="2"/>
      <c r="D430" s="4"/>
      <c r="E430" s="16"/>
      <c r="F430" s="4"/>
      <c r="G430" s="16"/>
      <c r="H430" s="4"/>
      <c r="I430" s="4"/>
      <c r="J430" s="4"/>
      <c r="K430" s="2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"/>
      <c r="B431" s="4"/>
      <c r="C431" s="2"/>
      <c r="D431" s="4"/>
      <c r="E431" s="16"/>
      <c r="F431" s="4"/>
      <c r="G431" s="16"/>
      <c r="H431" s="4"/>
      <c r="I431" s="4"/>
      <c r="J431" s="4"/>
      <c r="K431" s="2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"/>
      <c r="B432" s="4"/>
      <c r="C432" s="2"/>
      <c r="D432" s="4"/>
      <c r="E432" s="16"/>
      <c r="F432" s="4"/>
      <c r="G432" s="16"/>
      <c r="H432" s="4"/>
      <c r="I432" s="4"/>
      <c r="J432" s="4"/>
      <c r="K432" s="2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"/>
      <c r="B433" s="4"/>
      <c r="C433" s="2"/>
      <c r="D433" s="4"/>
      <c r="E433" s="16"/>
      <c r="F433" s="4"/>
      <c r="G433" s="16"/>
      <c r="H433" s="4"/>
      <c r="I433" s="4"/>
      <c r="J433" s="4"/>
      <c r="K433" s="2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"/>
      <c r="B434" s="4"/>
      <c r="C434" s="2"/>
      <c r="D434" s="4"/>
      <c r="E434" s="16"/>
      <c r="F434" s="4"/>
      <c r="G434" s="16"/>
      <c r="H434" s="4"/>
      <c r="I434" s="4"/>
      <c r="J434" s="4"/>
      <c r="K434" s="2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"/>
      <c r="B435" s="4"/>
      <c r="C435" s="2"/>
      <c r="D435" s="4"/>
      <c r="E435" s="16"/>
      <c r="F435" s="4"/>
      <c r="G435" s="16"/>
      <c r="H435" s="4"/>
      <c r="I435" s="4"/>
      <c r="J435" s="4"/>
      <c r="K435" s="2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"/>
      <c r="B436" s="4"/>
      <c r="C436" s="2"/>
      <c r="D436" s="4"/>
      <c r="E436" s="16"/>
      <c r="F436" s="4"/>
      <c r="G436" s="16"/>
      <c r="H436" s="4"/>
      <c r="I436" s="4"/>
      <c r="J436" s="4"/>
      <c r="K436" s="2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"/>
      <c r="B437" s="4"/>
      <c r="C437" s="2"/>
      <c r="D437" s="4"/>
      <c r="E437" s="16"/>
      <c r="F437" s="4"/>
      <c r="G437" s="16"/>
      <c r="H437" s="4"/>
      <c r="I437" s="4"/>
      <c r="J437" s="4"/>
      <c r="K437" s="2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"/>
      <c r="B438" s="4"/>
      <c r="C438" s="2"/>
      <c r="D438" s="4"/>
      <c r="E438" s="16"/>
      <c r="F438" s="4"/>
      <c r="G438" s="16"/>
      <c r="H438" s="4"/>
      <c r="I438" s="4"/>
      <c r="J438" s="4"/>
      <c r="K438" s="2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"/>
      <c r="B439" s="4"/>
      <c r="C439" s="2"/>
      <c r="D439" s="4"/>
      <c r="E439" s="16"/>
      <c r="F439" s="4"/>
      <c r="G439" s="16"/>
      <c r="H439" s="4"/>
      <c r="I439" s="4"/>
      <c r="J439" s="4"/>
      <c r="K439" s="2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"/>
      <c r="B440" s="4"/>
      <c r="C440" s="2"/>
      <c r="D440" s="4"/>
      <c r="E440" s="16"/>
      <c r="F440" s="4"/>
      <c r="G440" s="16"/>
      <c r="H440" s="4"/>
      <c r="I440" s="4"/>
      <c r="J440" s="4"/>
      <c r="K440" s="2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"/>
      <c r="B441" s="4"/>
      <c r="C441" s="2"/>
      <c r="D441" s="4"/>
      <c r="E441" s="16"/>
      <c r="F441" s="4"/>
      <c r="G441" s="16"/>
      <c r="H441" s="4"/>
      <c r="I441" s="4"/>
      <c r="J441" s="4"/>
      <c r="K441" s="2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"/>
      <c r="B442" s="4"/>
      <c r="C442" s="2"/>
      <c r="D442" s="4"/>
      <c r="E442" s="16"/>
      <c r="F442" s="4"/>
      <c r="G442" s="16"/>
      <c r="H442" s="4"/>
      <c r="I442" s="4"/>
      <c r="J442" s="4"/>
      <c r="K442" s="2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"/>
      <c r="B443" s="4"/>
      <c r="C443" s="2"/>
      <c r="D443" s="4"/>
      <c r="E443" s="16"/>
      <c r="F443" s="4"/>
      <c r="G443" s="16"/>
      <c r="H443" s="4"/>
      <c r="I443" s="4"/>
      <c r="J443" s="4"/>
      <c r="K443" s="2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"/>
      <c r="B444" s="4"/>
      <c r="C444" s="2"/>
      <c r="D444" s="4"/>
      <c r="E444" s="16"/>
      <c r="F444" s="4"/>
      <c r="G444" s="16"/>
      <c r="H444" s="4"/>
      <c r="I444" s="4"/>
      <c r="J444" s="4"/>
      <c r="K444" s="2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"/>
      <c r="B445" s="4"/>
      <c r="C445" s="2"/>
      <c r="D445" s="4"/>
      <c r="E445" s="16"/>
      <c r="F445" s="4"/>
      <c r="G445" s="16"/>
      <c r="H445" s="4"/>
      <c r="I445" s="4"/>
      <c r="J445" s="4"/>
      <c r="K445" s="2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"/>
      <c r="B446" s="4"/>
      <c r="C446" s="2"/>
      <c r="D446" s="4"/>
      <c r="E446" s="16"/>
      <c r="F446" s="4"/>
      <c r="G446" s="16"/>
      <c r="H446" s="4"/>
      <c r="I446" s="4"/>
      <c r="J446" s="4"/>
      <c r="K446" s="2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"/>
      <c r="B447" s="4"/>
      <c r="C447" s="2"/>
      <c r="D447" s="4"/>
      <c r="E447" s="16"/>
      <c r="F447" s="4"/>
      <c r="G447" s="16"/>
      <c r="H447" s="4"/>
      <c r="I447" s="4"/>
      <c r="J447" s="4"/>
      <c r="K447" s="2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"/>
      <c r="B448" s="4"/>
      <c r="C448" s="2"/>
      <c r="D448" s="4"/>
      <c r="E448" s="16"/>
      <c r="F448" s="4"/>
      <c r="G448" s="16"/>
      <c r="H448" s="4"/>
      <c r="I448" s="4"/>
      <c r="J448" s="4"/>
      <c r="K448" s="2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"/>
      <c r="B449" s="4"/>
      <c r="C449" s="2"/>
      <c r="D449" s="4"/>
      <c r="E449" s="16"/>
      <c r="F449" s="4"/>
      <c r="G449" s="16"/>
      <c r="H449" s="4"/>
      <c r="I449" s="4"/>
      <c r="J449" s="4"/>
      <c r="K449" s="2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"/>
      <c r="B450" s="4"/>
      <c r="C450" s="2"/>
      <c r="D450" s="4"/>
      <c r="E450" s="16"/>
      <c r="F450" s="4"/>
      <c r="G450" s="16"/>
      <c r="H450" s="4"/>
      <c r="I450" s="4"/>
      <c r="J450" s="4"/>
      <c r="K450" s="2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"/>
      <c r="B451" s="4"/>
      <c r="C451" s="2"/>
      <c r="D451" s="4"/>
      <c r="E451" s="16"/>
      <c r="F451" s="4"/>
      <c r="G451" s="16"/>
      <c r="H451" s="4"/>
      <c r="I451" s="4"/>
      <c r="J451" s="4"/>
      <c r="K451" s="2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"/>
      <c r="B452" s="4"/>
      <c r="C452" s="2"/>
      <c r="D452" s="4"/>
      <c r="E452" s="16"/>
      <c r="F452" s="4"/>
      <c r="G452" s="16"/>
      <c r="H452" s="4"/>
      <c r="I452" s="4"/>
      <c r="J452" s="4"/>
      <c r="K452" s="2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"/>
      <c r="B453" s="4"/>
      <c r="C453" s="2"/>
      <c r="D453" s="4"/>
      <c r="E453" s="16"/>
      <c r="F453" s="4"/>
      <c r="G453" s="16"/>
      <c r="H453" s="4"/>
      <c r="I453" s="4"/>
      <c r="J453" s="4"/>
      <c r="K453" s="2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"/>
      <c r="B454" s="4"/>
      <c r="C454" s="2"/>
      <c r="D454" s="4"/>
      <c r="E454" s="16"/>
      <c r="F454" s="4"/>
      <c r="G454" s="16"/>
      <c r="H454" s="4"/>
      <c r="I454" s="4"/>
      <c r="J454" s="4"/>
      <c r="K454" s="2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"/>
      <c r="B455" s="4"/>
      <c r="C455" s="2"/>
      <c r="D455" s="4"/>
      <c r="E455" s="16"/>
      <c r="F455" s="4"/>
      <c r="G455" s="16"/>
      <c r="H455" s="4"/>
      <c r="I455" s="4"/>
      <c r="J455" s="4"/>
      <c r="K455" s="2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"/>
      <c r="B456" s="4"/>
      <c r="C456" s="2"/>
      <c r="D456" s="4"/>
      <c r="E456" s="16"/>
      <c r="F456" s="4"/>
      <c r="G456" s="16"/>
      <c r="H456" s="4"/>
      <c r="I456" s="4"/>
      <c r="J456" s="4"/>
      <c r="K456" s="2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"/>
      <c r="B457" s="4"/>
      <c r="C457" s="2"/>
      <c r="D457" s="4"/>
      <c r="E457" s="16"/>
      <c r="F457" s="4"/>
      <c r="G457" s="16"/>
      <c r="H457" s="4"/>
      <c r="I457" s="4"/>
      <c r="J457" s="4"/>
      <c r="K457" s="2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"/>
      <c r="B458" s="4"/>
      <c r="C458" s="2"/>
      <c r="D458" s="4"/>
      <c r="E458" s="16"/>
      <c r="F458" s="4"/>
      <c r="G458" s="16"/>
      <c r="H458" s="4"/>
      <c r="I458" s="4"/>
      <c r="J458" s="4"/>
      <c r="K458" s="2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"/>
      <c r="B459" s="4"/>
      <c r="C459" s="2"/>
      <c r="D459" s="4"/>
      <c r="E459" s="16"/>
      <c r="F459" s="4"/>
      <c r="G459" s="16"/>
      <c r="H459" s="4"/>
      <c r="I459" s="4"/>
      <c r="J459" s="4"/>
      <c r="K459" s="2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"/>
      <c r="B460" s="4"/>
      <c r="C460" s="2"/>
      <c r="D460" s="4"/>
      <c r="E460" s="16"/>
      <c r="F460" s="4"/>
      <c r="G460" s="16"/>
      <c r="H460" s="4"/>
      <c r="I460" s="4"/>
      <c r="J460" s="4"/>
      <c r="K460" s="2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"/>
      <c r="B461" s="4"/>
      <c r="C461" s="2"/>
      <c r="D461" s="4"/>
      <c r="E461" s="16"/>
      <c r="F461" s="4"/>
      <c r="G461" s="16"/>
      <c r="H461" s="4"/>
      <c r="I461" s="4"/>
      <c r="J461" s="4"/>
      <c r="K461" s="2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"/>
      <c r="B462" s="4"/>
      <c r="C462" s="2"/>
      <c r="D462" s="4"/>
      <c r="E462" s="16"/>
      <c r="F462" s="4"/>
      <c r="G462" s="16"/>
      <c r="H462" s="4"/>
      <c r="I462" s="4"/>
      <c r="J462" s="4"/>
      <c r="K462" s="2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"/>
      <c r="B463" s="4"/>
      <c r="C463" s="2"/>
      <c r="D463" s="4"/>
      <c r="E463" s="16"/>
      <c r="F463" s="4"/>
      <c r="G463" s="16"/>
      <c r="H463" s="4"/>
      <c r="I463" s="4"/>
      <c r="J463" s="4"/>
      <c r="K463" s="2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"/>
      <c r="B464" s="4"/>
      <c r="C464" s="2"/>
      <c r="D464" s="4"/>
      <c r="E464" s="16"/>
      <c r="F464" s="4"/>
      <c r="G464" s="16"/>
      <c r="H464" s="4"/>
      <c r="I464" s="4"/>
      <c r="J464" s="4"/>
      <c r="K464" s="2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"/>
      <c r="B465" s="4"/>
      <c r="C465" s="2"/>
      <c r="D465" s="4"/>
      <c r="E465" s="16"/>
      <c r="F465" s="4"/>
      <c r="G465" s="16"/>
      <c r="H465" s="4"/>
      <c r="I465" s="4"/>
      <c r="J465" s="4"/>
      <c r="K465" s="2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"/>
      <c r="B466" s="4"/>
      <c r="C466" s="2"/>
      <c r="D466" s="4"/>
      <c r="E466" s="16"/>
      <c r="F466" s="4"/>
      <c r="G466" s="16"/>
      <c r="H466" s="4"/>
      <c r="I466" s="4"/>
      <c r="J466" s="4"/>
      <c r="K466" s="2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"/>
      <c r="B467" s="4"/>
      <c r="C467" s="2"/>
      <c r="D467" s="4"/>
      <c r="E467" s="16"/>
      <c r="F467" s="4"/>
      <c r="G467" s="16"/>
      <c r="H467" s="4"/>
      <c r="I467" s="4"/>
      <c r="J467" s="4"/>
      <c r="K467" s="2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"/>
      <c r="B468" s="4"/>
      <c r="C468" s="2"/>
      <c r="D468" s="4"/>
      <c r="E468" s="16"/>
      <c r="F468" s="4"/>
      <c r="G468" s="16"/>
      <c r="H468" s="4"/>
      <c r="I468" s="4"/>
      <c r="J468" s="4"/>
      <c r="K468" s="2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"/>
      <c r="B469" s="4"/>
      <c r="C469" s="2"/>
      <c r="D469" s="4"/>
      <c r="E469" s="16"/>
      <c r="F469" s="4"/>
      <c r="G469" s="16"/>
      <c r="H469" s="4"/>
      <c r="I469" s="4"/>
      <c r="J469" s="4"/>
      <c r="K469" s="2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"/>
      <c r="B470" s="4"/>
      <c r="C470" s="2"/>
      <c r="D470" s="4"/>
      <c r="E470" s="16"/>
      <c r="F470" s="4"/>
      <c r="G470" s="16"/>
      <c r="H470" s="4"/>
      <c r="I470" s="4"/>
      <c r="J470" s="4"/>
      <c r="K470" s="2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"/>
      <c r="B471" s="4"/>
      <c r="C471" s="2"/>
      <c r="D471" s="4"/>
      <c r="E471" s="16"/>
      <c r="F471" s="4"/>
      <c r="G471" s="16"/>
      <c r="H471" s="4"/>
      <c r="I471" s="4"/>
      <c r="J471" s="4"/>
      <c r="K471" s="2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"/>
      <c r="B472" s="4"/>
      <c r="C472" s="2"/>
      <c r="D472" s="4"/>
      <c r="E472" s="16"/>
      <c r="F472" s="4"/>
      <c r="G472" s="16"/>
      <c r="H472" s="4"/>
      <c r="I472" s="4"/>
      <c r="J472" s="4"/>
      <c r="K472" s="2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"/>
      <c r="B473" s="4"/>
      <c r="C473" s="2"/>
      <c r="D473" s="4"/>
      <c r="E473" s="16"/>
      <c r="F473" s="4"/>
      <c r="G473" s="16"/>
      <c r="H473" s="4"/>
      <c r="I473" s="4"/>
      <c r="J473" s="4"/>
      <c r="K473" s="2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"/>
      <c r="B474" s="4"/>
      <c r="C474" s="2"/>
      <c r="D474" s="4"/>
      <c r="E474" s="16"/>
      <c r="F474" s="4"/>
      <c r="G474" s="16"/>
      <c r="H474" s="4"/>
      <c r="I474" s="4"/>
      <c r="J474" s="4"/>
      <c r="K474" s="2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"/>
      <c r="B475" s="4"/>
      <c r="C475" s="2"/>
      <c r="D475" s="4"/>
      <c r="E475" s="16"/>
      <c r="F475" s="4"/>
      <c r="G475" s="16"/>
      <c r="H475" s="4"/>
      <c r="I475" s="4"/>
      <c r="J475" s="4"/>
      <c r="K475" s="2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"/>
      <c r="B476" s="4"/>
      <c r="C476" s="2"/>
      <c r="D476" s="4"/>
      <c r="E476" s="16"/>
      <c r="F476" s="4"/>
      <c r="G476" s="16"/>
      <c r="H476" s="4"/>
      <c r="I476" s="4"/>
      <c r="J476" s="4"/>
      <c r="K476" s="2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"/>
      <c r="B477" s="4"/>
      <c r="C477" s="2"/>
      <c r="D477" s="4"/>
      <c r="E477" s="16"/>
      <c r="F477" s="4"/>
      <c r="G477" s="16"/>
      <c r="H477" s="4"/>
      <c r="I477" s="4"/>
      <c r="J477" s="4"/>
      <c r="K477" s="2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"/>
      <c r="B478" s="4"/>
      <c r="C478" s="2"/>
      <c r="D478" s="4"/>
      <c r="E478" s="16"/>
      <c r="F478" s="4"/>
      <c r="G478" s="16"/>
      <c r="H478" s="4"/>
      <c r="I478" s="4"/>
      <c r="J478" s="4"/>
      <c r="K478" s="2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"/>
      <c r="B479" s="4"/>
      <c r="C479" s="2"/>
      <c r="D479" s="4"/>
      <c r="E479" s="16"/>
      <c r="F479" s="4"/>
      <c r="G479" s="16"/>
      <c r="H479" s="4"/>
      <c r="I479" s="4"/>
      <c r="J479" s="4"/>
      <c r="K479" s="2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"/>
      <c r="B480" s="4"/>
      <c r="C480" s="2"/>
      <c r="D480" s="4"/>
      <c r="E480" s="16"/>
      <c r="F480" s="4"/>
      <c r="G480" s="16"/>
      <c r="H480" s="4"/>
      <c r="I480" s="4"/>
      <c r="J480" s="4"/>
      <c r="K480" s="2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"/>
      <c r="B481" s="4"/>
      <c r="C481" s="2"/>
      <c r="D481" s="4"/>
      <c r="E481" s="16"/>
      <c r="F481" s="4"/>
      <c r="G481" s="16"/>
      <c r="H481" s="4"/>
      <c r="I481" s="4"/>
      <c r="J481" s="4"/>
      <c r="K481" s="2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"/>
      <c r="B482" s="4"/>
      <c r="C482" s="2"/>
      <c r="D482" s="4"/>
      <c r="E482" s="16"/>
      <c r="F482" s="4"/>
      <c r="G482" s="16"/>
      <c r="H482" s="4"/>
      <c r="I482" s="4"/>
      <c r="J482" s="4"/>
      <c r="K482" s="2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"/>
      <c r="B483" s="4"/>
      <c r="C483" s="2"/>
      <c r="D483" s="4"/>
      <c r="E483" s="16"/>
      <c r="F483" s="4"/>
      <c r="G483" s="16"/>
      <c r="H483" s="4"/>
      <c r="I483" s="4"/>
      <c r="J483" s="4"/>
      <c r="K483" s="2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"/>
      <c r="B484" s="4"/>
      <c r="C484" s="2"/>
      <c r="D484" s="4"/>
      <c r="E484" s="16"/>
      <c r="F484" s="4"/>
      <c r="G484" s="16"/>
      <c r="H484" s="4"/>
      <c r="I484" s="4"/>
      <c r="J484" s="4"/>
      <c r="K484" s="2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"/>
      <c r="B485" s="4"/>
      <c r="C485" s="2"/>
      <c r="D485" s="4"/>
      <c r="E485" s="16"/>
      <c r="F485" s="4"/>
      <c r="G485" s="16"/>
      <c r="H485" s="4"/>
      <c r="I485" s="4"/>
      <c r="J485" s="4"/>
      <c r="K485" s="2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"/>
      <c r="B486" s="4"/>
      <c r="C486" s="2"/>
      <c r="D486" s="4"/>
      <c r="E486" s="16"/>
      <c r="F486" s="4"/>
      <c r="G486" s="16"/>
      <c r="H486" s="4"/>
      <c r="I486" s="4"/>
      <c r="J486" s="4"/>
      <c r="K486" s="2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"/>
      <c r="B487" s="4"/>
      <c r="C487" s="2"/>
      <c r="D487" s="4"/>
      <c r="E487" s="16"/>
      <c r="F487" s="4"/>
      <c r="G487" s="16"/>
      <c r="H487" s="4"/>
      <c r="I487" s="4"/>
      <c r="J487" s="4"/>
      <c r="K487" s="2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"/>
      <c r="B488" s="4"/>
      <c r="C488" s="2"/>
      <c r="D488" s="4"/>
      <c r="E488" s="16"/>
      <c r="F488" s="4"/>
      <c r="G488" s="16"/>
      <c r="H488" s="4"/>
      <c r="I488" s="4"/>
      <c r="J488" s="4"/>
      <c r="K488" s="2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"/>
      <c r="B489" s="4"/>
      <c r="C489" s="2"/>
      <c r="D489" s="4"/>
      <c r="E489" s="16"/>
      <c r="F489" s="4"/>
      <c r="G489" s="16"/>
      <c r="H489" s="4"/>
      <c r="I489" s="4"/>
      <c r="J489" s="4"/>
      <c r="K489" s="2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"/>
      <c r="B490" s="4"/>
      <c r="C490" s="2"/>
      <c r="D490" s="4"/>
      <c r="E490" s="16"/>
      <c r="F490" s="4"/>
      <c r="G490" s="16"/>
      <c r="H490" s="4"/>
      <c r="I490" s="4"/>
      <c r="J490" s="4"/>
      <c r="K490" s="2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"/>
      <c r="B491" s="4"/>
      <c r="C491" s="2"/>
      <c r="D491" s="4"/>
      <c r="E491" s="16"/>
      <c r="F491" s="4"/>
      <c r="G491" s="16"/>
      <c r="H491" s="4"/>
      <c r="I491" s="4"/>
      <c r="J491" s="4"/>
      <c r="K491" s="2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"/>
      <c r="B492" s="4"/>
      <c r="C492" s="2"/>
      <c r="D492" s="4"/>
      <c r="E492" s="16"/>
      <c r="F492" s="4"/>
      <c r="G492" s="16"/>
      <c r="H492" s="4"/>
      <c r="I492" s="4"/>
      <c r="J492" s="4"/>
      <c r="K492" s="2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"/>
      <c r="B493" s="4"/>
      <c r="C493" s="2"/>
      <c r="D493" s="4"/>
      <c r="E493" s="16"/>
      <c r="F493" s="4"/>
      <c r="G493" s="16"/>
      <c r="H493" s="4"/>
      <c r="I493" s="4"/>
      <c r="J493" s="4"/>
      <c r="K493" s="2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"/>
      <c r="B494" s="4"/>
      <c r="C494" s="2"/>
      <c r="D494" s="4"/>
      <c r="E494" s="16"/>
      <c r="F494" s="4"/>
      <c r="G494" s="16"/>
      <c r="H494" s="4"/>
      <c r="I494" s="4"/>
      <c r="J494" s="4"/>
      <c r="K494" s="2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"/>
      <c r="B495" s="4"/>
      <c r="C495" s="2"/>
      <c r="D495" s="4"/>
      <c r="E495" s="16"/>
      <c r="F495" s="4"/>
      <c r="G495" s="16"/>
      <c r="H495" s="4"/>
      <c r="I495" s="4"/>
      <c r="J495" s="4"/>
      <c r="K495" s="2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"/>
      <c r="B496" s="4"/>
      <c r="C496" s="2"/>
      <c r="D496" s="4"/>
      <c r="E496" s="16"/>
      <c r="F496" s="4"/>
      <c r="G496" s="16"/>
      <c r="H496" s="4"/>
      <c r="I496" s="4"/>
      <c r="J496" s="4"/>
      <c r="K496" s="2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"/>
      <c r="B497" s="4"/>
      <c r="C497" s="2"/>
      <c r="D497" s="4"/>
      <c r="E497" s="16"/>
      <c r="F497" s="4"/>
      <c r="G497" s="16"/>
      <c r="H497" s="4"/>
      <c r="I497" s="4"/>
      <c r="J497" s="4"/>
      <c r="K497" s="2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"/>
      <c r="B498" s="4"/>
      <c r="C498" s="2"/>
      <c r="D498" s="4"/>
      <c r="E498" s="16"/>
      <c r="F498" s="4"/>
      <c r="G498" s="16"/>
      <c r="H498" s="4"/>
      <c r="I498" s="4"/>
      <c r="J498" s="4"/>
      <c r="K498" s="2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"/>
      <c r="B499" s="4"/>
      <c r="C499" s="2"/>
      <c r="D499" s="4"/>
      <c r="E499" s="16"/>
      <c r="F499" s="4"/>
      <c r="G499" s="16"/>
      <c r="H499" s="4"/>
      <c r="I499" s="4"/>
      <c r="J499" s="4"/>
      <c r="K499" s="2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"/>
      <c r="B500" s="4"/>
      <c r="C500" s="2"/>
      <c r="D500" s="4"/>
      <c r="E500" s="16"/>
      <c r="F500" s="4"/>
      <c r="G500" s="16"/>
      <c r="H500" s="4"/>
      <c r="I500" s="4"/>
      <c r="J500" s="4"/>
      <c r="K500" s="2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"/>
      <c r="B501" s="4"/>
      <c r="C501" s="2"/>
      <c r="D501" s="4"/>
      <c r="E501" s="16"/>
      <c r="F501" s="4"/>
      <c r="G501" s="16"/>
      <c r="H501" s="4"/>
      <c r="I501" s="4"/>
      <c r="J501" s="4"/>
      <c r="K501" s="2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"/>
      <c r="B502" s="4"/>
      <c r="C502" s="2"/>
      <c r="D502" s="4"/>
      <c r="E502" s="16"/>
      <c r="F502" s="4"/>
      <c r="G502" s="16"/>
      <c r="H502" s="4"/>
      <c r="I502" s="4"/>
      <c r="J502" s="4"/>
      <c r="K502" s="2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"/>
      <c r="B503" s="4"/>
      <c r="C503" s="2"/>
      <c r="D503" s="4"/>
      <c r="E503" s="16"/>
      <c r="F503" s="4"/>
      <c r="G503" s="16"/>
      <c r="H503" s="4"/>
      <c r="I503" s="4"/>
      <c r="J503" s="4"/>
      <c r="K503" s="2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"/>
      <c r="B504" s="4"/>
      <c r="C504" s="2"/>
      <c r="D504" s="4"/>
      <c r="E504" s="16"/>
      <c r="F504" s="4"/>
      <c r="G504" s="16"/>
      <c r="H504" s="4"/>
      <c r="I504" s="4"/>
      <c r="J504" s="4"/>
      <c r="K504" s="2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"/>
      <c r="B505" s="4"/>
      <c r="C505" s="2"/>
      <c r="D505" s="4"/>
      <c r="E505" s="16"/>
      <c r="F505" s="4"/>
      <c r="G505" s="16"/>
      <c r="H505" s="4"/>
      <c r="I505" s="4"/>
      <c r="J505" s="4"/>
      <c r="K505" s="2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"/>
      <c r="B506" s="4"/>
      <c r="C506" s="2"/>
      <c r="D506" s="4"/>
      <c r="E506" s="16"/>
      <c r="F506" s="4"/>
      <c r="G506" s="16"/>
      <c r="H506" s="4"/>
      <c r="I506" s="4"/>
      <c r="J506" s="4"/>
      <c r="K506" s="2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"/>
      <c r="B507" s="4"/>
      <c r="C507" s="2"/>
      <c r="D507" s="4"/>
      <c r="E507" s="16"/>
      <c r="F507" s="4"/>
      <c r="G507" s="16"/>
      <c r="H507" s="4"/>
      <c r="I507" s="4"/>
      <c r="J507" s="4"/>
      <c r="K507" s="2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"/>
      <c r="B508" s="4"/>
      <c r="C508" s="2"/>
      <c r="D508" s="4"/>
      <c r="E508" s="16"/>
      <c r="F508" s="4"/>
      <c r="G508" s="16"/>
      <c r="H508" s="4"/>
      <c r="I508" s="4"/>
      <c r="J508" s="4"/>
      <c r="K508" s="2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"/>
      <c r="B509" s="4"/>
      <c r="C509" s="2"/>
      <c r="D509" s="4"/>
      <c r="E509" s="16"/>
      <c r="F509" s="4"/>
      <c r="G509" s="16"/>
      <c r="H509" s="4"/>
      <c r="I509" s="4"/>
      <c r="J509" s="4"/>
      <c r="K509" s="2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"/>
      <c r="B510" s="4"/>
      <c r="C510" s="2"/>
      <c r="D510" s="4"/>
      <c r="E510" s="16"/>
      <c r="F510" s="4"/>
      <c r="G510" s="16"/>
      <c r="H510" s="4"/>
      <c r="I510" s="4"/>
      <c r="J510" s="4"/>
      <c r="K510" s="2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"/>
      <c r="B511" s="4"/>
      <c r="C511" s="2"/>
      <c r="D511" s="4"/>
      <c r="E511" s="16"/>
      <c r="F511" s="4"/>
      <c r="G511" s="16"/>
      <c r="H511" s="4"/>
      <c r="I511" s="4"/>
      <c r="J511" s="4"/>
      <c r="K511" s="2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"/>
      <c r="B512" s="4"/>
      <c r="C512" s="2"/>
      <c r="D512" s="4"/>
      <c r="E512" s="16"/>
      <c r="F512" s="4"/>
      <c r="G512" s="16"/>
      <c r="H512" s="4"/>
      <c r="I512" s="4"/>
      <c r="J512" s="4"/>
      <c r="K512" s="2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"/>
      <c r="B513" s="4"/>
      <c r="C513" s="2"/>
      <c r="D513" s="4"/>
      <c r="E513" s="16"/>
      <c r="F513" s="4"/>
      <c r="G513" s="16"/>
      <c r="H513" s="4"/>
      <c r="I513" s="4"/>
      <c r="J513" s="4"/>
      <c r="K513" s="2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"/>
      <c r="B514" s="4"/>
      <c r="C514" s="2"/>
      <c r="D514" s="4"/>
      <c r="E514" s="16"/>
      <c r="F514" s="4"/>
      <c r="G514" s="16"/>
      <c r="H514" s="4"/>
      <c r="I514" s="4"/>
      <c r="J514" s="4"/>
      <c r="K514" s="2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"/>
      <c r="B515" s="4"/>
      <c r="C515" s="2"/>
      <c r="D515" s="4"/>
      <c r="E515" s="16"/>
      <c r="F515" s="4"/>
      <c r="G515" s="16"/>
      <c r="H515" s="4"/>
      <c r="I515" s="4"/>
      <c r="J515" s="4"/>
      <c r="K515" s="2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"/>
      <c r="B516" s="4"/>
      <c r="C516" s="2"/>
      <c r="D516" s="4"/>
      <c r="E516" s="16"/>
      <c r="F516" s="4"/>
      <c r="G516" s="16"/>
      <c r="H516" s="4"/>
      <c r="I516" s="4"/>
      <c r="J516" s="4"/>
      <c r="K516" s="2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"/>
      <c r="B517" s="4"/>
      <c r="C517" s="2"/>
      <c r="D517" s="4"/>
      <c r="E517" s="16"/>
      <c r="F517" s="4"/>
      <c r="G517" s="16"/>
      <c r="H517" s="4"/>
      <c r="I517" s="4"/>
      <c r="J517" s="4"/>
      <c r="K517" s="2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"/>
      <c r="B518" s="4"/>
      <c r="C518" s="2"/>
      <c r="D518" s="4"/>
      <c r="E518" s="16"/>
      <c r="F518" s="4"/>
      <c r="G518" s="16"/>
      <c r="H518" s="4"/>
      <c r="I518" s="4"/>
      <c r="J518" s="4"/>
      <c r="K518" s="2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"/>
      <c r="B519" s="4"/>
      <c r="C519" s="2"/>
      <c r="D519" s="4"/>
      <c r="E519" s="16"/>
      <c r="F519" s="4"/>
      <c r="G519" s="16"/>
      <c r="H519" s="4"/>
      <c r="I519" s="4"/>
      <c r="J519" s="4"/>
      <c r="K519" s="2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"/>
      <c r="B520" s="4"/>
      <c r="C520" s="2"/>
      <c r="D520" s="4"/>
      <c r="E520" s="16"/>
      <c r="F520" s="4"/>
      <c r="G520" s="16"/>
      <c r="H520" s="4"/>
      <c r="I520" s="4"/>
      <c r="J520" s="4"/>
      <c r="K520" s="2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"/>
      <c r="B521" s="4"/>
      <c r="C521" s="2"/>
      <c r="D521" s="4"/>
      <c r="E521" s="16"/>
      <c r="F521" s="4"/>
      <c r="G521" s="16"/>
      <c r="H521" s="4"/>
      <c r="I521" s="4"/>
      <c r="J521" s="4"/>
      <c r="K521" s="2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"/>
      <c r="B522" s="4"/>
      <c r="C522" s="2"/>
      <c r="D522" s="4"/>
      <c r="E522" s="16"/>
      <c r="F522" s="4"/>
      <c r="G522" s="16"/>
      <c r="H522" s="4"/>
      <c r="I522" s="4"/>
      <c r="J522" s="4"/>
      <c r="K522" s="2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"/>
      <c r="B523" s="4"/>
      <c r="C523" s="2"/>
      <c r="D523" s="4"/>
      <c r="E523" s="16"/>
      <c r="F523" s="4"/>
      <c r="G523" s="16"/>
      <c r="H523" s="4"/>
      <c r="I523" s="4"/>
      <c r="J523" s="4"/>
      <c r="K523" s="2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"/>
      <c r="B524" s="4"/>
      <c r="C524" s="2"/>
      <c r="D524" s="4"/>
      <c r="E524" s="16"/>
      <c r="F524" s="4"/>
      <c r="G524" s="16"/>
      <c r="H524" s="4"/>
      <c r="I524" s="4"/>
      <c r="J524" s="4"/>
      <c r="K524" s="2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"/>
      <c r="B525" s="4"/>
      <c r="C525" s="2"/>
      <c r="D525" s="4"/>
      <c r="E525" s="16"/>
      <c r="F525" s="4"/>
      <c r="G525" s="16"/>
      <c r="H525" s="4"/>
      <c r="I525" s="4"/>
      <c r="J525" s="4"/>
      <c r="K525" s="2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"/>
      <c r="B526" s="4"/>
      <c r="C526" s="2"/>
      <c r="D526" s="4"/>
      <c r="E526" s="16"/>
      <c r="F526" s="4"/>
      <c r="G526" s="16"/>
      <c r="H526" s="4"/>
      <c r="I526" s="4"/>
      <c r="J526" s="4"/>
      <c r="K526" s="2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"/>
      <c r="B527" s="4"/>
      <c r="C527" s="2"/>
      <c r="D527" s="4"/>
      <c r="E527" s="16"/>
      <c r="F527" s="4"/>
      <c r="G527" s="16"/>
      <c r="H527" s="4"/>
      <c r="I527" s="4"/>
      <c r="J527" s="4"/>
      <c r="K527" s="2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"/>
      <c r="B528" s="4"/>
      <c r="C528" s="2"/>
      <c r="D528" s="4"/>
      <c r="E528" s="16"/>
      <c r="F528" s="4"/>
      <c r="G528" s="16"/>
      <c r="H528" s="4"/>
      <c r="I528" s="4"/>
      <c r="J528" s="4"/>
      <c r="K528" s="2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"/>
      <c r="B529" s="4"/>
      <c r="C529" s="2"/>
      <c r="D529" s="4"/>
      <c r="E529" s="16"/>
      <c r="F529" s="4"/>
      <c r="G529" s="16"/>
      <c r="H529" s="4"/>
      <c r="I529" s="4"/>
      <c r="J529" s="4"/>
      <c r="K529" s="2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"/>
      <c r="B530" s="4"/>
      <c r="C530" s="2"/>
      <c r="D530" s="4"/>
      <c r="E530" s="16"/>
      <c r="F530" s="4"/>
      <c r="G530" s="16"/>
      <c r="H530" s="4"/>
      <c r="I530" s="4"/>
      <c r="J530" s="4"/>
      <c r="K530" s="2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"/>
      <c r="B531" s="4"/>
      <c r="C531" s="2"/>
      <c r="D531" s="4"/>
      <c r="E531" s="16"/>
      <c r="F531" s="4"/>
      <c r="G531" s="16"/>
      <c r="H531" s="4"/>
      <c r="I531" s="4"/>
      <c r="J531" s="4"/>
      <c r="K531" s="2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"/>
      <c r="B532" s="4"/>
      <c r="C532" s="2"/>
      <c r="D532" s="4"/>
      <c r="E532" s="16"/>
      <c r="F532" s="4"/>
      <c r="G532" s="16"/>
      <c r="H532" s="4"/>
      <c r="I532" s="4"/>
      <c r="J532" s="4"/>
      <c r="K532" s="2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"/>
      <c r="B533" s="4"/>
      <c r="C533" s="2"/>
      <c r="D533" s="4"/>
      <c r="E533" s="16"/>
      <c r="F533" s="4"/>
      <c r="G533" s="16"/>
      <c r="H533" s="4"/>
      <c r="I533" s="4"/>
      <c r="J533" s="4"/>
      <c r="K533" s="2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"/>
      <c r="B534" s="4"/>
      <c r="C534" s="2"/>
      <c r="D534" s="4"/>
      <c r="E534" s="16"/>
      <c r="F534" s="4"/>
      <c r="G534" s="16"/>
      <c r="H534" s="4"/>
      <c r="I534" s="4"/>
      <c r="J534" s="4"/>
      <c r="K534" s="2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"/>
      <c r="B535" s="4"/>
      <c r="C535" s="2"/>
      <c r="D535" s="4"/>
      <c r="E535" s="16"/>
      <c r="F535" s="4"/>
      <c r="G535" s="16"/>
      <c r="H535" s="4"/>
      <c r="I535" s="4"/>
      <c r="J535" s="4"/>
      <c r="K535" s="2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"/>
      <c r="B536" s="4"/>
      <c r="C536" s="2"/>
      <c r="D536" s="4"/>
      <c r="E536" s="16"/>
      <c r="F536" s="4"/>
      <c r="G536" s="16"/>
      <c r="H536" s="4"/>
      <c r="I536" s="4"/>
      <c r="J536" s="4"/>
      <c r="K536" s="2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"/>
      <c r="B537" s="4"/>
      <c r="C537" s="2"/>
      <c r="D537" s="4"/>
      <c r="E537" s="16"/>
      <c r="F537" s="4"/>
      <c r="G537" s="16"/>
      <c r="H537" s="4"/>
      <c r="I537" s="4"/>
      <c r="J537" s="4"/>
      <c r="K537" s="2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"/>
      <c r="B538" s="4"/>
      <c r="C538" s="2"/>
      <c r="D538" s="4"/>
      <c r="E538" s="16"/>
      <c r="F538" s="4"/>
      <c r="G538" s="16"/>
      <c r="H538" s="4"/>
      <c r="I538" s="4"/>
      <c r="J538" s="4"/>
      <c r="K538" s="2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"/>
      <c r="B539" s="4"/>
      <c r="C539" s="2"/>
      <c r="D539" s="4"/>
      <c r="E539" s="16"/>
      <c r="F539" s="4"/>
      <c r="G539" s="16"/>
      <c r="H539" s="4"/>
      <c r="I539" s="4"/>
      <c r="J539" s="4"/>
      <c r="K539" s="2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"/>
      <c r="B540" s="4"/>
      <c r="C540" s="2"/>
      <c r="D540" s="4"/>
      <c r="E540" s="16"/>
      <c r="F540" s="4"/>
      <c r="G540" s="16"/>
      <c r="H540" s="4"/>
      <c r="I540" s="4"/>
      <c r="J540" s="4"/>
      <c r="K540" s="2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"/>
      <c r="B541" s="4"/>
      <c r="C541" s="2"/>
      <c r="D541" s="4"/>
      <c r="E541" s="16"/>
      <c r="F541" s="4"/>
      <c r="G541" s="16"/>
      <c r="H541" s="4"/>
      <c r="I541" s="4"/>
      <c r="J541" s="4"/>
      <c r="K541" s="2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"/>
      <c r="B542" s="4"/>
      <c r="C542" s="2"/>
      <c r="D542" s="4"/>
      <c r="E542" s="16"/>
      <c r="F542" s="4"/>
      <c r="G542" s="16"/>
      <c r="H542" s="4"/>
      <c r="I542" s="4"/>
      <c r="J542" s="4"/>
      <c r="K542" s="2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"/>
      <c r="B543" s="4"/>
      <c r="C543" s="2"/>
      <c r="D543" s="4"/>
      <c r="E543" s="16"/>
      <c r="F543" s="4"/>
      <c r="G543" s="16"/>
      <c r="H543" s="4"/>
      <c r="I543" s="4"/>
      <c r="J543" s="4"/>
      <c r="K543" s="2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"/>
      <c r="B544" s="4"/>
      <c r="C544" s="2"/>
      <c r="D544" s="4"/>
      <c r="E544" s="16"/>
      <c r="F544" s="4"/>
      <c r="G544" s="16"/>
      <c r="H544" s="4"/>
      <c r="I544" s="4"/>
      <c r="J544" s="4"/>
      <c r="K544" s="2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"/>
      <c r="B545" s="4"/>
      <c r="C545" s="2"/>
      <c r="D545" s="4"/>
      <c r="E545" s="16"/>
      <c r="F545" s="4"/>
      <c r="G545" s="16"/>
      <c r="H545" s="4"/>
      <c r="I545" s="4"/>
      <c r="J545" s="4"/>
      <c r="K545" s="2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"/>
      <c r="B546" s="4"/>
      <c r="C546" s="2"/>
      <c r="D546" s="4"/>
      <c r="E546" s="16"/>
      <c r="F546" s="4"/>
      <c r="G546" s="16"/>
      <c r="H546" s="4"/>
      <c r="I546" s="4"/>
      <c r="J546" s="4"/>
      <c r="K546" s="2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"/>
      <c r="B547" s="4"/>
      <c r="C547" s="2"/>
      <c r="D547" s="4"/>
      <c r="E547" s="16"/>
      <c r="F547" s="4"/>
      <c r="G547" s="16"/>
      <c r="H547" s="4"/>
      <c r="I547" s="4"/>
      <c r="J547" s="4"/>
      <c r="K547" s="2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"/>
      <c r="B548" s="4"/>
      <c r="C548" s="2"/>
      <c r="D548" s="4"/>
      <c r="E548" s="16"/>
      <c r="F548" s="4"/>
      <c r="G548" s="16"/>
      <c r="H548" s="4"/>
      <c r="I548" s="4"/>
      <c r="J548" s="4"/>
      <c r="K548" s="2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"/>
      <c r="B549" s="4"/>
      <c r="C549" s="2"/>
      <c r="D549" s="4"/>
      <c r="E549" s="16"/>
      <c r="F549" s="4"/>
      <c r="G549" s="16"/>
      <c r="H549" s="4"/>
      <c r="I549" s="4"/>
      <c r="J549" s="4"/>
      <c r="K549" s="2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"/>
      <c r="B550" s="4"/>
      <c r="C550" s="2"/>
      <c r="D550" s="4"/>
      <c r="E550" s="16"/>
      <c r="F550" s="4"/>
      <c r="G550" s="16"/>
      <c r="H550" s="4"/>
      <c r="I550" s="4"/>
      <c r="J550" s="4"/>
      <c r="K550" s="2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"/>
      <c r="B551" s="4"/>
      <c r="C551" s="2"/>
      <c r="D551" s="4"/>
      <c r="E551" s="16"/>
      <c r="F551" s="4"/>
      <c r="G551" s="16"/>
      <c r="H551" s="4"/>
      <c r="I551" s="4"/>
      <c r="J551" s="4"/>
      <c r="K551" s="2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"/>
      <c r="B552" s="4"/>
      <c r="C552" s="2"/>
      <c r="D552" s="4"/>
      <c r="E552" s="16"/>
      <c r="F552" s="4"/>
      <c r="G552" s="16"/>
      <c r="H552" s="4"/>
      <c r="I552" s="4"/>
      <c r="J552" s="4"/>
      <c r="K552" s="2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"/>
      <c r="B553" s="4"/>
      <c r="C553" s="2"/>
      <c r="D553" s="4"/>
      <c r="E553" s="16"/>
      <c r="F553" s="4"/>
      <c r="G553" s="16"/>
      <c r="H553" s="4"/>
      <c r="I553" s="4"/>
      <c r="J553" s="4"/>
      <c r="K553" s="2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"/>
      <c r="B554" s="4"/>
      <c r="C554" s="2"/>
      <c r="D554" s="4"/>
      <c r="E554" s="16"/>
      <c r="F554" s="4"/>
      <c r="G554" s="16"/>
      <c r="H554" s="4"/>
      <c r="I554" s="4"/>
      <c r="J554" s="4"/>
      <c r="K554" s="2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"/>
      <c r="B555" s="4"/>
      <c r="C555" s="2"/>
      <c r="D555" s="4"/>
      <c r="E555" s="16"/>
      <c r="F555" s="4"/>
      <c r="G555" s="16"/>
      <c r="H555" s="4"/>
      <c r="I555" s="4"/>
      <c r="J555" s="4"/>
      <c r="K555" s="2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"/>
      <c r="B556" s="4"/>
      <c r="C556" s="2"/>
      <c r="D556" s="4"/>
      <c r="E556" s="16"/>
      <c r="F556" s="4"/>
      <c r="G556" s="16"/>
      <c r="H556" s="4"/>
      <c r="I556" s="4"/>
      <c r="J556" s="4"/>
      <c r="K556" s="2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"/>
      <c r="B557" s="4"/>
      <c r="C557" s="2"/>
      <c r="D557" s="4"/>
      <c r="E557" s="16"/>
      <c r="F557" s="4"/>
      <c r="G557" s="16"/>
      <c r="H557" s="4"/>
      <c r="I557" s="4"/>
      <c r="J557" s="4"/>
      <c r="K557" s="2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"/>
      <c r="B558" s="4"/>
      <c r="C558" s="2"/>
      <c r="D558" s="4"/>
      <c r="E558" s="16"/>
      <c r="F558" s="4"/>
      <c r="G558" s="16"/>
      <c r="H558" s="4"/>
      <c r="I558" s="4"/>
      <c r="J558" s="4"/>
      <c r="K558" s="2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"/>
      <c r="B559" s="4"/>
      <c r="C559" s="2"/>
      <c r="D559" s="4"/>
      <c r="E559" s="16"/>
      <c r="F559" s="4"/>
      <c r="G559" s="16"/>
      <c r="H559" s="4"/>
      <c r="I559" s="4"/>
      <c r="J559" s="4"/>
      <c r="K559" s="2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"/>
      <c r="B560" s="4"/>
      <c r="C560" s="2"/>
      <c r="D560" s="4"/>
      <c r="E560" s="16"/>
      <c r="F560" s="4"/>
      <c r="G560" s="16"/>
      <c r="H560" s="4"/>
      <c r="I560" s="4"/>
      <c r="J560" s="4"/>
      <c r="K560" s="2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"/>
      <c r="B561" s="4"/>
      <c r="C561" s="2"/>
      <c r="D561" s="4"/>
      <c r="E561" s="16"/>
      <c r="F561" s="4"/>
      <c r="G561" s="16"/>
      <c r="H561" s="4"/>
      <c r="I561" s="4"/>
      <c r="J561" s="4"/>
      <c r="K561" s="2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"/>
      <c r="B562" s="4"/>
      <c r="C562" s="2"/>
      <c r="D562" s="4"/>
      <c r="E562" s="16"/>
      <c r="F562" s="4"/>
      <c r="G562" s="16"/>
      <c r="H562" s="4"/>
      <c r="I562" s="4"/>
      <c r="J562" s="4"/>
      <c r="K562" s="2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"/>
      <c r="B563" s="4"/>
      <c r="C563" s="2"/>
      <c r="D563" s="4"/>
      <c r="E563" s="16"/>
      <c r="F563" s="4"/>
      <c r="G563" s="16"/>
      <c r="H563" s="4"/>
      <c r="I563" s="4"/>
      <c r="J563" s="4"/>
      <c r="K563" s="2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"/>
      <c r="B564" s="4"/>
      <c r="C564" s="2"/>
      <c r="D564" s="4"/>
      <c r="E564" s="16"/>
      <c r="F564" s="4"/>
      <c r="G564" s="16"/>
      <c r="H564" s="4"/>
      <c r="I564" s="4"/>
      <c r="J564" s="4"/>
      <c r="K564" s="2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"/>
      <c r="B565" s="4"/>
      <c r="C565" s="2"/>
      <c r="D565" s="4"/>
      <c r="E565" s="16"/>
      <c r="F565" s="4"/>
      <c r="G565" s="16"/>
      <c r="H565" s="4"/>
      <c r="I565" s="4"/>
      <c r="J565" s="4"/>
      <c r="K565" s="2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"/>
      <c r="B566" s="4"/>
      <c r="C566" s="2"/>
      <c r="D566" s="4"/>
      <c r="E566" s="16"/>
      <c r="F566" s="4"/>
      <c r="G566" s="16"/>
      <c r="H566" s="4"/>
      <c r="I566" s="4"/>
      <c r="J566" s="4"/>
      <c r="K566" s="2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"/>
      <c r="B567" s="4"/>
      <c r="C567" s="2"/>
      <c r="D567" s="4"/>
      <c r="E567" s="16"/>
      <c r="F567" s="4"/>
      <c r="G567" s="16"/>
      <c r="H567" s="4"/>
      <c r="I567" s="4"/>
      <c r="J567" s="4"/>
      <c r="K567" s="2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"/>
      <c r="B568" s="4"/>
      <c r="C568" s="2"/>
      <c r="D568" s="4"/>
      <c r="E568" s="16"/>
      <c r="F568" s="4"/>
      <c r="G568" s="16"/>
      <c r="H568" s="4"/>
      <c r="I568" s="4"/>
      <c r="J568" s="4"/>
      <c r="K568" s="2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"/>
      <c r="B569" s="4"/>
      <c r="C569" s="2"/>
      <c r="D569" s="4"/>
      <c r="E569" s="16"/>
      <c r="F569" s="4"/>
      <c r="G569" s="16"/>
      <c r="H569" s="4"/>
      <c r="I569" s="4"/>
      <c r="J569" s="4"/>
      <c r="K569" s="2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"/>
      <c r="B570" s="4"/>
      <c r="C570" s="2"/>
      <c r="D570" s="4"/>
      <c r="E570" s="16"/>
      <c r="F570" s="4"/>
      <c r="G570" s="16"/>
      <c r="H570" s="4"/>
      <c r="I570" s="4"/>
      <c r="J570" s="4"/>
      <c r="K570" s="2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"/>
      <c r="B571" s="4"/>
      <c r="C571" s="2"/>
      <c r="D571" s="4"/>
      <c r="E571" s="16"/>
      <c r="F571" s="4"/>
      <c r="G571" s="16"/>
      <c r="H571" s="4"/>
      <c r="I571" s="4"/>
      <c r="J571" s="4"/>
      <c r="K571" s="2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"/>
      <c r="B572" s="4"/>
      <c r="C572" s="2"/>
      <c r="D572" s="4"/>
      <c r="E572" s="16"/>
      <c r="F572" s="4"/>
      <c r="G572" s="16"/>
      <c r="H572" s="4"/>
      <c r="I572" s="4"/>
      <c r="J572" s="4"/>
      <c r="K572" s="2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"/>
      <c r="B573" s="4"/>
      <c r="C573" s="2"/>
      <c r="D573" s="4"/>
      <c r="E573" s="16"/>
      <c r="F573" s="4"/>
      <c r="G573" s="16"/>
      <c r="H573" s="4"/>
      <c r="I573" s="4"/>
      <c r="J573" s="4"/>
      <c r="K573" s="2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"/>
      <c r="B574" s="4"/>
      <c r="C574" s="2"/>
      <c r="D574" s="4"/>
      <c r="E574" s="16"/>
      <c r="F574" s="4"/>
      <c r="G574" s="16"/>
      <c r="H574" s="4"/>
      <c r="I574" s="4"/>
      <c r="J574" s="4"/>
      <c r="K574" s="2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"/>
      <c r="B575" s="4"/>
      <c r="C575" s="2"/>
      <c r="D575" s="4"/>
      <c r="E575" s="16"/>
      <c r="F575" s="4"/>
      <c r="G575" s="16"/>
      <c r="H575" s="4"/>
      <c r="I575" s="4"/>
      <c r="J575" s="4"/>
      <c r="K575" s="2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"/>
      <c r="B576" s="4"/>
      <c r="C576" s="2"/>
      <c r="D576" s="4"/>
      <c r="E576" s="16"/>
      <c r="F576" s="4"/>
      <c r="G576" s="16"/>
      <c r="H576" s="4"/>
      <c r="I576" s="4"/>
      <c r="J576" s="4"/>
      <c r="K576" s="2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"/>
      <c r="B577" s="4"/>
      <c r="C577" s="2"/>
      <c r="D577" s="4"/>
      <c r="E577" s="16"/>
      <c r="F577" s="4"/>
      <c r="G577" s="16"/>
      <c r="H577" s="4"/>
      <c r="I577" s="4"/>
      <c r="J577" s="4"/>
      <c r="K577" s="2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"/>
      <c r="B578" s="4"/>
      <c r="C578" s="2"/>
      <c r="D578" s="4"/>
      <c r="E578" s="16"/>
      <c r="F578" s="4"/>
      <c r="G578" s="16"/>
      <c r="H578" s="4"/>
      <c r="I578" s="4"/>
      <c r="J578" s="4"/>
      <c r="K578" s="2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"/>
      <c r="B579" s="4"/>
      <c r="C579" s="2"/>
      <c r="D579" s="4"/>
      <c r="E579" s="16"/>
      <c r="F579" s="4"/>
      <c r="G579" s="16"/>
      <c r="H579" s="4"/>
      <c r="I579" s="4"/>
      <c r="J579" s="4"/>
      <c r="K579" s="2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"/>
      <c r="B580" s="4"/>
      <c r="C580" s="2"/>
      <c r="D580" s="4"/>
      <c r="E580" s="16"/>
      <c r="F580" s="4"/>
      <c r="G580" s="16"/>
      <c r="H580" s="4"/>
      <c r="I580" s="4"/>
      <c r="J580" s="4"/>
      <c r="K580" s="2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"/>
      <c r="B581" s="4"/>
      <c r="C581" s="2"/>
      <c r="D581" s="4"/>
      <c r="E581" s="16"/>
      <c r="F581" s="4"/>
      <c r="G581" s="16"/>
      <c r="H581" s="4"/>
      <c r="I581" s="4"/>
      <c r="J581" s="4"/>
      <c r="K581" s="2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"/>
      <c r="B582" s="4"/>
      <c r="C582" s="2"/>
      <c r="D582" s="4"/>
      <c r="E582" s="16"/>
      <c r="F582" s="4"/>
      <c r="G582" s="16"/>
      <c r="H582" s="4"/>
      <c r="I582" s="4"/>
      <c r="J582" s="4"/>
      <c r="K582" s="2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"/>
      <c r="B583" s="4"/>
      <c r="C583" s="2"/>
      <c r="D583" s="4"/>
      <c r="E583" s="16"/>
      <c r="F583" s="4"/>
      <c r="G583" s="16"/>
      <c r="H583" s="4"/>
      <c r="I583" s="4"/>
      <c r="J583" s="4"/>
      <c r="K583" s="2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"/>
      <c r="B584" s="4"/>
      <c r="C584" s="2"/>
      <c r="D584" s="4"/>
      <c r="E584" s="16"/>
      <c r="F584" s="4"/>
      <c r="G584" s="16"/>
      <c r="H584" s="4"/>
      <c r="I584" s="4"/>
      <c r="J584" s="4"/>
      <c r="K584" s="2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"/>
      <c r="B585" s="4"/>
      <c r="C585" s="2"/>
      <c r="D585" s="4"/>
      <c r="E585" s="16"/>
      <c r="F585" s="4"/>
      <c r="G585" s="16"/>
      <c r="H585" s="4"/>
      <c r="I585" s="4"/>
      <c r="J585" s="4"/>
      <c r="K585" s="2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"/>
      <c r="B586" s="4"/>
      <c r="C586" s="2"/>
      <c r="D586" s="4"/>
      <c r="E586" s="16"/>
      <c r="F586" s="4"/>
      <c r="G586" s="16"/>
      <c r="H586" s="4"/>
      <c r="I586" s="4"/>
      <c r="J586" s="4"/>
      <c r="K586" s="2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"/>
      <c r="B587" s="4"/>
      <c r="C587" s="2"/>
      <c r="D587" s="4"/>
      <c r="E587" s="16"/>
      <c r="F587" s="4"/>
      <c r="G587" s="16"/>
      <c r="H587" s="4"/>
      <c r="I587" s="4"/>
      <c r="J587" s="4"/>
      <c r="K587" s="2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"/>
      <c r="B588" s="4"/>
      <c r="C588" s="2"/>
      <c r="D588" s="4"/>
      <c r="E588" s="16"/>
      <c r="F588" s="4"/>
      <c r="G588" s="16"/>
      <c r="H588" s="4"/>
      <c r="I588" s="4"/>
      <c r="J588" s="4"/>
      <c r="K588" s="2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"/>
      <c r="B589" s="4"/>
      <c r="C589" s="2"/>
      <c r="D589" s="4"/>
      <c r="E589" s="16"/>
      <c r="F589" s="4"/>
      <c r="G589" s="16"/>
      <c r="H589" s="4"/>
      <c r="I589" s="4"/>
      <c r="J589" s="4"/>
      <c r="K589" s="2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"/>
      <c r="B590" s="4"/>
      <c r="C590" s="2"/>
      <c r="D590" s="4"/>
      <c r="E590" s="16"/>
      <c r="F590" s="4"/>
      <c r="G590" s="16"/>
      <c r="H590" s="4"/>
      <c r="I590" s="4"/>
      <c r="J590" s="4"/>
      <c r="K590" s="2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"/>
      <c r="B591" s="4"/>
      <c r="C591" s="2"/>
      <c r="D591" s="4"/>
      <c r="E591" s="16"/>
      <c r="F591" s="4"/>
      <c r="G591" s="16"/>
      <c r="H591" s="4"/>
      <c r="I591" s="4"/>
      <c r="J591" s="4"/>
      <c r="K591" s="2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"/>
      <c r="B592" s="4"/>
      <c r="C592" s="2"/>
      <c r="D592" s="4"/>
      <c r="E592" s="16"/>
      <c r="F592" s="4"/>
      <c r="G592" s="16"/>
      <c r="H592" s="4"/>
      <c r="I592" s="4"/>
      <c r="J592" s="4"/>
      <c r="K592" s="2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"/>
      <c r="B593" s="4"/>
      <c r="C593" s="2"/>
      <c r="D593" s="4"/>
      <c r="E593" s="16"/>
      <c r="F593" s="4"/>
      <c r="G593" s="16"/>
      <c r="H593" s="4"/>
      <c r="I593" s="4"/>
      <c r="J593" s="4"/>
      <c r="K593" s="2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"/>
      <c r="B594" s="4"/>
      <c r="C594" s="2"/>
      <c r="D594" s="4"/>
      <c r="E594" s="16"/>
      <c r="F594" s="4"/>
      <c r="G594" s="16"/>
      <c r="H594" s="4"/>
      <c r="I594" s="4"/>
      <c r="J594" s="4"/>
      <c r="K594" s="2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"/>
      <c r="B595" s="4"/>
      <c r="C595" s="2"/>
      <c r="D595" s="4"/>
      <c r="E595" s="16"/>
      <c r="F595" s="4"/>
      <c r="G595" s="16"/>
      <c r="H595" s="4"/>
      <c r="I595" s="4"/>
      <c r="J595" s="4"/>
      <c r="K595" s="2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"/>
      <c r="B596" s="4"/>
      <c r="C596" s="2"/>
      <c r="D596" s="4"/>
      <c r="E596" s="16"/>
      <c r="F596" s="4"/>
      <c r="G596" s="16"/>
      <c r="H596" s="4"/>
      <c r="I596" s="4"/>
      <c r="J596" s="4"/>
      <c r="K596" s="2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"/>
      <c r="B597" s="4"/>
      <c r="C597" s="2"/>
      <c r="D597" s="4"/>
      <c r="E597" s="16"/>
      <c r="F597" s="4"/>
      <c r="G597" s="16"/>
      <c r="H597" s="4"/>
      <c r="I597" s="4"/>
      <c r="J597" s="4"/>
      <c r="K597" s="2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"/>
      <c r="B598" s="4"/>
      <c r="C598" s="2"/>
      <c r="D598" s="4"/>
      <c r="E598" s="16"/>
      <c r="F598" s="4"/>
      <c r="G598" s="16"/>
      <c r="H598" s="4"/>
      <c r="I598" s="4"/>
      <c r="J598" s="4"/>
      <c r="K598" s="2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"/>
      <c r="B599" s="4"/>
      <c r="C599" s="2"/>
      <c r="D599" s="4"/>
      <c r="E599" s="16"/>
      <c r="F599" s="4"/>
      <c r="G599" s="16"/>
      <c r="H599" s="4"/>
      <c r="I599" s="4"/>
      <c r="J599" s="4"/>
      <c r="K599" s="2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"/>
      <c r="B600" s="4"/>
      <c r="C600" s="2"/>
      <c r="D600" s="4"/>
      <c r="E600" s="16"/>
      <c r="F600" s="4"/>
      <c r="G600" s="16"/>
      <c r="H600" s="4"/>
      <c r="I600" s="4"/>
      <c r="J600" s="4"/>
      <c r="K600" s="2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"/>
      <c r="B601" s="4"/>
      <c r="C601" s="2"/>
      <c r="D601" s="4"/>
      <c r="E601" s="16"/>
      <c r="F601" s="4"/>
      <c r="G601" s="16"/>
      <c r="H601" s="4"/>
      <c r="I601" s="4"/>
      <c r="J601" s="4"/>
      <c r="K601" s="2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"/>
      <c r="B602" s="4"/>
      <c r="C602" s="2"/>
      <c r="D602" s="4"/>
      <c r="E602" s="16"/>
      <c r="F602" s="4"/>
      <c r="G602" s="16"/>
      <c r="H602" s="4"/>
      <c r="I602" s="4"/>
      <c r="J602" s="4"/>
      <c r="K602" s="2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"/>
      <c r="B603" s="4"/>
      <c r="C603" s="2"/>
      <c r="D603" s="4"/>
      <c r="E603" s="16"/>
      <c r="F603" s="4"/>
      <c r="G603" s="16"/>
      <c r="H603" s="4"/>
      <c r="I603" s="4"/>
      <c r="J603" s="4"/>
      <c r="K603" s="2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"/>
      <c r="B604" s="4"/>
      <c r="C604" s="2"/>
      <c r="D604" s="4"/>
      <c r="E604" s="16"/>
      <c r="F604" s="4"/>
      <c r="G604" s="16"/>
      <c r="H604" s="4"/>
      <c r="I604" s="4"/>
      <c r="J604" s="4"/>
      <c r="K604" s="2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"/>
      <c r="B605" s="4"/>
      <c r="C605" s="2"/>
      <c r="D605" s="4"/>
      <c r="E605" s="16"/>
      <c r="F605" s="4"/>
      <c r="G605" s="16"/>
      <c r="H605" s="4"/>
      <c r="I605" s="4"/>
      <c r="J605" s="4"/>
      <c r="K605" s="2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"/>
      <c r="B606" s="4"/>
      <c r="C606" s="2"/>
      <c r="D606" s="4"/>
      <c r="E606" s="16"/>
      <c r="F606" s="4"/>
      <c r="G606" s="16"/>
      <c r="H606" s="4"/>
      <c r="I606" s="4"/>
      <c r="J606" s="4"/>
      <c r="K606" s="2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"/>
      <c r="B607" s="4"/>
      <c r="C607" s="2"/>
      <c r="D607" s="4"/>
      <c r="E607" s="16"/>
      <c r="F607" s="4"/>
      <c r="G607" s="16"/>
      <c r="H607" s="4"/>
      <c r="I607" s="4"/>
      <c r="J607" s="4"/>
      <c r="K607" s="2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"/>
      <c r="B608" s="4"/>
      <c r="C608" s="2"/>
      <c r="D608" s="4"/>
      <c r="E608" s="16"/>
      <c r="F608" s="4"/>
      <c r="G608" s="16"/>
      <c r="H608" s="4"/>
      <c r="I608" s="4"/>
      <c r="J608" s="4"/>
      <c r="K608" s="2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"/>
      <c r="B609" s="4"/>
      <c r="C609" s="2"/>
      <c r="D609" s="4"/>
      <c r="E609" s="16"/>
      <c r="F609" s="4"/>
      <c r="G609" s="16"/>
      <c r="H609" s="4"/>
      <c r="I609" s="4"/>
      <c r="J609" s="4"/>
      <c r="K609" s="2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"/>
      <c r="B610" s="4"/>
      <c r="C610" s="2"/>
      <c r="D610" s="4"/>
      <c r="E610" s="16"/>
      <c r="F610" s="4"/>
      <c r="G610" s="16"/>
      <c r="H610" s="4"/>
      <c r="I610" s="4"/>
      <c r="J610" s="4"/>
      <c r="K610" s="2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"/>
      <c r="B611" s="4"/>
      <c r="C611" s="2"/>
      <c r="D611" s="4"/>
      <c r="E611" s="16"/>
      <c r="F611" s="4"/>
      <c r="G611" s="16"/>
      <c r="H611" s="4"/>
      <c r="I611" s="4"/>
      <c r="J611" s="4"/>
      <c r="K611" s="2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"/>
      <c r="B612" s="4"/>
      <c r="C612" s="2"/>
      <c r="D612" s="4"/>
      <c r="E612" s="16"/>
      <c r="F612" s="4"/>
      <c r="G612" s="16"/>
      <c r="H612" s="4"/>
      <c r="I612" s="4"/>
      <c r="J612" s="4"/>
      <c r="K612" s="2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"/>
      <c r="B613" s="4"/>
      <c r="C613" s="2"/>
      <c r="D613" s="4"/>
      <c r="E613" s="16"/>
      <c r="F613" s="4"/>
      <c r="G613" s="16"/>
      <c r="H613" s="4"/>
      <c r="I613" s="4"/>
      <c r="J613" s="4"/>
      <c r="K613" s="2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"/>
      <c r="B614" s="4"/>
      <c r="C614" s="2"/>
      <c r="D614" s="4"/>
      <c r="E614" s="16"/>
      <c r="F614" s="4"/>
      <c r="G614" s="16"/>
      <c r="H614" s="4"/>
      <c r="I614" s="4"/>
      <c r="J614" s="4"/>
      <c r="K614" s="2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"/>
      <c r="B615" s="4"/>
      <c r="C615" s="2"/>
      <c r="D615" s="4"/>
      <c r="E615" s="16"/>
      <c r="F615" s="4"/>
      <c r="G615" s="16"/>
      <c r="H615" s="4"/>
      <c r="I615" s="4"/>
      <c r="J615" s="4"/>
      <c r="K615" s="2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"/>
      <c r="B616" s="4"/>
      <c r="C616" s="2"/>
      <c r="D616" s="4"/>
      <c r="E616" s="16"/>
      <c r="F616" s="4"/>
      <c r="G616" s="16"/>
      <c r="H616" s="4"/>
      <c r="I616" s="4"/>
      <c r="J616" s="4"/>
      <c r="K616" s="2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"/>
      <c r="B617" s="4"/>
      <c r="C617" s="2"/>
      <c r="D617" s="4"/>
      <c r="E617" s="16"/>
      <c r="F617" s="4"/>
      <c r="G617" s="16"/>
      <c r="H617" s="4"/>
      <c r="I617" s="4"/>
      <c r="J617" s="4"/>
      <c r="K617" s="2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"/>
      <c r="B618" s="4"/>
      <c r="C618" s="2"/>
      <c r="D618" s="4"/>
      <c r="E618" s="16"/>
      <c r="F618" s="4"/>
      <c r="G618" s="16"/>
      <c r="H618" s="4"/>
      <c r="I618" s="4"/>
      <c r="J618" s="4"/>
      <c r="K618" s="2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"/>
      <c r="B619" s="4"/>
      <c r="C619" s="2"/>
      <c r="D619" s="4"/>
      <c r="E619" s="16"/>
      <c r="F619" s="4"/>
      <c r="G619" s="16"/>
      <c r="H619" s="4"/>
      <c r="I619" s="4"/>
      <c r="J619" s="4"/>
      <c r="K619" s="2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"/>
      <c r="B620" s="4"/>
      <c r="C620" s="2"/>
      <c r="D620" s="4"/>
      <c r="E620" s="16"/>
      <c r="F620" s="4"/>
      <c r="G620" s="16"/>
      <c r="H620" s="4"/>
      <c r="I620" s="4"/>
      <c r="J620" s="4"/>
      <c r="K620" s="2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"/>
      <c r="B621" s="4"/>
      <c r="C621" s="2"/>
      <c r="D621" s="4"/>
      <c r="E621" s="16"/>
      <c r="F621" s="4"/>
      <c r="G621" s="16"/>
      <c r="H621" s="4"/>
      <c r="I621" s="4"/>
      <c r="J621" s="4"/>
      <c r="K621" s="2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"/>
      <c r="B622" s="4"/>
      <c r="C622" s="2"/>
      <c r="D622" s="4"/>
      <c r="E622" s="16"/>
      <c r="F622" s="4"/>
      <c r="G622" s="16"/>
      <c r="H622" s="4"/>
      <c r="I622" s="4"/>
      <c r="J622" s="4"/>
      <c r="K622" s="2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"/>
      <c r="B623" s="4"/>
      <c r="C623" s="2"/>
      <c r="D623" s="4"/>
      <c r="E623" s="16"/>
      <c r="F623" s="4"/>
      <c r="G623" s="16"/>
      <c r="H623" s="4"/>
      <c r="I623" s="4"/>
      <c r="J623" s="4"/>
      <c r="K623" s="2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"/>
      <c r="B624" s="4"/>
      <c r="C624" s="2"/>
      <c r="D624" s="4"/>
      <c r="E624" s="16"/>
      <c r="F624" s="4"/>
      <c r="G624" s="16"/>
      <c r="H624" s="4"/>
      <c r="I624" s="4"/>
      <c r="J624" s="4"/>
      <c r="K624" s="2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"/>
      <c r="B625" s="4"/>
      <c r="C625" s="2"/>
      <c r="D625" s="4"/>
      <c r="E625" s="16"/>
      <c r="F625" s="4"/>
      <c r="G625" s="16"/>
      <c r="H625" s="4"/>
      <c r="I625" s="4"/>
      <c r="J625" s="4"/>
      <c r="K625" s="2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"/>
      <c r="B626" s="4"/>
      <c r="C626" s="2"/>
      <c r="D626" s="4"/>
      <c r="E626" s="16"/>
      <c r="F626" s="4"/>
      <c r="G626" s="16"/>
      <c r="H626" s="4"/>
      <c r="I626" s="4"/>
      <c r="J626" s="4"/>
      <c r="K626" s="2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"/>
      <c r="B627" s="4"/>
      <c r="C627" s="2"/>
      <c r="D627" s="4"/>
      <c r="E627" s="16"/>
      <c r="F627" s="4"/>
      <c r="G627" s="16"/>
      <c r="H627" s="4"/>
      <c r="I627" s="4"/>
      <c r="J627" s="4"/>
      <c r="K627" s="2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"/>
      <c r="B628" s="4"/>
      <c r="C628" s="2"/>
      <c r="D628" s="4"/>
      <c r="E628" s="16"/>
      <c r="F628" s="4"/>
      <c r="G628" s="16"/>
      <c r="H628" s="4"/>
      <c r="I628" s="4"/>
      <c r="J628" s="4"/>
      <c r="K628" s="2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"/>
      <c r="B629" s="4"/>
      <c r="C629" s="2"/>
      <c r="D629" s="4"/>
      <c r="E629" s="16"/>
      <c r="F629" s="4"/>
      <c r="G629" s="16"/>
      <c r="H629" s="4"/>
      <c r="I629" s="4"/>
      <c r="J629" s="4"/>
      <c r="K629" s="2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"/>
      <c r="B630" s="4"/>
      <c r="C630" s="2"/>
      <c r="D630" s="4"/>
      <c r="E630" s="16"/>
      <c r="F630" s="4"/>
      <c r="G630" s="16"/>
      <c r="H630" s="4"/>
      <c r="I630" s="4"/>
      <c r="J630" s="4"/>
      <c r="K630" s="2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"/>
      <c r="B631" s="4"/>
      <c r="C631" s="2"/>
      <c r="D631" s="4"/>
      <c r="E631" s="16"/>
      <c r="F631" s="4"/>
      <c r="G631" s="16"/>
      <c r="H631" s="4"/>
      <c r="I631" s="4"/>
      <c r="J631" s="4"/>
      <c r="K631" s="2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"/>
      <c r="B632" s="4"/>
      <c r="C632" s="2"/>
      <c r="D632" s="4"/>
      <c r="E632" s="16"/>
      <c r="F632" s="4"/>
      <c r="G632" s="16"/>
      <c r="H632" s="4"/>
      <c r="I632" s="4"/>
      <c r="J632" s="4"/>
      <c r="K632" s="2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"/>
      <c r="B633" s="4"/>
      <c r="C633" s="2"/>
      <c r="D633" s="4"/>
      <c r="E633" s="16"/>
      <c r="F633" s="4"/>
      <c r="G633" s="16"/>
      <c r="H633" s="4"/>
      <c r="I633" s="4"/>
      <c r="J633" s="4"/>
      <c r="K633" s="2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"/>
      <c r="B634" s="4"/>
      <c r="C634" s="2"/>
      <c r="D634" s="4"/>
      <c r="E634" s="16"/>
      <c r="F634" s="4"/>
      <c r="G634" s="16"/>
      <c r="H634" s="4"/>
      <c r="I634" s="4"/>
      <c r="J634" s="4"/>
      <c r="K634" s="2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"/>
      <c r="B635" s="4"/>
      <c r="C635" s="2"/>
      <c r="D635" s="4"/>
      <c r="E635" s="16"/>
      <c r="F635" s="4"/>
      <c r="G635" s="16"/>
      <c r="H635" s="4"/>
      <c r="I635" s="4"/>
      <c r="J635" s="4"/>
      <c r="K635" s="2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"/>
      <c r="B636" s="4"/>
      <c r="C636" s="2"/>
      <c r="D636" s="4"/>
      <c r="E636" s="16"/>
      <c r="F636" s="4"/>
      <c r="G636" s="16"/>
      <c r="H636" s="4"/>
      <c r="I636" s="4"/>
      <c r="J636" s="4"/>
      <c r="K636" s="2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"/>
      <c r="B637" s="4"/>
      <c r="C637" s="2"/>
      <c r="D637" s="4"/>
      <c r="E637" s="16"/>
      <c r="F637" s="4"/>
      <c r="G637" s="16"/>
      <c r="H637" s="4"/>
      <c r="I637" s="4"/>
      <c r="J637" s="4"/>
      <c r="K637" s="2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"/>
      <c r="B638" s="4"/>
      <c r="C638" s="2"/>
      <c r="D638" s="4"/>
      <c r="E638" s="16"/>
      <c r="F638" s="4"/>
      <c r="G638" s="16"/>
      <c r="H638" s="4"/>
      <c r="I638" s="4"/>
      <c r="J638" s="4"/>
      <c r="K638" s="2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"/>
      <c r="B639" s="4"/>
      <c r="C639" s="2"/>
      <c r="D639" s="4"/>
      <c r="E639" s="16"/>
      <c r="F639" s="4"/>
      <c r="G639" s="16"/>
      <c r="H639" s="4"/>
      <c r="I639" s="4"/>
      <c r="J639" s="4"/>
      <c r="K639" s="2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"/>
      <c r="B640" s="4"/>
      <c r="C640" s="2"/>
      <c r="D640" s="4"/>
      <c r="E640" s="16"/>
      <c r="F640" s="4"/>
      <c r="G640" s="16"/>
      <c r="H640" s="4"/>
      <c r="I640" s="4"/>
      <c r="J640" s="4"/>
      <c r="K640" s="2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"/>
      <c r="B641" s="4"/>
      <c r="C641" s="2"/>
      <c r="D641" s="4"/>
      <c r="E641" s="16"/>
      <c r="F641" s="4"/>
      <c r="G641" s="16"/>
      <c r="H641" s="4"/>
      <c r="I641" s="4"/>
      <c r="J641" s="4"/>
      <c r="K641" s="2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"/>
      <c r="B642" s="4"/>
      <c r="C642" s="2"/>
      <c r="D642" s="4"/>
      <c r="E642" s="16"/>
      <c r="F642" s="4"/>
      <c r="G642" s="16"/>
      <c r="H642" s="4"/>
      <c r="I642" s="4"/>
      <c r="J642" s="4"/>
      <c r="K642" s="2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"/>
      <c r="B643" s="4"/>
      <c r="C643" s="2"/>
      <c r="D643" s="4"/>
      <c r="E643" s="16"/>
      <c r="F643" s="4"/>
      <c r="G643" s="16"/>
      <c r="H643" s="4"/>
      <c r="I643" s="4"/>
      <c r="J643" s="4"/>
      <c r="K643" s="2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"/>
      <c r="B644" s="4"/>
      <c r="C644" s="2"/>
      <c r="D644" s="4"/>
      <c r="E644" s="16"/>
      <c r="F644" s="4"/>
      <c r="G644" s="16"/>
      <c r="H644" s="4"/>
      <c r="I644" s="4"/>
      <c r="J644" s="4"/>
      <c r="K644" s="2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"/>
      <c r="B645" s="4"/>
      <c r="C645" s="2"/>
      <c r="D645" s="4"/>
      <c r="E645" s="16"/>
      <c r="F645" s="4"/>
      <c r="G645" s="16"/>
      <c r="H645" s="4"/>
      <c r="I645" s="4"/>
      <c r="J645" s="4"/>
      <c r="K645" s="2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"/>
      <c r="B646" s="4"/>
      <c r="C646" s="2"/>
      <c r="D646" s="4"/>
      <c r="E646" s="16"/>
      <c r="F646" s="4"/>
      <c r="G646" s="16"/>
      <c r="H646" s="4"/>
      <c r="I646" s="4"/>
      <c r="J646" s="4"/>
      <c r="K646" s="2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"/>
      <c r="B647" s="4"/>
      <c r="C647" s="2"/>
      <c r="D647" s="4"/>
      <c r="E647" s="16"/>
      <c r="F647" s="4"/>
      <c r="G647" s="16"/>
      <c r="H647" s="4"/>
      <c r="I647" s="4"/>
      <c r="J647" s="4"/>
      <c r="K647" s="2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"/>
      <c r="B648" s="4"/>
      <c r="C648" s="2"/>
      <c r="D648" s="4"/>
      <c r="E648" s="16"/>
      <c r="F648" s="4"/>
      <c r="G648" s="16"/>
      <c r="H648" s="4"/>
      <c r="I648" s="4"/>
      <c r="J648" s="4"/>
      <c r="K648" s="2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"/>
      <c r="B649" s="4"/>
      <c r="C649" s="2"/>
      <c r="D649" s="4"/>
      <c r="E649" s="16"/>
      <c r="F649" s="4"/>
      <c r="G649" s="16"/>
      <c r="H649" s="4"/>
      <c r="I649" s="4"/>
      <c r="J649" s="4"/>
      <c r="K649" s="2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"/>
      <c r="B650" s="4"/>
      <c r="C650" s="2"/>
      <c r="D650" s="4"/>
      <c r="E650" s="16"/>
      <c r="F650" s="4"/>
      <c r="G650" s="16"/>
      <c r="H650" s="4"/>
      <c r="I650" s="4"/>
      <c r="J650" s="4"/>
      <c r="K650" s="2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"/>
      <c r="B651" s="4"/>
      <c r="C651" s="2"/>
      <c r="D651" s="4"/>
      <c r="E651" s="16"/>
      <c r="F651" s="4"/>
      <c r="G651" s="16"/>
      <c r="H651" s="4"/>
      <c r="I651" s="4"/>
      <c r="J651" s="4"/>
      <c r="K651" s="2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"/>
      <c r="B652" s="4"/>
      <c r="C652" s="2"/>
      <c r="D652" s="4"/>
      <c r="E652" s="16"/>
      <c r="F652" s="4"/>
      <c r="G652" s="16"/>
      <c r="H652" s="4"/>
      <c r="I652" s="4"/>
      <c r="J652" s="4"/>
      <c r="K652" s="2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"/>
      <c r="B653" s="4"/>
      <c r="C653" s="2"/>
      <c r="D653" s="4"/>
      <c r="E653" s="16"/>
      <c r="F653" s="4"/>
      <c r="G653" s="16"/>
      <c r="H653" s="4"/>
      <c r="I653" s="4"/>
      <c r="J653" s="4"/>
      <c r="K653" s="2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"/>
      <c r="B654" s="4"/>
      <c r="C654" s="2"/>
      <c r="D654" s="4"/>
      <c r="E654" s="16"/>
      <c r="F654" s="4"/>
      <c r="G654" s="16"/>
      <c r="H654" s="4"/>
      <c r="I654" s="4"/>
      <c r="J654" s="4"/>
      <c r="K654" s="2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"/>
      <c r="B655" s="4"/>
      <c r="C655" s="2"/>
      <c r="D655" s="4"/>
      <c r="E655" s="16"/>
      <c r="F655" s="4"/>
      <c r="G655" s="16"/>
      <c r="H655" s="4"/>
      <c r="I655" s="4"/>
      <c r="J655" s="4"/>
      <c r="K655" s="2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"/>
      <c r="B656" s="4"/>
      <c r="C656" s="2"/>
      <c r="D656" s="4"/>
      <c r="E656" s="16"/>
      <c r="F656" s="4"/>
      <c r="G656" s="16"/>
      <c r="H656" s="4"/>
      <c r="I656" s="4"/>
      <c r="J656" s="4"/>
      <c r="K656" s="2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"/>
      <c r="B657" s="4"/>
      <c r="C657" s="2"/>
      <c r="D657" s="4"/>
      <c r="E657" s="16"/>
      <c r="F657" s="4"/>
      <c r="G657" s="16"/>
      <c r="H657" s="4"/>
      <c r="I657" s="4"/>
      <c r="J657" s="4"/>
      <c r="K657" s="2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"/>
      <c r="B658" s="4"/>
      <c r="C658" s="2"/>
      <c r="D658" s="4"/>
      <c r="E658" s="16"/>
      <c r="F658" s="4"/>
      <c r="G658" s="16"/>
      <c r="H658" s="4"/>
      <c r="I658" s="4"/>
      <c r="J658" s="4"/>
      <c r="K658" s="2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"/>
      <c r="B659" s="4"/>
      <c r="C659" s="2"/>
      <c r="D659" s="4"/>
      <c r="E659" s="16"/>
      <c r="F659" s="4"/>
      <c r="G659" s="16"/>
      <c r="H659" s="4"/>
      <c r="I659" s="4"/>
      <c r="J659" s="4"/>
      <c r="K659" s="2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"/>
      <c r="B660" s="4"/>
      <c r="C660" s="2"/>
      <c r="D660" s="4"/>
      <c r="E660" s="16"/>
      <c r="F660" s="4"/>
      <c r="G660" s="16"/>
      <c r="H660" s="4"/>
      <c r="I660" s="4"/>
      <c r="J660" s="4"/>
      <c r="K660" s="2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"/>
      <c r="B661" s="4"/>
      <c r="C661" s="2"/>
      <c r="D661" s="4"/>
      <c r="E661" s="16"/>
      <c r="F661" s="4"/>
      <c r="G661" s="16"/>
      <c r="H661" s="4"/>
      <c r="I661" s="4"/>
      <c r="J661" s="4"/>
      <c r="K661" s="2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"/>
      <c r="B662" s="4"/>
      <c r="C662" s="2"/>
      <c r="D662" s="4"/>
      <c r="E662" s="16"/>
      <c r="F662" s="4"/>
      <c r="G662" s="16"/>
      <c r="H662" s="4"/>
      <c r="I662" s="4"/>
      <c r="J662" s="4"/>
      <c r="K662" s="2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"/>
      <c r="B663" s="4"/>
      <c r="C663" s="2"/>
      <c r="D663" s="4"/>
      <c r="E663" s="16"/>
      <c r="F663" s="4"/>
      <c r="G663" s="16"/>
      <c r="H663" s="4"/>
      <c r="I663" s="4"/>
      <c r="J663" s="4"/>
      <c r="K663" s="2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"/>
      <c r="B664" s="4"/>
      <c r="C664" s="2"/>
      <c r="D664" s="4"/>
      <c r="E664" s="16"/>
      <c r="F664" s="4"/>
      <c r="G664" s="16"/>
      <c r="H664" s="4"/>
      <c r="I664" s="4"/>
      <c r="J664" s="4"/>
      <c r="K664" s="2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"/>
      <c r="B665" s="4"/>
      <c r="C665" s="2"/>
      <c r="D665" s="4"/>
      <c r="E665" s="16"/>
      <c r="F665" s="4"/>
      <c r="G665" s="16"/>
      <c r="H665" s="4"/>
      <c r="I665" s="4"/>
      <c r="J665" s="4"/>
      <c r="K665" s="2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"/>
      <c r="B666" s="4"/>
      <c r="C666" s="2"/>
      <c r="D666" s="4"/>
      <c r="E666" s="16"/>
      <c r="F666" s="4"/>
      <c r="G666" s="16"/>
      <c r="H666" s="4"/>
      <c r="I666" s="4"/>
      <c r="J666" s="4"/>
      <c r="K666" s="2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"/>
      <c r="B667" s="4"/>
      <c r="C667" s="2"/>
      <c r="D667" s="4"/>
      <c r="E667" s="16"/>
      <c r="F667" s="4"/>
      <c r="G667" s="16"/>
      <c r="H667" s="4"/>
      <c r="I667" s="4"/>
      <c r="J667" s="4"/>
      <c r="K667" s="2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"/>
      <c r="B668" s="4"/>
      <c r="C668" s="2"/>
      <c r="D668" s="4"/>
      <c r="E668" s="16"/>
      <c r="F668" s="4"/>
      <c r="G668" s="16"/>
      <c r="H668" s="4"/>
      <c r="I668" s="4"/>
      <c r="J668" s="4"/>
      <c r="K668" s="2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"/>
      <c r="B669" s="4"/>
      <c r="C669" s="2"/>
      <c r="D669" s="4"/>
      <c r="E669" s="16"/>
      <c r="F669" s="4"/>
      <c r="G669" s="16"/>
      <c r="H669" s="4"/>
      <c r="I669" s="4"/>
      <c r="J669" s="4"/>
      <c r="K669" s="2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"/>
      <c r="B670" s="4"/>
      <c r="C670" s="2"/>
      <c r="D670" s="4"/>
      <c r="E670" s="16"/>
      <c r="F670" s="4"/>
      <c r="G670" s="16"/>
      <c r="H670" s="4"/>
      <c r="I670" s="4"/>
      <c r="J670" s="4"/>
      <c r="K670" s="2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"/>
      <c r="B671" s="4"/>
      <c r="C671" s="2"/>
      <c r="D671" s="4"/>
      <c r="E671" s="16"/>
      <c r="F671" s="4"/>
      <c r="G671" s="16"/>
      <c r="H671" s="4"/>
      <c r="I671" s="4"/>
      <c r="J671" s="4"/>
      <c r="K671" s="2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"/>
      <c r="B672" s="4"/>
      <c r="C672" s="2"/>
      <c r="D672" s="4"/>
      <c r="E672" s="16"/>
      <c r="F672" s="4"/>
      <c r="G672" s="16"/>
      <c r="H672" s="4"/>
      <c r="I672" s="4"/>
      <c r="J672" s="4"/>
      <c r="K672" s="2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"/>
      <c r="B673" s="4"/>
      <c r="C673" s="2"/>
      <c r="D673" s="4"/>
      <c r="E673" s="16"/>
      <c r="F673" s="4"/>
      <c r="G673" s="16"/>
      <c r="H673" s="4"/>
      <c r="I673" s="4"/>
      <c r="J673" s="4"/>
      <c r="K673" s="2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"/>
      <c r="B674" s="4"/>
      <c r="C674" s="2"/>
      <c r="D674" s="4"/>
      <c r="E674" s="16"/>
      <c r="F674" s="4"/>
      <c r="G674" s="16"/>
      <c r="H674" s="4"/>
      <c r="I674" s="4"/>
      <c r="J674" s="4"/>
      <c r="K674" s="2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"/>
      <c r="B675" s="4"/>
      <c r="C675" s="2"/>
      <c r="D675" s="4"/>
      <c r="E675" s="16"/>
      <c r="F675" s="4"/>
      <c r="G675" s="16"/>
      <c r="H675" s="4"/>
      <c r="I675" s="4"/>
      <c r="J675" s="4"/>
      <c r="K675" s="2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"/>
      <c r="B676" s="4"/>
      <c r="C676" s="2"/>
      <c r="D676" s="4"/>
      <c r="E676" s="16"/>
      <c r="F676" s="4"/>
      <c r="G676" s="16"/>
      <c r="H676" s="4"/>
      <c r="I676" s="4"/>
      <c r="J676" s="4"/>
      <c r="K676" s="2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"/>
      <c r="B677" s="4"/>
      <c r="C677" s="2"/>
      <c r="D677" s="4"/>
      <c r="E677" s="16"/>
      <c r="F677" s="4"/>
      <c r="G677" s="16"/>
      <c r="H677" s="4"/>
      <c r="I677" s="4"/>
      <c r="J677" s="4"/>
      <c r="K677" s="2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"/>
      <c r="B678" s="4"/>
      <c r="C678" s="2"/>
      <c r="D678" s="4"/>
      <c r="E678" s="16"/>
      <c r="F678" s="4"/>
      <c r="G678" s="16"/>
      <c r="H678" s="4"/>
      <c r="I678" s="4"/>
      <c r="J678" s="4"/>
      <c r="K678" s="2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"/>
      <c r="B679" s="4"/>
      <c r="C679" s="2"/>
      <c r="D679" s="4"/>
      <c r="E679" s="16"/>
      <c r="F679" s="4"/>
      <c r="G679" s="16"/>
      <c r="H679" s="4"/>
      <c r="I679" s="4"/>
      <c r="J679" s="4"/>
      <c r="K679" s="2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"/>
      <c r="B680" s="4"/>
      <c r="C680" s="2"/>
      <c r="D680" s="4"/>
      <c r="E680" s="16"/>
      <c r="F680" s="4"/>
      <c r="G680" s="16"/>
      <c r="H680" s="4"/>
      <c r="I680" s="4"/>
      <c r="J680" s="4"/>
      <c r="K680" s="2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"/>
      <c r="B681" s="4"/>
      <c r="C681" s="2"/>
      <c r="D681" s="4"/>
      <c r="E681" s="16"/>
      <c r="F681" s="4"/>
      <c r="G681" s="16"/>
      <c r="H681" s="4"/>
      <c r="I681" s="4"/>
      <c r="J681" s="4"/>
      <c r="K681" s="2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"/>
      <c r="B682" s="4"/>
      <c r="C682" s="2"/>
      <c r="D682" s="4"/>
      <c r="E682" s="16"/>
      <c r="F682" s="4"/>
      <c r="G682" s="16"/>
      <c r="H682" s="4"/>
      <c r="I682" s="4"/>
      <c r="J682" s="4"/>
      <c r="K682" s="2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"/>
      <c r="B683" s="4"/>
      <c r="C683" s="2"/>
      <c r="D683" s="4"/>
      <c r="E683" s="16"/>
      <c r="F683" s="4"/>
      <c r="G683" s="16"/>
      <c r="H683" s="4"/>
      <c r="I683" s="4"/>
      <c r="J683" s="4"/>
      <c r="K683" s="2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"/>
      <c r="B684" s="4"/>
      <c r="C684" s="2"/>
      <c r="D684" s="4"/>
      <c r="E684" s="16"/>
      <c r="F684" s="4"/>
      <c r="G684" s="16"/>
      <c r="H684" s="4"/>
      <c r="I684" s="4"/>
      <c r="J684" s="4"/>
      <c r="K684" s="2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"/>
      <c r="B685" s="4"/>
      <c r="C685" s="2"/>
      <c r="D685" s="4"/>
      <c r="E685" s="16"/>
      <c r="F685" s="4"/>
      <c r="G685" s="16"/>
      <c r="H685" s="4"/>
      <c r="I685" s="4"/>
      <c r="J685" s="4"/>
      <c r="K685" s="2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"/>
      <c r="B686" s="4"/>
      <c r="C686" s="2"/>
      <c r="D686" s="4"/>
      <c r="E686" s="16"/>
      <c r="F686" s="4"/>
      <c r="G686" s="16"/>
      <c r="H686" s="4"/>
      <c r="I686" s="4"/>
      <c r="J686" s="4"/>
      <c r="K686" s="2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"/>
      <c r="B687" s="4"/>
      <c r="C687" s="2"/>
      <c r="D687" s="4"/>
      <c r="E687" s="16"/>
      <c r="F687" s="4"/>
      <c r="G687" s="16"/>
      <c r="H687" s="4"/>
      <c r="I687" s="4"/>
      <c r="J687" s="4"/>
      <c r="K687" s="2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"/>
      <c r="B688" s="4"/>
      <c r="C688" s="2"/>
      <c r="D688" s="4"/>
      <c r="E688" s="16"/>
      <c r="F688" s="4"/>
      <c r="G688" s="16"/>
      <c r="H688" s="4"/>
      <c r="I688" s="4"/>
      <c r="J688" s="4"/>
      <c r="K688" s="2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"/>
      <c r="B689" s="4"/>
      <c r="C689" s="2"/>
      <c r="D689" s="4"/>
      <c r="E689" s="16"/>
      <c r="F689" s="4"/>
      <c r="G689" s="16"/>
      <c r="H689" s="4"/>
      <c r="I689" s="4"/>
      <c r="J689" s="4"/>
      <c r="K689" s="2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"/>
      <c r="B690" s="4"/>
      <c r="C690" s="2"/>
      <c r="D690" s="4"/>
      <c r="E690" s="16"/>
      <c r="F690" s="4"/>
      <c r="G690" s="16"/>
      <c r="H690" s="4"/>
      <c r="I690" s="4"/>
      <c r="J690" s="4"/>
      <c r="K690" s="2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"/>
      <c r="B691" s="4"/>
      <c r="C691" s="2"/>
      <c r="D691" s="4"/>
      <c r="E691" s="16"/>
      <c r="F691" s="4"/>
      <c r="G691" s="16"/>
      <c r="H691" s="4"/>
      <c r="I691" s="4"/>
      <c r="J691" s="4"/>
      <c r="K691" s="2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"/>
      <c r="B692" s="4"/>
      <c r="C692" s="2"/>
      <c r="D692" s="4"/>
      <c r="E692" s="16"/>
      <c r="F692" s="4"/>
      <c r="G692" s="16"/>
      <c r="H692" s="4"/>
      <c r="I692" s="4"/>
      <c r="J692" s="4"/>
      <c r="K692" s="2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"/>
      <c r="B693" s="4"/>
      <c r="C693" s="2"/>
      <c r="D693" s="4"/>
      <c r="E693" s="16"/>
      <c r="F693" s="4"/>
      <c r="G693" s="16"/>
      <c r="H693" s="4"/>
      <c r="I693" s="4"/>
      <c r="J693" s="4"/>
      <c r="K693" s="2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"/>
      <c r="B694" s="4"/>
      <c r="C694" s="2"/>
      <c r="D694" s="4"/>
      <c r="E694" s="16"/>
      <c r="F694" s="4"/>
      <c r="G694" s="16"/>
      <c r="H694" s="4"/>
      <c r="I694" s="4"/>
      <c r="J694" s="4"/>
      <c r="K694" s="2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"/>
      <c r="B695" s="4"/>
      <c r="C695" s="2"/>
      <c r="D695" s="4"/>
      <c r="E695" s="16"/>
      <c r="F695" s="4"/>
      <c r="G695" s="16"/>
      <c r="H695" s="4"/>
      <c r="I695" s="4"/>
      <c r="J695" s="4"/>
      <c r="K695" s="2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"/>
      <c r="B696" s="4"/>
      <c r="C696" s="2"/>
      <c r="D696" s="4"/>
      <c r="E696" s="16"/>
      <c r="F696" s="4"/>
      <c r="G696" s="16"/>
      <c r="H696" s="4"/>
      <c r="I696" s="4"/>
      <c r="J696" s="4"/>
      <c r="K696" s="2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"/>
      <c r="B697" s="4"/>
      <c r="C697" s="2"/>
      <c r="D697" s="4"/>
      <c r="E697" s="16"/>
      <c r="F697" s="4"/>
      <c r="G697" s="16"/>
      <c r="H697" s="4"/>
      <c r="I697" s="4"/>
      <c r="J697" s="4"/>
      <c r="K697" s="2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"/>
      <c r="B698" s="4"/>
      <c r="C698" s="2"/>
      <c r="D698" s="4"/>
      <c r="E698" s="16"/>
      <c r="F698" s="4"/>
      <c r="G698" s="16"/>
      <c r="H698" s="4"/>
      <c r="I698" s="4"/>
      <c r="J698" s="4"/>
      <c r="K698" s="2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"/>
      <c r="B699" s="4"/>
      <c r="C699" s="2"/>
      <c r="D699" s="4"/>
      <c r="E699" s="16"/>
      <c r="F699" s="4"/>
      <c r="G699" s="16"/>
      <c r="H699" s="4"/>
      <c r="I699" s="4"/>
      <c r="J699" s="4"/>
      <c r="K699" s="2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"/>
      <c r="B700" s="4"/>
      <c r="C700" s="2"/>
      <c r="D700" s="4"/>
      <c r="E700" s="16"/>
      <c r="F700" s="4"/>
      <c r="G700" s="16"/>
      <c r="H700" s="4"/>
      <c r="I700" s="4"/>
      <c r="J700" s="4"/>
      <c r="K700" s="2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"/>
      <c r="B701" s="4"/>
      <c r="C701" s="2"/>
      <c r="D701" s="4"/>
      <c r="E701" s="16"/>
      <c r="F701" s="4"/>
      <c r="G701" s="16"/>
      <c r="H701" s="4"/>
      <c r="I701" s="4"/>
      <c r="J701" s="4"/>
      <c r="K701" s="2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"/>
      <c r="B702" s="4"/>
      <c r="C702" s="2"/>
      <c r="D702" s="4"/>
      <c r="E702" s="16"/>
      <c r="F702" s="4"/>
      <c r="G702" s="16"/>
      <c r="H702" s="4"/>
      <c r="I702" s="4"/>
      <c r="J702" s="4"/>
      <c r="K702" s="2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"/>
      <c r="B703" s="4"/>
      <c r="C703" s="2"/>
      <c r="D703" s="4"/>
      <c r="E703" s="16"/>
      <c r="F703" s="4"/>
      <c r="G703" s="16"/>
      <c r="H703" s="4"/>
      <c r="I703" s="4"/>
      <c r="J703" s="4"/>
      <c r="K703" s="2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"/>
      <c r="B704" s="4"/>
      <c r="C704" s="2"/>
      <c r="D704" s="4"/>
      <c r="E704" s="16"/>
      <c r="F704" s="4"/>
      <c r="G704" s="16"/>
      <c r="H704" s="4"/>
      <c r="I704" s="4"/>
      <c r="J704" s="4"/>
      <c r="K704" s="2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"/>
      <c r="B705" s="4"/>
      <c r="C705" s="2"/>
      <c r="D705" s="4"/>
      <c r="E705" s="16"/>
      <c r="F705" s="4"/>
      <c r="G705" s="16"/>
      <c r="H705" s="4"/>
      <c r="I705" s="4"/>
      <c r="J705" s="4"/>
      <c r="K705" s="2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"/>
      <c r="B706" s="4"/>
      <c r="C706" s="2"/>
      <c r="D706" s="4"/>
      <c r="E706" s="16"/>
      <c r="F706" s="4"/>
      <c r="G706" s="16"/>
      <c r="H706" s="4"/>
      <c r="I706" s="4"/>
      <c r="J706" s="4"/>
      <c r="K706" s="2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"/>
      <c r="B707" s="4"/>
      <c r="C707" s="2"/>
      <c r="D707" s="4"/>
      <c r="E707" s="16"/>
      <c r="F707" s="4"/>
      <c r="G707" s="16"/>
      <c r="H707" s="4"/>
      <c r="I707" s="4"/>
      <c r="J707" s="4"/>
      <c r="K707" s="2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"/>
      <c r="B708" s="4"/>
      <c r="C708" s="2"/>
      <c r="D708" s="4"/>
      <c r="E708" s="16"/>
      <c r="F708" s="4"/>
      <c r="G708" s="16"/>
      <c r="H708" s="4"/>
      <c r="I708" s="4"/>
      <c r="J708" s="4"/>
      <c r="K708" s="2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"/>
      <c r="B709" s="4"/>
      <c r="C709" s="2"/>
      <c r="D709" s="4"/>
      <c r="E709" s="16"/>
      <c r="F709" s="4"/>
      <c r="G709" s="16"/>
      <c r="H709" s="4"/>
      <c r="I709" s="4"/>
      <c r="J709" s="4"/>
      <c r="K709" s="2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"/>
      <c r="B710" s="4"/>
      <c r="C710" s="2"/>
      <c r="D710" s="4"/>
      <c r="E710" s="16"/>
      <c r="F710" s="4"/>
      <c r="G710" s="16"/>
      <c r="H710" s="4"/>
      <c r="I710" s="4"/>
      <c r="J710" s="4"/>
      <c r="K710" s="2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"/>
      <c r="B711" s="4"/>
      <c r="C711" s="2"/>
      <c r="D711" s="4"/>
      <c r="E711" s="16"/>
      <c r="F711" s="4"/>
      <c r="G711" s="16"/>
      <c r="H711" s="4"/>
      <c r="I711" s="4"/>
      <c r="J711" s="4"/>
      <c r="K711" s="2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"/>
      <c r="B712" s="4"/>
      <c r="C712" s="2"/>
      <c r="D712" s="4"/>
      <c r="E712" s="16"/>
      <c r="F712" s="4"/>
      <c r="G712" s="16"/>
      <c r="H712" s="4"/>
      <c r="I712" s="4"/>
      <c r="J712" s="4"/>
      <c r="K712" s="2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"/>
      <c r="B713" s="4"/>
      <c r="C713" s="2"/>
      <c r="D713" s="4"/>
      <c r="E713" s="16"/>
      <c r="F713" s="4"/>
      <c r="G713" s="16"/>
      <c r="H713" s="4"/>
      <c r="I713" s="4"/>
      <c r="J713" s="4"/>
      <c r="K713" s="2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"/>
      <c r="B714" s="4"/>
      <c r="C714" s="2"/>
      <c r="D714" s="4"/>
      <c r="E714" s="16"/>
      <c r="F714" s="4"/>
      <c r="G714" s="16"/>
      <c r="H714" s="4"/>
      <c r="I714" s="4"/>
      <c r="J714" s="4"/>
      <c r="K714" s="2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"/>
      <c r="B715" s="4"/>
      <c r="C715" s="2"/>
      <c r="D715" s="4"/>
      <c r="E715" s="16"/>
      <c r="F715" s="4"/>
      <c r="G715" s="16"/>
      <c r="H715" s="4"/>
      <c r="I715" s="4"/>
      <c r="J715" s="4"/>
      <c r="K715" s="2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"/>
      <c r="B716" s="4"/>
      <c r="C716" s="2"/>
      <c r="D716" s="4"/>
      <c r="E716" s="16"/>
      <c r="F716" s="4"/>
      <c r="G716" s="16"/>
      <c r="H716" s="4"/>
      <c r="I716" s="4"/>
      <c r="J716" s="4"/>
      <c r="K716" s="2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"/>
      <c r="B717" s="4"/>
      <c r="C717" s="2"/>
      <c r="D717" s="4"/>
      <c r="E717" s="16"/>
      <c r="F717" s="4"/>
      <c r="G717" s="16"/>
      <c r="H717" s="4"/>
      <c r="I717" s="4"/>
      <c r="J717" s="4"/>
      <c r="K717" s="2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"/>
      <c r="B718" s="4"/>
      <c r="C718" s="2"/>
      <c r="D718" s="4"/>
      <c r="E718" s="16"/>
      <c r="F718" s="4"/>
      <c r="G718" s="16"/>
      <c r="H718" s="4"/>
      <c r="I718" s="4"/>
      <c r="J718" s="4"/>
      <c r="K718" s="2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"/>
      <c r="B719" s="4"/>
      <c r="C719" s="2"/>
      <c r="D719" s="4"/>
      <c r="E719" s="16"/>
      <c r="F719" s="4"/>
      <c r="G719" s="16"/>
      <c r="H719" s="4"/>
      <c r="I719" s="4"/>
      <c r="J719" s="4"/>
      <c r="K719" s="2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"/>
      <c r="B720" s="4"/>
      <c r="C720" s="2"/>
      <c r="D720" s="4"/>
      <c r="E720" s="16"/>
      <c r="F720" s="4"/>
      <c r="G720" s="16"/>
      <c r="H720" s="4"/>
      <c r="I720" s="4"/>
      <c r="J720" s="4"/>
      <c r="K720" s="2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"/>
      <c r="B721" s="4"/>
      <c r="C721" s="2"/>
      <c r="D721" s="4"/>
      <c r="E721" s="16"/>
      <c r="F721" s="4"/>
      <c r="G721" s="16"/>
      <c r="H721" s="4"/>
      <c r="I721" s="4"/>
      <c r="J721" s="4"/>
      <c r="K721" s="2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"/>
      <c r="B722" s="4"/>
      <c r="C722" s="2"/>
      <c r="D722" s="4"/>
      <c r="E722" s="16"/>
      <c r="F722" s="4"/>
      <c r="G722" s="16"/>
      <c r="H722" s="4"/>
      <c r="I722" s="4"/>
      <c r="J722" s="4"/>
      <c r="K722" s="2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"/>
      <c r="B723" s="4"/>
      <c r="C723" s="2"/>
      <c r="D723" s="4"/>
      <c r="E723" s="16"/>
      <c r="F723" s="4"/>
      <c r="G723" s="16"/>
      <c r="H723" s="4"/>
      <c r="I723" s="4"/>
      <c r="J723" s="4"/>
      <c r="K723" s="2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"/>
      <c r="B724" s="4"/>
      <c r="C724" s="2"/>
      <c r="D724" s="4"/>
      <c r="E724" s="16"/>
      <c r="F724" s="4"/>
      <c r="G724" s="16"/>
      <c r="H724" s="4"/>
      <c r="I724" s="4"/>
      <c r="J724" s="4"/>
      <c r="K724" s="2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"/>
      <c r="B725" s="4"/>
      <c r="C725" s="2"/>
      <c r="D725" s="4"/>
      <c r="E725" s="16"/>
      <c r="F725" s="4"/>
      <c r="G725" s="16"/>
      <c r="H725" s="4"/>
      <c r="I725" s="4"/>
      <c r="J725" s="4"/>
      <c r="K725" s="2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"/>
      <c r="B726" s="4"/>
      <c r="C726" s="2"/>
      <c r="D726" s="4"/>
      <c r="E726" s="16"/>
      <c r="F726" s="4"/>
      <c r="G726" s="16"/>
      <c r="H726" s="4"/>
      <c r="I726" s="4"/>
      <c r="J726" s="4"/>
      <c r="K726" s="2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"/>
      <c r="B727" s="4"/>
      <c r="C727" s="2"/>
      <c r="D727" s="4"/>
      <c r="E727" s="16"/>
      <c r="F727" s="4"/>
      <c r="G727" s="16"/>
      <c r="H727" s="4"/>
      <c r="I727" s="4"/>
      <c r="J727" s="4"/>
      <c r="K727" s="2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"/>
      <c r="B728" s="4"/>
      <c r="C728" s="2"/>
      <c r="D728" s="4"/>
      <c r="E728" s="16"/>
      <c r="F728" s="4"/>
      <c r="G728" s="16"/>
      <c r="H728" s="4"/>
      <c r="I728" s="4"/>
      <c r="J728" s="4"/>
      <c r="K728" s="2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"/>
      <c r="B729" s="4"/>
      <c r="C729" s="2"/>
      <c r="D729" s="4"/>
      <c r="E729" s="16"/>
      <c r="F729" s="4"/>
      <c r="G729" s="16"/>
      <c r="H729" s="4"/>
      <c r="I729" s="4"/>
      <c r="J729" s="4"/>
      <c r="K729" s="2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"/>
      <c r="B730" s="4"/>
      <c r="C730" s="2"/>
      <c r="D730" s="4"/>
      <c r="E730" s="16"/>
      <c r="F730" s="4"/>
      <c r="G730" s="16"/>
      <c r="H730" s="4"/>
      <c r="I730" s="4"/>
      <c r="J730" s="4"/>
      <c r="K730" s="2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"/>
      <c r="B731" s="4"/>
      <c r="C731" s="2"/>
      <c r="D731" s="4"/>
      <c r="E731" s="16"/>
      <c r="F731" s="4"/>
      <c r="G731" s="16"/>
      <c r="H731" s="4"/>
      <c r="I731" s="4"/>
      <c r="J731" s="4"/>
      <c r="K731" s="2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"/>
      <c r="B732" s="4"/>
      <c r="C732" s="2"/>
      <c r="D732" s="4"/>
      <c r="E732" s="16"/>
      <c r="F732" s="4"/>
      <c r="G732" s="16"/>
      <c r="H732" s="4"/>
      <c r="I732" s="4"/>
      <c r="J732" s="4"/>
      <c r="K732" s="2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"/>
      <c r="B733" s="4"/>
      <c r="C733" s="2"/>
      <c r="D733" s="4"/>
      <c r="E733" s="16"/>
      <c r="F733" s="4"/>
      <c r="G733" s="16"/>
      <c r="H733" s="4"/>
      <c r="I733" s="4"/>
      <c r="J733" s="4"/>
      <c r="K733" s="2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"/>
      <c r="B734" s="4"/>
      <c r="C734" s="2"/>
      <c r="D734" s="4"/>
      <c r="E734" s="16"/>
      <c r="F734" s="4"/>
      <c r="G734" s="16"/>
      <c r="H734" s="4"/>
      <c r="I734" s="4"/>
      <c r="J734" s="4"/>
      <c r="K734" s="2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"/>
      <c r="B735" s="4"/>
      <c r="C735" s="2"/>
      <c r="D735" s="4"/>
      <c r="E735" s="16"/>
      <c r="F735" s="4"/>
      <c r="G735" s="16"/>
      <c r="H735" s="4"/>
      <c r="I735" s="4"/>
      <c r="J735" s="4"/>
      <c r="K735" s="2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"/>
      <c r="B736" s="4"/>
      <c r="C736" s="2"/>
      <c r="D736" s="4"/>
      <c r="E736" s="16"/>
      <c r="F736" s="4"/>
      <c r="G736" s="16"/>
      <c r="H736" s="4"/>
      <c r="I736" s="4"/>
      <c r="J736" s="4"/>
      <c r="K736" s="2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"/>
      <c r="B737" s="4"/>
      <c r="C737" s="2"/>
      <c r="D737" s="4"/>
      <c r="E737" s="16"/>
      <c r="F737" s="4"/>
      <c r="G737" s="16"/>
      <c r="H737" s="4"/>
      <c r="I737" s="4"/>
      <c r="J737" s="4"/>
      <c r="K737" s="2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"/>
      <c r="B738" s="4"/>
      <c r="C738" s="2"/>
      <c r="D738" s="4"/>
      <c r="E738" s="16"/>
      <c r="F738" s="4"/>
      <c r="G738" s="16"/>
      <c r="H738" s="4"/>
      <c r="I738" s="4"/>
      <c r="J738" s="4"/>
      <c r="K738" s="2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"/>
      <c r="B739" s="4"/>
      <c r="C739" s="2"/>
      <c r="D739" s="4"/>
      <c r="E739" s="16"/>
      <c r="F739" s="4"/>
      <c r="G739" s="16"/>
      <c r="H739" s="4"/>
      <c r="I739" s="4"/>
      <c r="J739" s="4"/>
      <c r="K739" s="2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"/>
      <c r="B740" s="4"/>
      <c r="C740" s="2"/>
      <c r="D740" s="4"/>
      <c r="E740" s="16"/>
      <c r="F740" s="4"/>
      <c r="G740" s="16"/>
      <c r="H740" s="4"/>
      <c r="I740" s="4"/>
      <c r="J740" s="4"/>
      <c r="K740" s="2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"/>
      <c r="B741" s="4"/>
      <c r="C741" s="2"/>
      <c r="D741" s="4"/>
      <c r="E741" s="16"/>
      <c r="F741" s="4"/>
      <c r="G741" s="16"/>
      <c r="H741" s="4"/>
      <c r="I741" s="4"/>
      <c r="J741" s="4"/>
      <c r="K741" s="2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"/>
      <c r="B742" s="4"/>
      <c r="C742" s="2"/>
      <c r="D742" s="4"/>
      <c r="E742" s="16"/>
      <c r="F742" s="4"/>
      <c r="G742" s="16"/>
      <c r="H742" s="4"/>
      <c r="I742" s="4"/>
      <c r="J742" s="4"/>
      <c r="K742" s="2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"/>
      <c r="B743" s="4"/>
      <c r="C743" s="2"/>
      <c r="D743" s="4"/>
      <c r="E743" s="16"/>
      <c r="F743" s="4"/>
      <c r="G743" s="16"/>
      <c r="H743" s="4"/>
      <c r="I743" s="4"/>
      <c r="J743" s="4"/>
      <c r="K743" s="2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"/>
      <c r="B744" s="4"/>
      <c r="C744" s="2"/>
      <c r="D744" s="4"/>
      <c r="E744" s="16"/>
      <c r="F744" s="4"/>
      <c r="G744" s="16"/>
      <c r="H744" s="4"/>
      <c r="I744" s="4"/>
      <c r="J744" s="4"/>
      <c r="K744" s="2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"/>
      <c r="B745" s="4"/>
      <c r="C745" s="2"/>
      <c r="D745" s="4"/>
      <c r="E745" s="16"/>
      <c r="F745" s="4"/>
      <c r="G745" s="16"/>
      <c r="H745" s="4"/>
      <c r="I745" s="4"/>
      <c r="J745" s="4"/>
      <c r="K745" s="2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"/>
      <c r="B746" s="4"/>
      <c r="C746" s="2"/>
      <c r="D746" s="4"/>
      <c r="E746" s="16"/>
      <c r="F746" s="4"/>
      <c r="G746" s="16"/>
      <c r="H746" s="4"/>
      <c r="I746" s="4"/>
      <c r="J746" s="4"/>
      <c r="K746" s="2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"/>
      <c r="B747" s="4"/>
      <c r="C747" s="2"/>
      <c r="D747" s="4"/>
      <c r="E747" s="16"/>
      <c r="F747" s="4"/>
      <c r="G747" s="16"/>
      <c r="H747" s="4"/>
      <c r="I747" s="4"/>
      <c r="J747" s="4"/>
      <c r="K747" s="2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"/>
      <c r="B748" s="4"/>
      <c r="C748" s="2"/>
      <c r="D748" s="4"/>
      <c r="E748" s="16"/>
      <c r="F748" s="4"/>
      <c r="G748" s="16"/>
      <c r="H748" s="4"/>
      <c r="I748" s="4"/>
      <c r="J748" s="4"/>
      <c r="K748" s="2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"/>
      <c r="B749" s="4"/>
      <c r="C749" s="2"/>
      <c r="D749" s="4"/>
      <c r="E749" s="16"/>
      <c r="F749" s="4"/>
      <c r="G749" s="16"/>
      <c r="H749" s="4"/>
      <c r="I749" s="4"/>
      <c r="J749" s="4"/>
      <c r="K749" s="2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"/>
      <c r="B750" s="4"/>
      <c r="C750" s="2"/>
      <c r="D750" s="4"/>
      <c r="E750" s="16"/>
      <c r="F750" s="4"/>
      <c r="G750" s="16"/>
      <c r="H750" s="4"/>
      <c r="I750" s="4"/>
      <c r="J750" s="4"/>
      <c r="K750" s="2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"/>
      <c r="B751" s="4"/>
      <c r="C751" s="2"/>
      <c r="D751" s="4"/>
      <c r="E751" s="16"/>
      <c r="F751" s="4"/>
      <c r="G751" s="16"/>
      <c r="H751" s="4"/>
      <c r="I751" s="4"/>
      <c r="J751" s="4"/>
      <c r="K751" s="2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"/>
      <c r="B752" s="4"/>
      <c r="C752" s="2"/>
      <c r="D752" s="4"/>
      <c r="E752" s="16"/>
      <c r="F752" s="4"/>
      <c r="G752" s="16"/>
      <c r="H752" s="4"/>
      <c r="I752" s="4"/>
      <c r="J752" s="4"/>
      <c r="K752" s="2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"/>
      <c r="B753" s="4"/>
      <c r="C753" s="2"/>
      <c r="D753" s="4"/>
      <c r="E753" s="16"/>
      <c r="F753" s="4"/>
      <c r="G753" s="16"/>
      <c r="H753" s="4"/>
      <c r="I753" s="4"/>
      <c r="J753" s="4"/>
      <c r="K753" s="2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"/>
      <c r="B754" s="4"/>
      <c r="C754" s="2"/>
      <c r="D754" s="4"/>
      <c r="E754" s="16"/>
      <c r="F754" s="4"/>
      <c r="G754" s="16"/>
      <c r="H754" s="4"/>
      <c r="I754" s="4"/>
      <c r="J754" s="4"/>
      <c r="K754" s="2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"/>
      <c r="B755" s="4"/>
      <c r="C755" s="2"/>
      <c r="D755" s="4"/>
      <c r="E755" s="16"/>
      <c r="F755" s="4"/>
      <c r="G755" s="16"/>
      <c r="H755" s="4"/>
      <c r="I755" s="4"/>
      <c r="J755" s="4"/>
      <c r="K755" s="2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"/>
      <c r="B756" s="4"/>
      <c r="C756" s="2"/>
      <c r="D756" s="4"/>
      <c r="E756" s="16"/>
      <c r="F756" s="4"/>
      <c r="G756" s="16"/>
      <c r="H756" s="4"/>
      <c r="I756" s="4"/>
      <c r="J756" s="4"/>
      <c r="K756" s="2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"/>
      <c r="B757" s="4"/>
      <c r="C757" s="2"/>
      <c r="D757" s="4"/>
      <c r="E757" s="16"/>
      <c r="F757" s="4"/>
      <c r="G757" s="16"/>
      <c r="H757" s="4"/>
      <c r="I757" s="4"/>
      <c r="J757" s="4"/>
      <c r="K757" s="2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"/>
      <c r="B758" s="4"/>
      <c r="C758" s="2"/>
      <c r="D758" s="4"/>
      <c r="E758" s="16"/>
      <c r="F758" s="4"/>
      <c r="G758" s="16"/>
      <c r="H758" s="4"/>
      <c r="I758" s="4"/>
      <c r="J758" s="4"/>
      <c r="K758" s="2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"/>
      <c r="B759" s="4"/>
      <c r="C759" s="2"/>
      <c r="D759" s="4"/>
      <c r="E759" s="16"/>
      <c r="F759" s="4"/>
      <c r="G759" s="16"/>
      <c r="H759" s="4"/>
      <c r="I759" s="4"/>
      <c r="J759" s="4"/>
      <c r="K759" s="2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"/>
      <c r="B760" s="4"/>
      <c r="C760" s="2"/>
      <c r="D760" s="4"/>
      <c r="E760" s="16"/>
      <c r="F760" s="4"/>
      <c r="G760" s="16"/>
      <c r="H760" s="4"/>
      <c r="I760" s="4"/>
      <c r="J760" s="4"/>
      <c r="K760" s="2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"/>
      <c r="B761" s="4"/>
      <c r="C761" s="2"/>
      <c r="D761" s="4"/>
      <c r="E761" s="16"/>
      <c r="F761" s="4"/>
      <c r="G761" s="16"/>
      <c r="H761" s="4"/>
      <c r="I761" s="4"/>
      <c r="J761" s="4"/>
      <c r="K761" s="2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"/>
      <c r="B762" s="4"/>
      <c r="C762" s="2"/>
      <c r="D762" s="4"/>
      <c r="E762" s="16"/>
      <c r="F762" s="4"/>
      <c r="G762" s="16"/>
      <c r="H762" s="4"/>
      <c r="I762" s="4"/>
      <c r="J762" s="4"/>
      <c r="K762" s="2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"/>
      <c r="B763" s="4"/>
      <c r="C763" s="2"/>
      <c r="D763" s="4"/>
      <c r="E763" s="16"/>
      <c r="F763" s="4"/>
      <c r="G763" s="16"/>
      <c r="H763" s="4"/>
      <c r="I763" s="4"/>
      <c r="J763" s="4"/>
      <c r="K763" s="2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"/>
      <c r="B764" s="4"/>
      <c r="C764" s="2"/>
      <c r="D764" s="4"/>
      <c r="E764" s="16"/>
      <c r="F764" s="4"/>
      <c r="G764" s="16"/>
      <c r="H764" s="4"/>
      <c r="I764" s="4"/>
      <c r="J764" s="4"/>
      <c r="K764" s="2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"/>
      <c r="B765" s="4"/>
      <c r="C765" s="2"/>
      <c r="D765" s="4"/>
      <c r="E765" s="16"/>
      <c r="F765" s="4"/>
      <c r="G765" s="16"/>
      <c r="H765" s="4"/>
      <c r="I765" s="4"/>
      <c r="J765" s="4"/>
      <c r="K765" s="2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"/>
      <c r="B766" s="4"/>
      <c r="C766" s="2"/>
      <c r="D766" s="4"/>
      <c r="E766" s="16"/>
      <c r="F766" s="4"/>
      <c r="G766" s="16"/>
      <c r="H766" s="4"/>
      <c r="I766" s="4"/>
      <c r="J766" s="4"/>
      <c r="K766" s="2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"/>
      <c r="B767" s="4"/>
      <c r="C767" s="2"/>
      <c r="D767" s="4"/>
      <c r="E767" s="16"/>
      <c r="F767" s="4"/>
      <c r="G767" s="16"/>
      <c r="H767" s="4"/>
      <c r="I767" s="4"/>
      <c r="J767" s="4"/>
      <c r="K767" s="2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"/>
      <c r="B768" s="4"/>
      <c r="C768" s="2"/>
      <c r="D768" s="4"/>
      <c r="E768" s="16"/>
      <c r="F768" s="4"/>
      <c r="G768" s="16"/>
      <c r="H768" s="4"/>
      <c r="I768" s="4"/>
      <c r="J768" s="4"/>
      <c r="K768" s="2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"/>
      <c r="B769" s="4"/>
      <c r="C769" s="2"/>
      <c r="D769" s="4"/>
      <c r="E769" s="16"/>
      <c r="F769" s="4"/>
      <c r="G769" s="16"/>
      <c r="H769" s="4"/>
      <c r="I769" s="4"/>
      <c r="J769" s="4"/>
      <c r="K769" s="2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"/>
      <c r="B770" s="4"/>
      <c r="C770" s="2"/>
      <c r="D770" s="4"/>
      <c r="E770" s="16"/>
      <c r="F770" s="4"/>
      <c r="G770" s="16"/>
      <c r="H770" s="4"/>
      <c r="I770" s="4"/>
      <c r="J770" s="4"/>
      <c r="K770" s="2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"/>
      <c r="B771" s="4"/>
      <c r="C771" s="2"/>
      <c r="D771" s="4"/>
      <c r="E771" s="16"/>
      <c r="F771" s="4"/>
      <c r="G771" s="16"/>
      <c r="H771" s="4"/>
      <c r="I771" s="4"/>
      <c r="J771" s="4"/>
      <c r="K771" s="2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"/>
      <c r="B772" s="4"/>
      <c r="C772" s="2"/>
      <c r="D772" s="4"/>
      <c r="E772" s="16"/>
      <c r="F772" s="4"/>
      <c r="G772" s="16"/>
      <c r="H772" s="4"/>
      <c r="I772" s="4"/>
      <c r="J772" s="4"/>
      <c r="K772" s="2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"/>
      <c r="B773" s="4"/>
      <c r="C773" s="2"/>
      <c r="D773" s="4"/>
      <c r="E773" s="16"/>
      <c r="F773" s="4"/>
      <c r="G773" s="16"/>
      <c r="H773" s="4"/>
      <c r="I773" s="4"/>
      <c r="J773" s="4"/>
      <c r="K773" s="2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"/>
      <c r="B774" s="4"/>
      <c r="C774" s="2"/>
      <c r="D774" s="4"/>
      <c r="E774" s="16"/>
      <c r="F774" s="4"/>
      <c r="G774" s="16"/>
      <c r="H774" s="4"/>
      <c r="I774" s="4"/>
      <c r="J774" s="4"/>
      <c r="K774" s="2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"/>
      <c r="B775" s="4"/>
      <c r="C775" s="2"/>
      <c r="D775" s="4"/>
      <c r="E775" s="16"/>
      <c r="F775" s="4"/>
      <c r="G775" s="16"/>
      <c r="H775" s="4"/>
      <c r="I775" s="4"/>
      <c r="J775" s="4"/>
      <c r="K775" s="2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"/>
      <c r="B776" s="4"/>
      <c r="C776" s="2"/>
      <c r="D776" s="4"/>
      <c r="E776" s="16"/>
      <c r="F776" s="4"/>
      <c r="G776" s="16"/>
      <c r="H776" s="4"/>
      <c r="I776" s="4"/>
      <c r="J776" s="4"/>
      <c r="K776" s="2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"/>
      <c r="B777" s="4"/>
      <c r="C777" s="2"/>
      <c r="D777" s="4"/>
      <c r="E777" s="16"/>
      <c r="F777" s="4"/>
      <c r="G777" s="16"/>
      <c r="H777" s="4"/>
      <c r="I777" s="4"/>
      <c r="J777" s="4"/>
      <c r="K777" s="2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"/>
      <c r="B778" s="4"/>
      <c r="C778" s="2"/>
      <c r="D778" s="4"/>
      <c r="E778" s="16"/>
      <c r="F778" s="4"/>
      <c r="G778" s="16"/>
      <c r="H778" s="4"/>
      <c r="I778" s="4"/>
      <c r="J778" s="4"/>
      <c r="K778" s="2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"/>
      <c r="B779" s="4"/>
      <c r="C779" s="2"/>
      <c r="D779" s="4"/>
      <c r="E779" s="16"/>
      <c r="F779" s="4"/>
      <c r="G779" s="16"/>
      <c r="H779" s="4"/>
      <c r="I779" s="4"/>
      <c r="J779" s="4"/>
      <c r="K779" s="2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"/>
      <c r="B780" s="4"/>
      <c r="C780" s="2"/>
      <c r="D780" s="4"/>
      <c r="E780" s="16"/>
      <c r="F780" s="4"/>
      <c r="G780" s="16"/>
      <c r="H780" s="4"/>
      <c r="I780" s="4"/>
      <c r="J780" s="4"/>
      <c r="K780" s="2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"/>
      <c r="B781" s="4"/>
      <c r="C781" s="2"/>
      <c r="D781" s="4"/>
      <c r="E781" s="16"/>
      <c r="F781" s="4"/>
      <c r="G781" s="16"/>
      <c r="H781" s="4"/>
      <c r="I781" s="4"/>
      <c r="J781" s="4"/>
      <c r="K781" s="2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"/>
      <c r="B782" s="4"/>
      <c r="C782" s="2"/>
      <c r="D782" s="4"/>
      <c r="E782" s="16"/>
      <c r="F782" s="4"/>
      <c r="G782" s="16"/>
      <c r="H782" s="4"/>
      <c r="I782" s="4"/>
      <c r="J782" s="4"/>
      <c r="K782" s="2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"/>
      <c r="B783" s="4"/>
      <c r="C783" s="2"/>
      <c r="D783" s="4"/>
      <c r="E783" s="16"/>
      <c r="F783" s="4"/>
      <c r="G783" s="16"/>
      <c r="H783" s="4"/>
      <c r="I783" s="4"/>
      <c r="J783" s="4"/>
      <c r="K783" s="2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"/>
      <c r="B784" s="4"/>
      <c r="C784" s="2"/>
      <c r="D784" s="4"/>
      <c r="E784" s="16"/>
      <c r="F784" s="4"/>
      <c r="G784" s="16"/>
      <c r="H784" s="4"/>
      <c r="I784" s="4"/>
      <c r="J784" s="4"/>
      <c r="K784" s="2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"/>
      <c r="B785" s="4"/>
      <c r="C785" s="2"/>
      <c r="D785" s="4"/>
      <c r="E785" s="16"/>
      <c r="F785" s="4"/>
      <c r="G785" s="16"/>
      <c r="H785" s="4"/>
      <c r="I785" s="4"/>
      <c r="J785" s="4"/>
      <c r="K785" s="2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"/>
      <c r="B786" s="4"/>
      <c r="C786" s="2"/>
      <c r="D786" s="4"/>
      <c r="E786" s="16"/>
      <c r="F786" s="4"/>
      <c r="G786" s="16"/>
      <c r="H786" s="4"/>
      <c r="I786" s="4"/>
      <c r="J786" s="4"/>
      <c r="K786" s="2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"/>
      <c r="B787" s="4"/>
      <c r="C787" s="2"/>
      <c r="D787" s="4"/>
      <c r="E787" s="16"/>
      <c r="F787" s="4"/>
      <c r="G787" s="16"/>
      <c r="H787" s="4"/>
      <c r="I787" s="4"/>
      <c r="J787" s="4"/>
      <c r="K787" s="2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"/>
      <c r="B788" s="4"/>
      <c r="C788" s="2"/>
      <c r="D788" s="4"/>
      <c r="E788" s="16"/>
      <c r="F788" s="4"/>
      <c r="G788" s="16"/>
      <c r="H788" s="4"/>
      <c r="I788" s="4"/>
      <c r="J788" s="4"/>
      <c r="K788" s="2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"/>
      <c r="B789" s="4"/>
      <c r="C789" s="2"/>
      <c r="D789" s="4"/>
      <c r="E789" s="16"/>
      <c r="F789" s="4"/>
      <c r="G789" s="16"/>
      <c r="H789" s="4"/>
      <c r="I789" s="4"/>
      <c r="J789" s="4"/>
      <c r="K789" s="2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"/>
      <c r="B790" s="4"/>
      <c r="C790" s="2"/>
      <c r="D790" s="4"/>
      <c r="E790" s="16"/>
      <c r="F790" s="4"/>
      <c r="G790" s="16"/>
      <c r="H790" s="4"/>
      <c r="I790" s="4"/>
      <c r="J790" s="4"/>
      <c r="K790" s="2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"/>
      <c r="B791" s="4"/>
      <c r="C791" s="2"/>
      <c r="D791" s="4"/>
      <c r="E791" s="16"/>
      <c r="F791" s="4"/>
      <c r="G791" s="16"/>
      <c r="H791" s="4"/>
      <c r="I791" s="4"/>
      <c r="J791" s="4"/>
      <c r="K791" s="2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"/>
      <c r="B792" s="4"/>
      <c r="C792" s="2"/>
      <c r="D792" s="4"/>
      <c r="E792" s="16"/>
      <c r="F792" s="4"/>
      <c r="G792" s="16"/>
      <c r="H792" s="4"/>
      <c r="I792" s="4"/>
      <c r="J792" s="4"/>
      <c r="K792" s="2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"/>
      <c r="B793" s="4"/>
      <c r="C793" s="2"/>
      <c r="D793" s="4"/>
      <c r="E793" s="16"/>
      <c r="F793" s="4"/>
      <c r="G793" s="16"/>
      <c r="H793" s="4"/>
      <c r="I793" s="4"/>
      <c r="J793" s="4"/>
      <c r="K793" s="2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"/>
      <c r="B794" s="4"/>
      <c r="C794" s="2"/>
      <c r="D794" s="4"/>
      <c r="E794" s="16"/>
      <c r="F794" s="4"/>
      <c r="G794" s="16"/>
      <c r="H794" s="4"/>
      <c r="I794" s="4"/>
      <c r="J794" s="4"/>
      <c r="K794" s="2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"/>
      <c r="B795" s="4"/>
      <c r="C795" s="2"/>
      <c r="D795" s="4"/>
      <c r="E795" s="16"/>
      <c r="F795" s="4"/>
      <c r="G795" s="16"/>
      <c r="H795" s="4"/>
      <c r="I795" s="4"/>
      <c r="J795" s="4"/>
      <c r="K795" s="2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"/>
      <c r="B796" s="4"/>
      <c r="C796" s="2"/>
      <c r="D796" s="4"/>
      <c r="E796" s="16"/>
      <c r="F796" s="4"/>
      <c r="G796" s="16"/>
      <c r="H796" s="4"/>
      <c r="I796" s="4"/>
      <c r="J796" s="4"/>
      <c r="K796" s="2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"/>
      <c r="B797" s="4"/>
      <c r="C797" s="2"/>
      <c r="D797" s="4"/>
      <c r="E797" s="16"/>
      <c r="F797" s="4"/>
      <c r="G797" s="16"/>
      <c r="H797" s="4"/>
      <c r="I797" s="4"/>
      <c r="J797" s="4"/>
      <c r="K797" s="2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"/>
      <c r="B798" s="4"/>
      <c r="C798" s="2"/>
      <c r="D798" s="4"/>
      <c r="E798" s="16"/>
      <c r="F798" s="4"/>
      <c r="G798" s="16"/>
      <c r="H798" s="4"/>
      <c r="I798" s="4"/>
      <c r="J798" s="4"/>
      <c r="K798" s="2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"/>
      <c r="B799" s="4"/>
      <c r="C799" s="2"/>
      <c r="D799" s="4"/>
      <c r="E799" s="16"/>
      <c r="F799" s="4"/>
      <c r="G799" s="16"/>
      <c r="H799" s="4"/>
      <c r="I799" s="4"/>
      <c r="J799" s="4"/>
      <c r="K799" s="2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"/>
      <c r="B800" s="4"/>
      <c r="C800" s="2"/>
      <c r="D800" s="4"/>
      <c r="E800" s="16"/>
      <c r="F800" s="4"/>
      <c r="G800" s="16"/>
      <c r="H800" s="4"/>
      <c r="I800" s="4"/>
      <c r="J800" s="4"/>
      <c r="K800" s="2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"/>
      <c r="B801" s="4"/>
      <c r="C801" s="2"/>
      <c r="D801" s="4"/>
      <c r="E801" s="16"/>
      <c r="F801" s="4"/>
      <c r="G801" s="16"/>
      <c r="H801" s="4"/>
      <c r="I801" s="4"/>
      <c r="J801" s="4"/>
      <c r="K801" s="2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"/>
      <c r="B802" s="4"/>
      <c r="C802" s="2"/>
      <c r="D802" s="4"/>
      <c r="E802" s="16"/>
      <c r="F802" s="4"/>
      <c r="G802" s="16"/>
      <c r="H802" s="4"/>
      <c r="I802" s="4"/>
      <c r="J802" s="4"/>
      <c r="K802" s="2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"/>
      <c r="B803" s="4"/>
      <c r="C803" s="2"/>
      <c r="D803" s="4"/>
      <c r="E803" s="16"/>
      <c r="F803" s="4"/>
      <c r="G803" s="16"/>
      <c r="H803" s="4"/>
      <c r="I803" s="4"/>
      <c r="J803" s="4"/>
      <c r="K803" s="2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"/>
      <c r="B804" s="4"/>
      <c r="C804" s="2"/>
      <c r="D804" s="4"/>
      <c r="E804" s="16"/>
      <c r="F804" s="4"/>
      <c r="G804" s="16"/>
      <c r="H804" s="4"/>
      <c r="I804" s="4"/>
      <c r="J804" s="4"/>
      <c r="K804" s="2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"/>
      <c r="B805" s="4"/>
      <c r="C805" s="2"/>
      <c r="D805" s="4"/>
      <c r="E805" s="16"/>
      <c r="F805" s="4"/>
      <c r="G805" s="16"/>
      <c r="H805" s="4"/>
      <c r="I805" s="4"/>
      <c r="J805" s="4"/>
      <c r="K805" s="2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"/>
      <c r="B806" s="4"/>
      <c r="C806" s="2"/>
      <c r="D806" s="4"/>
      <c r="E806" s="16"/>
      <c r="F806" s="4"/>
      <c r="G806" s="16"/>
      <c r="H806" s="4"/>
      <c r="I806" s="4"/>
      <c r="J806" s="4"/>
      <c r="K806" s="2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"/>
      <c r="B807" s="4"/>
      <c r="C807" s="2"/>
      <c r="D807" s="4"/>
      <c r="E807" s="16"/>
      <c r="F807" s="4"/>
      <c r="G807" s="16"/>
      <c r="H807" s="4"/>
      <c r="I807" s="4"/>
      <c r="J807" s="4"/>
      <c r="K807" s="2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"/>
      <c r="B808" s="4"/>
      <c r="C808" s="2"/>
      <c r="D808" s="4"/>
      <c r="E808" s="16"/>
      <c r="F808" s="4"/>
      <c r="G808" s="16"/>
      <c r="H808" s="4"/>
      <c r="I808" s="4"/>
      <c r="J808" s="4"/>
      <c r="K808" s="2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"/>
      <c r="B809" s="4"/>
      <c r="C809" s="2"/>
      <c r="D809" s="4"/>
      <c r="E809" s="16"/>
      <c r="F809" s="4"/>
      <c r="G809" s="16"/>
      <c r="H809" s="4"/>
      <c r="I809" s="4"/>
      <c r="J809" s="4"/>
      <c r="K809" s="2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"/>
      <c r="B810" s="4"/>
      <c r="C810" s="2"/>
      <c r="D810" s="4"/>
      <c r="E810" s="16"/>
      <c r="F810" s="4"/>
      <c r="G810" s="16"/>
      <c r="H810" s="4"/>
      <c r="I810" s="4"/>
      <c r="J810" s="4"/>
      <c r="K810" s="2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"/>
      <c r="B811" s="4"/>
      <c r="C811" s="2"/>
      <c r="D811" s="4"/>
      <c r="E811" s="16"/>
      <c r="F811" s="4"/>
      <c r="G811" s="16"/>
      <c r="H811" s="4"/>
      <c r="I811" s="4"/>
      <c r="J811" s="4"/>
      <c r="K811" s="2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"/>
      <c r="B812" s="4"/>
      <c r="C812" s="2"/>
      <c r="D812" s="4"/>
      <c r="E812" s="16"/>
      <c r="F812" s="4"/>
      <c r="G812" s="16"/>
      <c r="H812" s="4"/>
      <c r="I812" s="4"/>
      <c r="J812" s="4"/>
      <c r="K812" s="2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"/>
      <c r="B813" s="4"/>
      <c r="C813" s="2"/>
      <c r="D813" s="4"/>
      <c r="E813" s="16"/>
      <c r="F813" s="4"/>
      <c r="G813" s="16"/>
      <c r="H813" s="4"/>
      <c r="I813" s="4"/>
      <c r="J813" s="4"/>
      <c r="K813" s="2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"/>
      <c r="B814" s="4"/>
      <c r="C814" s="2"/>
      <c r="D814" s="4"/>
      <c r="E814" s="16"/>
      <c r="F814" s="4"/>
      <c r="G814" s="16"/>
      <c r="H814" s="4"/>
      <c r="I814" s="4"/>
      <c r="J814" s="4"/>
      <c r="K814" s="2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"/>
      <c r="B815" s="4"/>
      <c r="C815" s="2"/>
      <c r="D815" s="4"/>
      <c r="E815" s="16"/>
      <c r="F815" s="4"/>
      <c r="G815" s="16"/>
      <c r="H815" s="4"/>
      <c r="I815" s="4"/>
      <c r="J815" s="4"/>
      <c r="K815" s="2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"/>
      <c r="B816" s="4"/>
      <c r="C816" s="2"/>
      <c r="D816" s="4"/>
      <c r="E816" s="16"/>
      <c r="F816" s="4"/>
      <c r="G816" s="16"/>
      <c r="H816" s="4"/>
      <c r="I816" s="4"/>
      <c r="J816" s="4"/>
      <c r="K816" s="2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"/>
      <c r="B817" s="4"/>
      <c r="C817" s="2"/>
      <c r="D817" s="4"/>
      <c r="E817" s="16"/>
      <c r="F817" s="4"/>
      <c r="G817" s="16"/>
      <c r="H817" s="4"/>
      <c r="I817" s="4"/>
      <c r="J817" s="4"/>
      <c r="K817" s="2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"/>
      <c r="B818" s="4"/>
      <c r="C818" s="2"/>
      <c r="D818" s="4"/>
      <c r="E818" s="16"/>
      <c r="F818" s="4"/>
      <c r="G818" s="16"/>
      <c r="H818" s="4"/>
      <c r="I818" s="4"/>
      <c r="J818" s="4"/>
      <c r="K818" s="2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"/>
      <c r="B819" s="4"/>
      <c r="C819" s="2"/>
      <c r="D819" s="4"/>
      <c r="E819" s="16"/>
      <c r="F819" s="4"/>
      <c r="G819" s="16"/>
      <c r="H819" s="4"/>
      <c r="I819" s="4"/>
      <c r="J819" s="4"/>
      <c r="K819" s="2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"/>
      <c r="B820" s="4"/>
      <c r="C820" s="2"/>
      <c r="D820" s="4"/>
      <c r="E820" s="16"/>
      <c r="F820" s="4"/>
      <c r="G820" s="16"/>
      <c r="H820" s="4"/>
      <c r="I820" s="4"/>
      <c r="J820" s="4"/>
      <c r="K820" s="2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"/>
      <c r="B821" s="4"/>
      <c r="C821" s="2"/>
      <c r="D821" s="4"/>
      <c r="E821" s="16"/>
      <c r="F821" s="4"/>
      <c r="G821" s="16"/>
      <c r="H821" s="4"/>
      <c r="I821" s="4"/>
      <c r="J821" s="4"/>
      <c r="K821" s="2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"/>
      <c r="B822" s="4"/>
      <c r="C822" s="2"/>
      <c r="D822" s="4"/>
      <c r="E822" s="16"/>
      <c r="F822" s="4"/>
      <c r="G822" s="16"/>
      <c r="H822" s="4"/>
      <c r="I822" s="4"/>
      <c r="J822" s="4"/>
      <c r="K822" s="2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"/>
      <c r="B823" s="4"/>
      <c r="C823" s="2"/>
      <c r="D823" s="4"/>
      <c r="E823" s="16"/>
      <c r="F823" s="4"/>
      <c r="G823" s="16"/>
      <c r="H823" s="4"/>
      <c r="I823" s="4"/>
      <c r="J823" s="4"/>
      <c r="K823" s="2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"/>
      <c r="B824" s="4"/>
      <c r="C824" s="2"/>
      <c r="D824" s="4"/>
      <c r="E824" s="16"/>
      <c r="F824" s="4"/>
      <c r="G824" s="16"/>
      <c r="H824" s="4"/>
      <c r="I824" s="4"/>
      <c r="J824" s="4"/>
      <c r="K824" s="2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"/>
      <c r="B825" s="4"/>
      <c r="C825" s="2"/>
      <c r="D825" s="4"/>
      <c r="E825" s="16"/>
      <c r="F825" s="4"/>
      <c r="G825" s="16"/>
      <c r="H825" s="4"/>
      <c r="I825" s="4"/>
      <c r="J825" s="4"/>
      <c r="K825" s="2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"/>
      <c r="B826" s="4"/>
      <c r="C826" s="2"/>
      <c r="D826" s="4"/>
      <c r="E826" s="16"/>
      <c r="F826" s="4"/>
      <c r="G826" s="16"/>
      <c r="H826" s="4"/>
      <c r="I826" s="4"/>
      <c r="J826" s="4"/>
      <c r="K826" s="2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"/>
      <c r="B827" s="4"/>
      <c r="C827" s="2"/>
      <c r="D827" s="4"/>
      <c r="E827" s="16"/>
      <c r="F827" s="4"/>
      <c r="G827" s="16"/>
      <c r="H827" s="4"/>
      <c r="I827" s="4"/>
      <c r="J827" s="4"/>
      <c r="K827" s="2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"/>
      <c r="B828" s="4"/>
      <c r="C828" s="2"/>
      <c r="D828" s="4"/>
      <c r="E828" s="16"/>
      <c r="F828" s="4"/>
      <c r="G828" s="16"/>
      <c r="H828" s="4"/>
      <c r="I828" s="4"/>
      <c r="J828" s="4"/>
      <c r="K828" s="2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"/>
      <c r="B829" s="4"/>
      <c r="C829" s="2"/>
      <c r="D829" s="4"/>
      <c r="E829" s="16"/>
      <c r="F829" s="4"/>
      <c r="G829" s="16"/>
      <c r="H829" s="4"/>
      <c r="I829" s="4"/>
      <c r="J829" s="4"/>
      <c r="K829" s="2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"/>
      <c r="B830" s="4"/>
      <c r="C830" s="2"/>
      <c r="D830" s="4"/>
      <c r="E830" s="16"/>
      <c r="F830" s="4"/>
      <c r="G830" s="16"/>
      <c r="H830" s="4"/>
      <c r="I830" s="4"/>
      <c r="J830" s="4"/>
      <c r="K830" s="2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"/>
      <c r="B831" s="4"/>
      <c r="C831" s="2"/>
      <c r="D831" s="4"/>
      <c r="E831" s="16"/>
      <c r="F831" s="4"/>
      <c r="G831" s="16"/>
      <c r="H831" s="4"/>
      <c r="I831" s="4"/>
      <c r="J831" s="4"/>
      <c r="K831" s="2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"/>
      <c r="B832" s="4"/>
      <c r="C832" s="2"/>
      <c r="D832" s="4"/>
      <c r="E832" s="16"/>
      <c r="F832" s="4"/>
      <c r="G832" s="16"/>
      <c r="H832" s="4"/>
      <c r="I832" s="4"/>
      <c r="J832" s="4"/>
      <c r="K832" s="2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"/>
      <c r="B833" s="4"/>
      <c r="C833" s="2"/>
      <c r="D833" s="4"/>
      <c r="E833" s="16"/>
      <c r="F833" s="4"/>
      <c r="G833" s="16"/>
      <c r="H833" s="4"/>
      <c r="I833" s="4"/>
      <c r="J833" s="4"/>
      <c r="K833" s="2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"/>
      <c r="B834" s="4"/>
      <c r="C834" s="2"/>
      <c r="D834" s="4"/>
      <c r="E834" s="16"/>
      <c r="F834" s="4"/>
      <c r="G834" s="16"/>
      <c r="H834" s="4"/>
      <c r="I834" s="4"/>
      <c r="J834" s="4"/>
      <c r="K834" s="2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"/>
      <c r="B835" s="4"/>
      <c r="C835" s="2"/>
      <c r="D835" s="4"/>
      <c r="E835" s="16"/>
      <c r="F835" s="4"/>
      <c r="G835" s="16"/>
      <c r="H835" s="4"/>
      <c r="I835" s="4"/>
      <c r="J835" s="4"/>
      <c r="K835" s="2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"/>
      <c r="B836" s="4"/>
      <c r="C836" s="2"/>
      <c r="D836" s="4"/>
      <c r="E836" s="16"/>
      <c r="F836" s="4"/>
      <c r="G836" s="16"/>
      <c r="H836" s="4"/>
      <c r="I836" s="4"/>
      <c r="J836" s="4"/>
      <c r="K836" s="2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"/>
      <c r="B837" s="4"/>
      <c r="C837" s="2"/>
      <c r="D837" s="4"/>
      <c r="E837" s="16"/>
      <c r="F837" s="4"/>
      <c r="G837" s="16"/>
      <c r="H837" s="4"/>
      <c r="I837" s="4"/>
      <c r="J837" s="4"/>
      <c r="K837" s="2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"/>
      <c r="B838" s="4"/>
      <c r="C838" s="2"/>
      <c r="D838" s="4"/>
      <c r="E838" s="16"/>
      <c r="F838" s="4"/>
      <c r="G838" s="16"/>
      <c r="H838" s="4"/>
      <c r="I838" s="4"/>
      <c r="J838" s="4"/>
      <c r="K838" s="2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"/>
      <c r="B839" s="4"/>
      <c r="C839" s="2"/>
      <c r="D839" s="4"/>
      <c r="E839" s="16"/>
      <c r="F839" s="4"/>
      <c r="G839" s="16"/>
      <c r="H839" s="4"/>
      <c r="I839" s="4"/>
      <c r="J839" s="4"/>
      <c r="K839" s="2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"/>
      <c r="B840" s="4"/>
      <c r="C840" s="2"/>
      <c r="D840" s="4"/>
      <c r="E840" s="16"/>
      <c r="F840" s="4"/>
      <c r="G840" s="16"/>
      <c r="H840" s="4"/>
      <c r="I840" s="4"/>
      <c r="J840" s="4"/>
      <c r="K840" s="2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"/>
      <c r="B841" s="4"/>
      <c r="C841" s="2"/>
      <c r="D841" s="4"/>
      <c r="E841" s="16"/>
      <c r="F841" s="4"/>
      <c r="G841" s="16"/>
      <c r="H841" s="4"/>
      <c r="I841" s="4"/>
      <c r="J841" s="4"/>
      <c r="K841" s="2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"/>
      <c r="B842" s="4"/>
      <c r="C842" s="2"/>
      <c r="D842" s="4"/>
      <c r="E842" s="16"/>
      <c r="F842" s="4"/>
      <c r="G842" s="16"/>
      <c r="H842" s="4"/>
      <c r="I842" s="4"/>
      <c r="J842" s="4"/>
      <c r="K842" s="2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"/>
      <c r="B843" s="4"/>
      <c r="C843" s="2"/>
      <c r="D843" s="4"/>
      <c r="E843" s="16"/>
      <c r="F843" s="4"/>
      <c r="G843" s="16"/>
      <c r="H843" s="4"/>
      <c r="I843" s="4"/>
      <c r="J843" s="4"/>
      <c r="K843" s="2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"/>
      <c r="B844" s="4"/>
      <c r="C844" s="2"/>
      <c r="D844" s="4"/>
      <c r="E844" s="16"/>
      <c r="F844" s="4"/>
      <c r="G844" s="16"/>
      <c r="H844" s="4"/>
      <c r="I844" s="4"/>
      <c r="J844" s="4"/>
      <c r="K844" s="2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"/>
      <c r="B845" s="4"/>
      <c r="C845" s="2"/>
      <c r="D845" s="4"/>
      <c r="E845" s="16"/>
      <c r="F845" s="4"/>
      <c r="G845" s="16"/>
      <c r="H845" s="4"/>
      <c r="I845" s="4"/>
      <c r="J845" s="4"/>
      <c r="K845" s="2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"/>
      <c r="B846" s="4"/>
      <c r="C846" s="2"/>
      <c r="D846" s="4"/>
      <c r="E846" s="16"/>
      <c r="F846" s="4"/>
      <c r="G846" s="16"/>
      <c r="H846" s="4"/>
      <c r="I846" s="4"/>
      <c r="J846" s="4"/>
      <c r="K846" s="2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"/>
      <c r="B847" s="4"/>
      <c r="C847" s="2"/>
      <c r="D847" s="4"/>
      <c r="E847" s="16"/>
      <c r="F847" s="4"/>
      <c r="G847" s="16"/>
      <c r="H847" s="4"/>
      <c r="I847" s="4"/>
      <c r="J847" s="4"/>
      <c r="K847" s="2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"/>
      <c r="B848" s="4"/>
      <c r="C848" s="2"/>
      <c r="D848" s="4"/>
      <c r="E848" s="16"/>
      <c r="F848" s="4"/>
      <c r="G848" s="16"/>
      <c r="H848" s="4"/>
      <c r="I848" s="4"/>
      <c r="J848" s="4"/>
      <c r="K848" s="2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"/>
      <c r="B849" s="4"/>
      <c r="C849" s="2"/>
      <c r="D849" s="4"/>
      <c r="E849" s="16"/>
      <c r="F849" s="4"/>
      <c r="G849" s="16"/>
      <c r="H849" s="4"/>
      <c r="I849" s="4"/>
      <c r="J849" s="4"/>
      <c r="K849" s="2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"/>
      <c r="B850" s="4"/>
      <c r="C850" s="2"/>
      <c r="D850" s="4"/>
      <c r="E850" s="16"/>
      <c r="F850" s="4"/>
      <c r="G850" s="16"/>
      <c r="H850" s="4"/>
      <c r="I850" s="4"/>
      <c r="J850" s="4"/>
      <c r="K850" s="2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"/>
      <c r="B851" s="4"/>
      <c r="C851" s="2"/>
      <c r="D851" s="4"/>
      <c r="E851" s="16"/>
      <c r="F851" s="4"/>
      <c r="G851" s="16"/>
      <c r="H851" s="4"/>
      <c r="I851" s="4"/>
      <c r="J851" s="4"/>
      <c r="K851" s="2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"/>
      <c r="B852" s="4"/>
      <c r="C852" s="2"/>
      <c r="D852" s="4"/>
      <c r="E852" s="16"/>
      <c r="F852" s="4"/>
      <c r="G852" s="16"/>
      <c r="H852" s="4"/>
      <c r="I852" s="4"/>
      <c r="J852" s="4"/>
      <c r="K852" s="2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"/>
      <c r="B853" s="4"/>
      <c r="C853" s="2"/>
      <c r="D853" s="4"/>
      <c r="E853" s="16"/>
      <c r="F853" s="4"/>
      <c r="G853" s="16"/>
      <c r="H853" s="4"/>
      <c r="I853" s="4"/>
      <c r="J853" s="4"/>
      <c r="K853" s="2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"/>
      <c r="B854" s="4"/>
      <c r="C854" s="2"/>
      <c r="D854" s="4"/>
      <c r="E854" s="16"/>
      <c r="F854" s="4"/>
      <c r="G854" s="16"/>
      <c r="H854" s="4"/>
      <c r="I854" s="4"/>
      <c r="J854" s="4"/>
      <c r="K854" s="2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"/>
      <c r="B855" s="4"/>
      <c r="C855" s="2"/>
      <c r="D855" s="4"/>
      <c r="E855" s="16"/>
      <c r="F855" s="4"/>
      <c r="G855" s="16"/>
      <c r="H855" s="4"/>
      <c r="I855" s="4"/>
      <c r="J855" s="4"/>
      <c r="K855" s="2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"/>
      <c r="B856" s="4"/>
      <c r="C856" s="2"/>
      <c r="D856" s="4"/>
      <c r="E856" s="16"/>
      <c r="F856" s="4"/>
      <c r="G856" s="16"/>
      <c r="H856" s="4"/>
      <c r="I856" s="4"/>
      <c r="J856" s="4"/>
      <c r="K856" s="2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"/>
      <c r="B857" s="4"/>
      <c r="C857" s="2"/>
      <c r="D857" s="4"/>
      <c r="E857" s="16"/>
      <c r="F857" s="4"/>
      <c r="G857" s="16"/>
      <c r="H857" s="4"/>
      <c r="I857" s="4"/>
      <c r="J857" s="4"/>
      <c r="K857" s="2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"/>
      <c r="B858" s="4"/>
      <c r="C858" s="2"/>
      <c r="D858" s="4"/>
      <c r="E858" s="16"/>
      <c r="F858" s="4"/>
      <c r="G858" s="16"/>
      <c r="H858" s="4"/>
      <c r="I858" s="4"/>
      <c r="J858" s="4"/>
      <c r="K858" s="2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"/>
      <c r="B859" s="4"/>
      <c r="C859" s="2"/>
      <c r="D859" s="4"/>
      <c r="E859" s="16"/>
      <c r="F859" s="4"/>
      <c r="G859" s="16"/>
      <c r="H859" s="4"/>
      <c r="I859" s="4"/>
      <c r="J859" s="4"/>
      <c r="K859" s="2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"/>
      <c r="B860" s="4"/>
      <c r="C860" s="2"/>
      <c r="D860" s="4"/>
      <c r="E860" s="16"/>
      <c r="F860" s="4"/>
      <c r="G860" s="16"/>
      <c r="H860" s="4"/>
      <c r="I860" s="4"/>
      <c r="J860" s="4"/>
      <c r="K860" s="2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"/>
      <c r="B861" s="4"/>
      <c r="C861" s="2"/>
      <c r="D861" s="4"/>
      <c r="E861" s="16"/>
      <c r="F861" s="4"/>
      <c r="G861" s="16"/>
      <c r="H861" s="4"/>
      <c r="I861" s="4"/>
      <c r="J861" s="4"/>
      <c r="K861" s="2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"/>
      <c r="B862" s="4"/>
      <c r="C862" s="2"/>
      <c r="D862" s="4"/>
      <c r="E862" s="16"/>
      <c r="F862" s="4"/>
      <c r="G862" s="16"/>
      <c r="H862" s="4"/>
      <c r="I862" s="4"/>
      <c r="J862" s="4"/>
      <c r="K862" s="2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"/>
      <c r="B863" s="4"/>
      <c r="C863" s="2"/>
      <c r="D863" s="4"/>
      <c r="E863" s="16"/>
      <c r="F863" s="4"/>
      <c r="G863" s="16"/>
      <c r="H863" s="4"/>
      <c r="I863" s="4"/>
      <c r="J863" s="4"/>
      <c r="K863" s="2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"/>
      <c r="B864" s="4"/>
      <c r="C864" s="2"/>
      <c r="D864" s="4"/>
      <c r="E864" s="16"/>
      <c r="F864" s="4"/>
      <c r="G864" s="16"/>
      <c r="H864" s="4"/>
      <c r="I864" s="4"/>
      <c r="J864" s="4"/>
      <c r="K864" s="2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"/>
      <c r="B865" s="4"/>
      <c r="C865" s="2"/>
      <c r="D865" s="4"/>
      <c r="E865" s="16"/>
      <c r="F865" s="4"/>
      <c r="G865" s="16"/>
      <c r="H865" s="4"/>
      <c r="I865" s="4"/>
      <c r="J865" s="4"/>
      <c r="K865" s="2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"/>
      <c r="B866" s="4"/>
      <c r="C866" s="2"/>
      <c r="D866" s="4"/>
      <c r="E866" s="16"/>
      <c r="F866" s="4"/>
      <c r="G866" s="16"/>
      <c r="H866" s="4"/>
      <c r="I866" s="4"/>
      <c r="J866" s="4"/>
      <c r="K866" s="2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"/>
      <c r="B867" s="4"/>
      <c r="C867" s="2"/>
      <c r="D867" s="4"/>
      <c r="E867" s="16"/>
      <c r="F867" s="4"/>
      <c r="G867" s="16"/>
      <c r="H867" s="4"/>
      <c r="I867" s="4"/>
      <c r="J867" s="4"/>
      <c r="K867" s="2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"/>
      <c r="B868" s="4"/>
      <c r="C868" s="2"/>
      <c r="D868" s="4"/>
      <c r="E868" s="16"/>
      <c r="F868" s="4"/>
      <c r="G868" s="16"/>
      <c r="H868" s="4"/>
      <c r="I868" s="4"/>
      <c r="J868" s="4"/>
      <c r="K868" s="2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"/>
      <c r="B869" s="4"/>
      <c r="C869" s="2"/>
      <c r="D869" s="4"/>
      <c r="E869" s="16"/>
      <c r="F869" s="4"/>
      <c r="G869" s="16"/>
      <c r="H869" s="4"/>
      <c r="I869" s="4"/>
      <c r="J869" s="4"/>
      <c r="K869" s="2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"/>
      <c r="B870" s="4"/>
      <c r="C870" s="2"/>
      <c r="D870" s="4"/>
      <c r="E870" s="16"/>
      <c r="F870" s="4"/>
      <c r="G870" s="16"/>
      <c r="H870" s="4"/>
      <c r="I870" s="4"/>
      <c r="J870" s="4"/>
      <c r="K870" s="2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"/>
      <c r="B871" s="4"/>
      <c r="C871" s="2"/>
      <c r="D871" s="4"/>
      <c r="E871" s="16"/>
      <c r="F871" s="4"/>
      <c r="G871" s="16"/>
      <c r="H871" s="4"/>
      <c r="I871" s="4"/>
      <c r="J871" s="4"/>
      <c r="K871" s="2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"/>
      <c r="B872" s="4"/>
      <c r="C872" s="2"/>
      <c r="D872" s="4"/>
      <c r="E872" s="16"/>
      <c r="F872" s="4"/>
      <c r="G872" s="16"/>
      <c r="H872" s="4"/>
      <c r="I872" s="4"/>
      <c r="J872" s="4"/>
      <c r="K872" s="2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"/>
      <c r="B873" s="4"/>
      <c r="C873" s="2"/>
      <c r="D873" s="4"/>
      <c r="E873" s="16"/>
      <c r="F873" s="4"/>
      <c r="G873" s="16"/>
      <c r="H873" s="4"/>
      <c r="I873" s="4"/>
      <c r="J873" s="4"/>
      <c r="K873" s="2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"/>
      <c r="B874" s="4"/>
      <c r="C874" s="2"/>
      <c r="D874" s="4"/>
      <c r="E874" s="16"/>
      <c r="F874" s="4"/>
      <c r="G874" s="16"/>
      <c r="H874" s="4"/>
      <c r="I874" s="4"/>
      <c r="J874" s="4"/>
      <c r="K874" s="2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"/>
      <c r="B875" s="4"/>
      <c r="C875" s="2"/>
      <c r="D875" s="4"/>
      <c r="E875" s="16"/>
      <c r="F875" s="4"/>
      <c r="G875" s="16"/>
      <c r="H875" s="4"/>
      <c r="I875" s="4"/>
      <c r="J875" s="4"/>
      <c r="K875" s="2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"/>
      <c r="B876" s="4"/>
      <c r="C876" s="2"/>
      <c r="D876" s="4"/>
      <c r="E876" s="16"/>
      <c r="F876" s="4"/>
      <c r="G876" s="16"/>
      <c r="H876" s="4"/>
      <c r="I876" s="4"/>
      <c r="J876" s="4"/>
      <c r="K876" s="2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"/>
      <c r="B877" s="4"/>
      <c r="C877" s="2"/>
      <c r="D877" s="4"/>
      <c r="E877" s="16"/>
      <c r="F877" s="4"/>
      <c r="G877" s="16"/>
      <c r="H877" s="4"/>
      <c r="I877" s="4"/>
      <c r="J877" s="4"/>
      <c r="K877" s="2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"/>
      <c r="B878" s="4"/>
      <c r="C878" s="2"/>
      <c r="D878" s="4"/>
      <c r="E878" s="16"/>
      <c r="F878" s="4"/>
      <c r="G878" s="16"/>
      <c r="H878" s="4"/>
      <c r="I878" s="4"/>
      <c r="J878" s="4"/>
      <c r="K878" s="2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"/>
      <c r="B879" s="4"/>
      <c r="C879" s="2"/>
      <c r="D879" s="4"/>
      <c r="E879" s="16"/>
      <c r="F879" s="4"/>
      <c r="G879" s="16"/>
      <c r="H879" s="4"/>
      <c r="I879" s="4"/>
      <c r="J879" s="4"/>
      <c r="K879" s="2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"/>
      <c r="B880" s="4"/>
      <c r="C880" s="2"/>
      <c r="D880" s="4"/>
      <c r="E880" s="16"/>
      <c r="F880" s="4"/>
      <c r="G880" s="16"/>
      <c r="H880" s="4"/>
      <c r="I880" s="4"/>
      <c r="J880" s="4"/>
      <c r="K880" s="2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"/>
      <c r="B881" s="4"/>
      <c r="C881" s="2"/>
      <c r="D881" s="4"/>
      <c r="E881" s="16"/>
      <c r="F881" s="4"/>
      <c r="G881" s="16"/>
      <c r="H881" s="4"/>
      <c r="I881" s="4"/>
      <c r="J881" s="4"/>
      <c r="K881" s="2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"/>
      <c r="B882" s="4"/>
      <c r="C882" s="2"/>
      <c r="D882" s="4"/>
      <c r="E882" s="16"/>
      <c r="F882" s="4"/>
      <c r="G882" s="16"/>
      <c r="H882" s="4"/>
      <c r="I882" s="4"/>
      <c r="J882" s="4"/>
      <c r="K882" s="2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"/>
      <c r="B883" s="4"/>
      <c r="C883" s="2"/>
      <c r="D883" s="4"/>
      <c r="E883" s="16"/>
      <c r="F883" s="4"/>
      <c r="G883" s="16"/>
      <c r="H883" s="4"/>
      <c r="I883" s="4"/>
      <c r="J883" s="4"/>
      <c r="K883" s="2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"/>
      <c r="B884" s="4"/>
      <c r="C884" s="2"/>
      <c r="D884" s="4"/>
      <c r="E884" s="16"/>
      <c r="F884" s="4"/>
      <c r="G884" s="16"/>
      <c r="H884" s="4"/>
      <c r="I884" s="4"/>
      <c r="J884" s="4"/>
      <c r="K884" s="2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"/>
      <c r="B885" s="4"/>
      <c r="C885" s="2"/>
      <c r="D885" s="4"/>
      <c r="E885" s="16"/>
      <c r="F885" s="4"/>
      <c r="G885" s="16"/>
      <c r="H885" s="4"/>
      <c r="I885" s="4"/>
      <c r="J885" s="4"/>
      <c r="K885" s="2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"/>
      <c r="B886" s="4"/>
      <c r="C886" s="2"/>
      <c r="D886" s="4"/>
      <c r="E886" s="16"/>
      <c r="F886" s="4"/>
      <c r="G886" s="16"/>
      <c r="H886" s="4"/>
      <c r="I886" s="4"/>
      <c r="J886" s="4"/>
      <c r="K886" s="2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"/>
      <c r="B887" s="4"/>
      <c r="C887" s="2"/>
      <c r="D887" s="4"/>
      <c r="E887" s="16"/>
      <c r="F887" s="4"/>
      <c r="G887" s="16"/>
      <c r="H887" s="4"/>
      <c r="I887" s="4"/>
      <c r="J887" s="4"/>
      <c r="K887" s="2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"/>
      <c r="B888" s="4"/>
      <c r="C888" s="2"/>
      <c r="D888" s="4"/>
      <c r="E888" s="16"/>
      <c r="F888" s="4"/>
      <c r="G888" s="16"/>
      <c r="H888" s="4"/>
      <c r="I888" s="4"/>
      <c r="J888" s="4"/>
      <c r="K888" s="2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"/>
      <c r="B889" s="4"/>
      <c r="C889" s="2"/>
      <c r="D889" s="4"/>
      <c r="E889" s="16"/>
      <c r="F889" s="4"/>
      <c r="G889" s="16"/>
      <c r="H889" s="4"/>
      <c r="I889" s="4"/>
      <c r="J889" s="4"/>
      <c r="K889" s="2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"/>
      <c r="B890" s="4"/>
      <c r="C890" s="2"/>
      <c r="D890" s="4"/>
      <c r="E890" s="16"/>
      <c r="F890" s="4"/>
      <c r="G890" s="16"/>
      <c r="H890" s="4"/>
      <c r="I890" s="4"/>
      <c r="J890" s="4"/>
      <c r="K890" s="2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"/>
      <c r="B891" s="4"/>
      <c r="C891" s="2"/>
      <c r="D891" s="4"/>
      <c r="E891" s="16"/>
      <c r="F891" s="4"/>
      <c r="G891" s="16"/>
      <c r="H891" s="4"/>
      <c r="I891" s="4"/>
      <c r="J891" s="4"/>
      <c r="K891" s="2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"/>
      <c r="B892" s="4"/>
      <c r="C892" s="2"/>
      <c r="D892" s="4"/>
      <c r="E892" s="16"/>
      <c r="F892" s="4"/>
      <c r="G892" s="16"/>
      <c r="H892" s="4"/>
      <c r="I892" s="4"/>
      <c r="J892" s="4"/>
      <c r="K892" s="2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"/>
      <c r="B893" s="4"/>
      <c r="C893" s="2"/>
      <c r="D893" s="4"/>
      <c r="E893" s="16"/>
      <c r="F893" s="4"/>
      <c r="G893" s="16"/>
      <c r="H893" s="4"/>
      <c r="I893" s="4"/>
      <c r="J893" s="4"/>
      <c r="K893" s="2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"/>
      <c r="B894" s="4"/>
      <c r="C894" s="2"/>
      <c r="D894" s="4"/>
      <c r="E894" s="16"/>
      <c r="F894" s="4"/>
      <c r="G894" s="16"/>
      <c r="H894" s="4"/>
      <c r="I894" s="4"/>
      <c r="J894" s="4"/>
      <c r="K894" s="2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"/>
      <c r="B895" s="4"/>
      <c r="C895" s="2"/>
      <c r="D895" s="4"/>
      <c r="E895" s="16"/>
      <c r="F895" s="4"/>
      <c r="G895" s="16"/>
      <c r="H895" s="4"/>
      <c r="I895" s="4"/>
      <c r="J895" s="4"/>
      <c r="K895" s="2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"/>
      <c r="B896" s="4"/>
      <c r="C896" s="2"/>
      <c r="D896" s="4"/>
      <c r="E896" s="16"/>
      <c r="F896" s="4"/>
      <c r="G896" s="16"/>
      <c r="H896" s="4"/>
      <c r="I896" s="4"/>
      <c r="J896" s="4"/>
      <c r="K896" s="2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"/>
      <c r="B897" s="4"/>
      <c r="C897" s="2"/>
      <c r="D897" s="4"/>
      <c r="E897" s="16"/>
      <c r="F897" s="4"/>
      <c r="G897" s="16"/>
      <c r="H897" s="4"/>
      <c r="I897" s="4"/>
      <c r="J897" s="4"/>
      <c r="K897" s="2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"/>
      <c r="B898" s="4"/>
      <c r="C898" s="2"/>
      <c r="D898" s="4"/>
      <c r="E898" s="16"/>
      <c r="F898" s="4"/>
      <c r="G898" s="16"/>
      <c r="H898" s="4"/>
      <c r="I898" s="4"/>
      <c r="J898" s="4"/>
      <c r="K898" s="2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"/>
      <c r="B899" s="4"/>
      <c r="C899" s="2"/>
      <c r="D899" s="4"/>
      <c r="E899" s="16"/>
      <c r="F899" s="4"/>
      <c r="G899" s="16"/>
      <c r="H899" s="4"/>
      <c r="I899" s="4"/>
      <c r="J899" s="4"/>
      <c r="K899" s="2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"/>
      <c r="B900" s="4"/>
      <c r="C900" s="2"/>
      <c r="D900" s="4"/>
      <c r="E900" s="16"/>
      <c r="F900" s="4"/>
      <c r="G900" s="16"/>
      <c r="H900" s="4"/>
      <c r="I900" s="4"/>
      <c r="J900" s="4"/>
      <c r="K900" s="2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"/>
      <c r="B901" s="4"/>
      <c r="C901" s="2"/>
      <c r="D901" s="4"/>
      <c r="E901" s="16"/>
      <c r="F901" s="4"/>
      <c r="G901" s="16"/>
      <c r="H901" s="4"/>
      <c r="I901" s="4"/>
      <c r="J901" s="4"/>
      <c r="K901" s="2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"/>
      <c r="B902" s="4"/>
      <c r="C902" s="2"/>
      <c r="D902" s="4"/>
      <c r="E902" s="16"/>
      <c r="F902" s="4"/>
      <c r="G902" s="16"/>
      <c r="H902" s="4"/>
      <c r="I902" s="4"/>
      <c r="J902" s="4"/>
      <c r="K902" s="2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"/>
      <c r="B903" s="4"/>
      <c r="C903" s="2"/>
      <c r="D903" s="4"/>
      <c r="E903" s="16"/>
      <c r="F903" s="4"/>
      <c r="G903" s="16"/>
      <c r="H903" s="4"/>
      <c r="I903" s="4"/>
      <c r="J903" s="4"/>
      <c r="K903" s="2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"/>
      <c r="B904" s="4"/>
      <c r="C904" s="2"/>
      <c r="D904" s="4"/>
      <c r="E904" s="16"/>
      <c r="F904" s="4"/>
      <c r="G904" s="16"/>
      <c r="H904" s="4"/>
      <c r="I904" s="4"/>
      <c r="J904" s="4"/>
      <c r="K904" s="2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"/>
      <c r="B905" s="4"/>
      <c r="C905" s="2"/>
      <c r="D905" s="4"/>
      <c r="E905" s="16"/>
      <c r="F905" s="4"/>
      <c r="G905" s="16"/>
      <c r="H905" s="4"/>
      <c r="I905" s="4"/>
      <c r="J905" s="4"/>
      <c r="K905" s="2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"/>
      <c r="B906" s="4"/>
      <c r="C906" s="2"/>
      <c r="D906" s="4"/>
      <c r="E906" s="16"/>
      <c r="F906" s="4"/>
      <c r="G906" s="16"/>
      <c r="H906" s="4"/>
      <c r="I906" s="4"/>
      <c r="J906" s="4"/>
      <c r="K906" s="2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"/>
      <c r="B907" s="4"/>
      <c r="C907" s="2"/>
      <c r="D907" s="4"/>
      <c r="E907" s="16"/>
      <c r="F907" s="4"/>
      <c r="G907" s="16"/>
      <c r="H907" s="4"/>
      <c r="I907" s="4"/>
      <c r="J907" s="4"/>
      <c r="K907" s="2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"/>
      <c r="B908" s="4"/>
      <c r="C908" s="2"/>
      <c r="D908" s="4"/>
      <c r="E908" s="16"/>
      <c r="F908" s="4"/>
      <c r="G908" s="16"/>
      <c r="H908" s="4"/>
      <c r="I908" s="4"/>
      <c r="J908" s="4"/>
      <c r="K908" s="2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"/>
      <c r="B909" s="4"/>
      <c r="C909" s="2"/>
      <c r="D909" s="4"/>
      <c r="E909" s="16"/>
      <c r="F909" s="4"/>
      <c r="G909" s="16"/>
      <c r="H909" s="4"/>
      <c r="I909" s="4"/>
      <c r="J909" s="4"/>
      <c r="K909" s="2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"/>
      <c r="B910" s="4"/>
      <c r="C910" s="2"/>
      <c r="D910" s="4"/>
      <c r="E910" s="16"/>
      <c r="F910" s="4"/>
      <c r="G910" s="16"/>
      <c r="H910" s="4"/>
      <c r="I910" s="4"/>
      <c r="J910" s="4"/>
      <c r="K910" s="2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"/>
      <c r="B911" s="4"/>
      <c r="C911" s="2"/>
      <c r="D911" s="4"/>
      <c r="E911" s="16"/>
      <c r="F911" s="4"/>
      <c r="G911" s="16"/>
      <c r="H911" s="4"/>
      <c r="I911" s="4"/>
      <c r="J911" s="4"/>
      <c r="K911" s="2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"/>
      <c r="B912" s="4"/>
      <c r="C912" s="2"/>
      <c r="D912" s="4"/>
      <c r="E912" s="16"/>
      <c r="F912" s="4"/>
      <c r="G912" s="16"/>
      <c r="H912" s="4"/>
      <c r="I912" s="4"/>
      <c r="J912" s="4"/>
      <c r="K912" s="2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"/>
      <c r="B913" s="4"/>
      <c r="C913" s="2"/>
      <c r="D913" s="4"/>
      <c r="E913" s="16"/>
      <c r="F913" s="4"/>
      <c r="G913" s="16"/>
      <c r="H913" s="4"/>
      <c r="I913" s="4"/>
      <c r="J913" s="4"/>
      <c r="K913" s="2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"/>
      <c r="B914" s="4"/>
      <c r="C914" s="2"/>
      <c r="D914" s="4"/>
      <c r="E914" s="16"/>
      <c r="F914" s="4"/>
      <c r="G914" s="16"/>
      <c r="H914" s="4"/>
      <c r="I914" s="4"/>
      <c r="J914" s="4"/>
      <c r="K914" s="2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"/>
      <c r="B915" s="4"/>
      <c r="C915" s="2"/>
      <c r="D915" s="4"/>
      <c r="E915" s="16"/>
      <c r="F915" s="4"/>
      <c r="G915" s="16"/>
      <c r="H915" s="4"/>
      <c r="I915" s="4"/>
      <c r="J915" s="4"/>
      <c r="K915" s="2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"/>
      <c r="B916" s="4"/>
      <c r="C916" s="2"/>
      <c r="D916" s="4"/>
      <c r="E916" s="16"/>
      <c r="F916" s="4"/>
      <c r="G916" s="16"/>
      <c r="H916" s="4"/>
      <c r="I916" s="4"/>
      <c r="J916" s="4"/>
      <c r="K916" s="2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"/>
      <c r="B917" s="4"/>
      <c r="C917" s="2"/>
      <c r="D917" s="4"/>
      <c r="E917" s="16"/>
      <c r="F917" s="4"/>
      <c r="G917" s="16"/>
      <c r="H917" s="4"/>
      <c r="I917" s="4"/>
      <c r="J917" s="4"/>
      <c r="K917" s="2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"/>
      <c r="B918" s="4"/>
      <c r="C918" s="2"/>
      <c r="D918" s="4"/>
      <c r="E918" s="16"/>
      <c r="F918" s="4"/>
      <c r="G918" s="16"/>
      <c r="H918" s="4"/>
      <c r="I918" s="4"/>
      <c r="J918" s="4"/>
      <c r="K918" s="2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"/>
      <c r="B919" s="4"/>
      <c r="C919" s="2"/>
      <c r="D919" s="4"/>
      <c r="E919" s="16"/>
      <c r="F919" s="4"/>
      <c r="G919" s="16"/>
      <c r="H919" s="4"/>
      <c r="I919" s="4"/>
      <c r="J919" s="4"/>
      <c r="K919" s="2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"/>
      <c r="B920" s="4"/>
      <c r="C920" s="2"/>
      <c r="D920" s="4"/>
      <c r="E920" s="16"/>
      <c r="F920" s="4"/>
      <c r="G920" s="16"/>
      <c r="H920" s="4"/>
      <c r="I920" s="4"/>
      <c r="J920" s="4"/>
      <c r="K920" s="2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"/>
      <c r="B921" s="4"/>
      <c r="C921" s="2"/>
      <c r="D921" s="4"/>
      <c r="E921" s="16"/>
      <c r="F921" s="4"/>
      <c r="G921" s="16"/>
      <c r="H921" s="4"/>
      <c r="I921" s="4"/>
      <c r="J921" s="4"/>
      <c r="K921" s="2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"/>
      <c r="B922" s="4"/>
      <c r="C922" s="2"/>
      <c r="D922" s="4"/>
      <c r="E922" s="16"/>
      <c r="F922" s="4"/>
      <c r="G922" s="16"/>
      <c r="H922" s="4"/>
      <c r="I922" s="4"/>
      <c r="J922" s="4"/>
      <c r="K922" s="2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"/>
      <c r="B923" s="4"/>
      <c r="C923" s="2"/>
      <c r="D923" s="4"/>
      <c r="E923" s="16"/>
      <c r="F923" s="4"/>
      <c r="G923" s="16"/>
      <c r="H923" s="4"/>
      <c r="I923" s="4"/>
      <c r="J923" s="4"/>
      <c r="K923" s="2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"/>
      <c r="B924" s="4"/>
      <c r="C924" s="2"/>
      <c r="D924" s="4"/>
      <c r="E924" s="16"/>
      <c r="F924" s="4"/>
      <c r="G924" s="16"/>
      <c r="H924" s="4"/>
      <c r="I924" s="4"/>
      <c r="J924" s="4"/>
      <c r="K924" s="2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"/>
      <c r="B925" s="4"/>
      <c r="C925" s="2"/>
      <c r="D925" s="4"/>
      <c r="E925" s="16"/>
      <c r="F925" s="4"/>
      <c r="G925" s="16"/>
      <c r="H925" s="4"/>
      <c r="I925" s="4"/>
      <c r="J925" s="4"/>
      <c r="K925" s="2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"/>
      <c r="B926" s="4"/>
      <c r="C926" s="2"/>
      <c r="D926" s="4"/>
      <c r="E926" s="16"/>
      <c r="F926" s="4"/>
      <c r="G926" s="16"/>
      <c r="H926" s="4"/>
      <c r="I926" s="4"/>
      <c r="J926" s="4"/>
      <c r="K926" s="2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"/>
      <c r="B927" s="4"/>
      <c r="C927" s="2"/>
      <c r="D927" s="4"/>
      <c r="E927" s="16"/>
      <c r="F927" s="4"/>
      <c r="G927" s="16"/>
      <c r="H927" s="4"/>
      <c r="I927" s="4"/>
      <c r="J927" s="4"/>
      <c r="K927" s="2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"/>
      <c r="B928" s="4"/>
      <c r="C928" s="2"/>
      <c r="D928" s="4"/>
      <c r="E928" s="16"/>
      <c r="F928" s="4"/>
      <c r="G928" s="16"/>
      <c r="H928" s="4"/>
      <c r="I928" s="4"/>
      <c r="J928" s="4"/>
      <c r="K928" s="2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"/>
      <c r="B929" s="4"/>
      <c r="C929" s="2"/>
      <c r="D929" s="4"/>
      <c r="E929" s="16"/>
      <c r="F929" s="4"/>
      <c r="G929" s="16"/>
      <c r="H929" s="4"/>
      <c r="I929" s="4"/>
      <c r="J929" s="4"/>
      <c r="K929" s="2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"/>
      <c r="B930" s="4"/>
      <c r="C930" s="2"/>
      <c r="D930" s="4"/>
      <c r="E930" s="16"/>
      <c r="F930" s="4"/>
      <c r="G930" s="16"/>
      <c r="H930" s="4"/>
      <c r="I930" s="4"/>
      <c r="J930" s="4"/>
      <c r="K930" s="2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"/>
      <c r="B931" s="4"/>
      <c r="C931" s="2"/>
      <c r="D931" s="4"/>
      <c r="E931" s="16"/>
      <c r="F931" s="4"/>
      <c r="G931" s="16"/>
      <c r="H931" s="4"/>
      <c r="I931" s="4"/>
      <c r="J931" s="4"/>
      <c r="K931" s="2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"/>
      <c r="B932" s="4"/>
      <c r="C932" s="2"/>
      <c r="D932" s="4"/>
      <c r="E932" s="16"/>
      <c r="F932" s="4"/>
      <c r="G932" s="16"/>
      <c r="H932" s="4"/>
      <c r="I932" s="4"/>
      <c r="J932" s="4"/>
      <c r="K932" s="2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"/>
      <c r="B933" s="4"/>
      <c r="C933" s="2"/>
      <c r="D933" s="4"/>
      <c r="E933" s="16"/>
      <c r="F933" s="4"/>
      <c r="G933" s="16"/>
      <c r="H933" s="4"/>
      <c r="I933" s="4"/>
      <c r="J933" s="4"/>
      <c r="K933" s="2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"/>
      <c r="B934" s="4"/>
      <c r="C934" s="2"/>
      <c r="D934" s="4"/>
      <c r="E934" s="16"/>
      <c r="F934" s="4"/>
      <c r="G934" s="16"/>
      <c r="H934" s="4"/>
      <c r="I934" s="4"/>
      <c r="J934" s="4"/>
      <c r="K934" s="2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"/>
      <c r="B935" s="4"/>
      <c r="C935" s="2"/>
      <c r="D935" s="4"/>
      <c r="E935" s="16"/>
      <c r="F935" s="4"/>
      <c r="G935" s="16"/>
      <c r="H935" s="4"/>
      <c r="I935" s="4"/>
      <c r="J935" s="4"/>
      <c r="K935" s="2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"/>
      <c r="B936" s="4"/>
      <c r="C936" s="2"/>
      <c r="D936" s="4"/>
      <c r="E936" s="16"/>
      <c r="F936" s="4"/>
      <c r="G936" s="16"/>
      <c r="H936" s="4"/>
      <c r="I936" s="4"/>
      <c r="J936" s="4"/>
      <c r="K936" s="2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"/>
      <c r="B937" s="4"/>
      <c r="C937" s="2"/>
      <c r="D937" s="4"/>
      <c r="E937" s="16"/>
      <c r="F937" s="4"/>
      <c r="G937" s="16"/>
      <c r="H937" s="4"/>
      <c r="I937" s="4"/>
      <c r="J937" s="4"/>
      <c r="K937" s="2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"/>
      <c r="B938" s="4"/>
      <c r="C938" s="2"/>
      <c r="D938" s="4"/>
      <c r="E938" s="16"/>
      <c r="F938" s="4"/>
      <c r="G938" s="16"/>
      <c r="H938" s="4"/>
      <c r="I938" s="4"/>
      <c r="J938" s="4"/>
      <c r="K938" s="2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"/>
      <c r="B939" s="4"/>
      <c r="C939" s="2"/>
      <c r="D939" s="4"/>
      <c r="E939" s="16"/>
      <c r="F939" s="4"/>
      <c r="G939" s="16"/>
      <c r="H939" s="4"/>
      <c r="I939" s="4"/>
      <c r="J939" s="4"/>
      <c r="K939" s="2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"/>
      <c r="B940" s="4"/>
      <c r="C940" s="2"/>
      <c r="D940" s="4"/>
      <c r="E940" s="16"/>
      <c r="F940" s="4"/>
      <c r="G940" s="16"/>
      <c r="H940" s="4"/>
      <c r="I940" s="4"/>
      <c r="J940" s="4"/>
      <c r="K940" s="2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"/>
      <c r="B941" s="4"/>
      <c r="C941" s="2"/>
      <c r="D941" s="4"/>
      <c r="E941" s="16"/>
      <c r="F941" s="4"/>
      <c r="G941" s="16"/>
      <c r="H941" s="4"/>
      <c r="I941" s="4"/>
      <c r="J941" s="4"/>
      <c r="K941" s="2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"/>
      <c r="B942" s="4"/>
      <c r="C942" s="2"/>
      <c r="D942" s="4"/>
      <c r="E942" s="16"/>
      <c r="F942" s="4"/>
      <c r="G942" s="16"/>
      <c r="H942" s="4"/>
      <c r="I942" s="4"/>
      <c r="J942" s="4"/>
      <c r="K942" s="2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"/>
      <c r="B943" s="4"/>
      <c r="C943" s="2"/>
      <c r="D943" s="4"/>
      <c r="E943" s="16"/>
      <c r="F943" s="4"/>
      <c r="G943" s="16"/>
      <c r="H943" s="4"/>
      <c r="I943" s="4"/>
      <c r="J943" s="4"/>
      <c r="K943" s="2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"/>
      <c r="B944" s="4"/>
      <c r="C944" s="2"/>
      <c r="D944" s="4"/>
      <c r="E944" s="16"/>
      <c r="F944" s="4"/>
      <c r="G944" s="16"/>
      <c r="H944" s="4"/>
      <c r="I944" s="4"/>
      <c r="J944" s="4"/>
      <c r="K944" s="2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"/>
      <c r="B945" s="4"/>
      <c r="C945" s="2"/>
      <c r="D945" s="4"/>
      <c r="E945" s="16"/>
      <c r="F945" s="4"/>
      <c r="G945" s="16"/>
      <c r="H945" s="4"/>
      <c r="I945" s="4"/>
      <c r="J945" s="4"/>
      <c r="K945" s="2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"/>
      <c r="B946" s="4"/>
      <c r="C946" s="2"/>
      <c r="D946" s="4"/>
      <c r="E946" s="16"/>
      <c r="F946" s="4"/>
      <c r="G946" s="16"/>
      <c r="H946" s="4"/>
      <c r="I946" s="4"/>
      <c r="J946" s="4"/>
      <c r="K946" s="2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"/>
      <c r="B947" s="4"/>
      <c r="C947" s="2"/>
      <c r="D947" s="4"/>
      <c r="E947" s="16"/>
      <c r="F947" s="4"/>
      <c r="G947" s="16"/>
      <c r="H947" s="4"/>
      <c r="I947" s="4"/>
      <c r="J947" s="4"/>
      <c r="K947" s="2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"/>
      <c r="B948" s="4"/>
      <c r="C948" s="2"/>
      <c r="D948" s="4"/>
      <c r="E948" s="16"/>
      <c r="F948" s="4"/>
      <c r="G948" s="16"/>
      <c r="H948" s="4"/>
      <c r="I948" s="4"/>
      <c r="J948" s="4"/>
      <c r="K948" s="2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"/>
      <c r="B949" s="4"/>
      <c r="C949" s="2"/>
      <c r="D949" s="4"/>
      <c r="E949" s="16"/>
      <c r="F949" s="4"/>
      <c r="G949" s="16"/>
      <c r="H949" s="4"/>
      <c r="I949" s="4"/>
      <c r="J949" s="4"/>
      <c r="K949" s="2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"/>
      <c r="B950" s="4"/>
      <c r="C950" s="2"/>
      <c r="D950" s="4"/>
      <c r="E950" s="16"/>
      <c r="F950" s="4"/>
      <c r="G950" s="16"/>
      <c r="H950" s="4"/>
      <c r="I950" s="4"/>
      <c r="J950" s="4"/>
      <c r="K950" s="2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"/>
      <c r="B951" s="4"/>
      <c r="C951" s="2"/>
      <c r="D951" s="4"/>
      <c r="E951" s="16"/>
      <c r="F951" s="4"/>
      <c r="G951" s="16"/>
      <c r="H951" s="4"/>
      <c r="I951" s="4"/>
      <c r="J951" s="4"/>
      <c r="K951" s="2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"/>
      <c r="B952" s="4"/>
      <c r="C952" s="2"/>
      <c r="D952" s="4"/>
      <c r="E952" s="16"/>
      <c r="F952" s="4"/>
      <c r="G952" s="16"/>
      <c r="H952" s="4"/>
      <c r="I952" s="4"/>
      <c r="J952" s="4"/>
      <c r="K952" s="2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"/>
      <c r="B953" s="4"/>
      <c r="C953" s="2"/>
      <c r="D953" s="4"/>
      <c r="E953" s="16"/>
      <c r="F953" s="4"/>
      <c r="G953" s="16"/>
      <c r="H953" s="4"/>
      <c r="I953" s="4"/>
      <c r="J953" s="4"/>
      <c r="K953" s="2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"/>
      <c r="B954" s="4"/>
      <c r="C954" s="2"/>
      <c r="D954" s="4"/>
      <c r="E954" s="16"/>
      <c r="F954" s="4"/>
      <c r="G954" s="16"/>
      <c r="H954" s="4"/>
      <c r="I954" s="4"/>
      <c r="J954" s="4"/>
      <c r="K954" s="2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"/>
      <c r="B955" s="4"/>
      <c r="C955" s="2"/>
      <c r="D955" s="4"/>
      <c r="E955" s="16"/>
      <c r="F955" s="4"/>
      <c r="G955" s="16"/>
      <c r="H955" s="4"/>
      <c r="I955" s="4"/>
      <c r="J955" s="4"/>
      <c r="K955" s="2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"/>
      <c r="B956" s="4"/>
      <c r="C956" s="2"/>
      <c r="D956" s="4"/>
      <c r="E956" s="16"/>
      <c r="F956" s="4"/>
      <c r="G956" s="16"/>
      <c r="H956" s="4"/>
      <c r="I956" s="4"/>
      <c r="J956" s="4"/>
      <c r="K956" s="2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"/>
      <c r="B957" s="4"/>
      <c r="C957" s="2"/>
      <c r="D957" s="4"/>
      <c r="E957" s="16"/>
      <c r="F957" s="4"/>
      <c r="G957" s="16"/>
      <c r="H957" s="4"/>
      <c r="I957" s="4"/>
      <c r="J957" s="4"/>
      <c r="K957" s="2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"/>
      <c r="B958" s="4"/>
      <c r="C958" s="2"/>
      <c r="D958" s="4"/>
      <c r="E958" s="16"/>
      <c r="F958" s="4"/>
      <c r="G958" s="16"/>
      <c r="H958" s="4"/>
      <c r="I958" s="4"/>
      <c r="J958" s="4"/>
      <c r="K958" s="2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"/>
      <c r="B959" s="4"/>
      <c r="C959" s="2"/>
      <c r="D959" s="4"/>
      <c r="E959" s="16"/>
      <c r="F959" s="4"/>
      <c r="G959" s="16"/>
      <c r="H959" s="4"/>
      <c r="I959" s="4"/>
      <c r="J959" s="4"/>
      <c r="K959" s="2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"/>
      <c r="B960" s="4"/>
      <c r="C960" s="2"/>
      <c r="D960" s="4"/>
      <c r="E960" s="16"/>
      <c r="F960" s="4"/>
      <c r="G960" s="16"/>
      <c r="H960" s="4"/>
      <c r="I960" s="4"/>
      <c r="J960" s="4"/>
      <c r="K960" s="2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"/>
      <c r="B961" s="4"/>
      <c r="C961" s="2"/>
      <c r="D961" s="4"/>
      <c r="E961" s="16"/>
      <c r="F961" s="4"/>
      <c r="G961" s="16"/>
      <c r="H961" s="4"/>
      <c r="I961" s="4"/>
      <c r="J961" s="4"/>
      <c r="K961" s="2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"/>
      <c r="B962" s="4"/>
      <c r="C962" s="2"/>
      <c r="D962" s="4"/>
      <c r="E962" s="16"/>
      <c r="F962" s="4"/>
      <c r="G962" s="16"/>
      <c r="H962" s="4"/>
      <c r="I962" s="4"/>
      <c r="J962" s="4"/>
      <c r="K962" s="2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"/>
      <c r="B963" s="4"/>
      <c r="C963" s="2"/>
      <c r="D963" s="4"/>
      <c r="E963" s="16"/>
      <c r="F963" s="4"/>
      <c r="G963" s="16"/>
      <c r="H963" s="4"/>
      <c r="I963" s="4"/>
      <c r="J963" s="4"/>
      <c r="K963" s="2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"/>
      <c r="B964" s="4"/>
      <c r="C964" s="2"/>
      <c r="D964" s="4"/>
      <c r="E964" s="16"/>
      <c r="F964" s="4"/>
      <c r="G964" s="16"/>
      <c r="H964" s="4"/>
      <c r="I964" s="4"/>
      <c r="J964" s="4"/>
      <c r="K964" s="2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"/>
      <c r="B965" s="4"/>
      <c r="C965" s="2"/>
      <c r="D965" s="4"/>
      <c r="E965" s="16"/>
      <c r="F965" s="4"/>
      <c r="G965" s="16"/>
      <c r="H965" s="4"/>
      <c r="I965" s="4"/>
      <c r="J965" s="4"/>
      <c r="K965" s="2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"/>
      <c r="B966" s="4"/>
      <c r="C966" s="2"/>
      <c r="D966" s="4"/>
      <c r="E966" s="16"/>
      <c r="F966" s="4"/>
      <c r="G966" s="16"/>
      <c r="H966" s="4"/>
      <c r="I966" s="4"/>
      <c r="J966" s="4"/>
      <c r="K966" s="2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"/>
      <c r="B967" s="4"/>
      <c r="C967" s="2"/>
      <c r="D967" s="4"/>
      <c r="E967" s="16"/>
      <c r="F967" s="4"/>
      <c r="G967" s="16"/>
      <c r="H967" s="4"/>
      <c r="I967" s="4"/>
      <c r="J967" s="4"/>
      <c r="K967" s="2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"/>
      <c r="B968" s="4"/>
      <c r="C968" s="2"/>
      <c r="D968" s="4"/>
      <c r="E968" s="16"/>
      <c r="F968" s="4"/>
      <c r="G968" s="16"/>
      <c r="H968" s="4"/>
      <c r="I968" s="4"/>
      <c r="J968" s="4"/>
      <c r="K968" s="2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"/>
      <c r="B969" s="4"/>
      <c r="C969" s="2"/>
      <c r="D969" s="4"/>
      <c r="E969" s="16"/>
      <c r="F969" s="4"/>
      <c r="G969" s="16"/>
      <c r="H969" s="4"/>
      <c r="I969" s="4"/>
      <c r="J969" s="4"/>
      <c r="K969" s="2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"/>
      <c r="B970" s="4"/>
      <c r="C970" s="2"/>
      <c r="D970" s="4"/>
      <c r="E970" s="16"/>
      <c r="F970" s="4"/>
      <c r="G970" s="16"/>
      <c r="H970" s="4"/>
      <c r="I970" s="4"/>
      <c r="J970" s="4"/>
      <c r="K970" s="2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"/>
      <c r="B971" s="4"/>
      <c r="C971" s="2"/>
      <c r="D971" s="4"/>
      <c r="E971" s="16"/>
      <c r="F971" s="4"/>
      <c r="G971" s="16"/>
      <c r="H971" s="4"/>
      <c r="I971" s="4"/>
      <c r="J971" s="4"/>
      <c r="K971" s="2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"/>
      <c r="B972" s="4"/>
      <c r="C972" s="2"/>
      <c r="D972" s="4"/>
      <c r="E972" s="16"/>
      <c r="F972" s="4"/>
      <c r="G972" s="16"/>
      <c r="H972" s="4"/>
      <c r="I972" s="4"/>
      <c r="J972" s="4"/>
      <c r="K972" s="2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"/>
      <c r="B973" s="4"/>
      <c r="C973" s="2"/>
      <c r="D973" s="4"/>
      <c r="E973" s="16"/>
      <c r="F973" s="4"/>
      <c r="G973" s="16"/>
      <c r="H973" s="4"/>
      <c r="I973" s="4"/>
      <c r="J973" s="4"/>
      <c r="K973" s="2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"/>
      <c r="B974" s="4"/>
      <c r="C974" s="2"/>
      <c r="D974" s="4"/>
      <c r="E974" s="16"/>
      <c r="F974" s="4"/>
      <c r="G974" s="16"/>
      <c r="H974" s="4"/>
      <c r="I974" s="4"/>
      <c r="J974" s="4"/>
      <c r="K974" s="2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"/>
      <c r="B975" s="4"/>
      <c r="C975" s="2"/>
      <c r="D975" s="4"/>
      <c r="E975" s="16"/>
      <c r="F975" s="4"/>
      <c r="G975" s="16"/>
      <c r="H975" s="4"/>
      <c r="I975" s="4"/>
      <c r="J975" s="4"/>
      <c r="K975" s="2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"/>
      <c r="B976" s="4"/>
      <c r="C976" s="2"/>
      <c r="D976" s="4"/>
      <c r="E976" s="16"/>
      <c r="F976" s="4"/>
      <c r="G976" s="16"/>
      <c r="H976" s="4"/>
      <c r="I976" s="4"/>
      <c r="J976" s="4"/>
      <c r="K976" s="2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"/>
      <c r="B977" s="4"/>
      <c r="C977" s="2"/>
      <c r="D977" s="4"/>
      <c r="E977" s="16"/>
      <c r="F977" s="4"/>
      <c r="G977" s="16"/>
      <c r="H977" s="4"/>
      <c r="I977" s="4"/>
      <c r="J977" s="4"/>
      <c r="K977" s="2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"/>
      <c r="B978" s="4"/>
      <c r="C978" s="2"/>
      <c r="D978" s="4"/>
      <c r="E978" s="16"/>
      <c r="F978" s="4"/>
      <c r="G978" s="16"/>
      <c r="H978" s="4"/>
      <c r="I978" s="4"/>
      <c r="J978" s="4"/>
      <c r="K978" s="2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"/>
      <c r="B979" s="4"/>
      <c r="C979" s="2"/>
      <c r="D979" s="4"/>
      <c r="E979" s="16"/>
      <c r="F979" s="4"/>
      <c r="G979" s="16"/>
      <c r="H979" s="4"/>
      <c r="I979" s="4"/>
      <c r="J979" s="4"/>
      <c r="K979" s="2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"/>
      <c r="B980" s="4"/>
      <c r="C980" s="2"/>
      <c r="D980" s="4"/>
      <c r="E980" s="16"/>
      <c r="F980" s="4"/>
      <c r="G980" s="16"/>
      <c r="H980" s="4"/>
      <c r="I980" s="4"/>
      <c r="J980" s="4"/>
      <c r="K980" s="2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"/>
      <c r="B981" s="4"/>
      <c r="C981" s="2"/>
      <c r="D981" s="4"/>
      <c r="E981" s="16"/>
      <c r="F981" s="4"/>
      <c r="G981" s="16"/>
      <c r="H981" s="4"/>
      <c r="I981" s="4"/>
      <c r="J981" s="4"/>
      <c r="K981" s="2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"/>
      <c r="B982" s="4"/>
      <c r="C982" s="2"/>
      <c r="D982" s="4"/>
      <c r="E982" s="16"/>
      <c r="F982" s="4"/>
      <c r="G982" s="16"/>
      <c r="H982" s="4"/>
      <c r="I982" s="4"/>
      <c r="J982" s="4"/>
      <c r="K982" s="2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"/>
      <c r="B983" s="4"/>
      <c r="C983" s="2"/>
      <c r="D983" s="4"/>
      <c r="E983" s="16"/>
      <c r="F983" s="4"/>
      <c r="G983" s="16"/>
      <c r="H983" s="4"/>
      <c r="I983" s="4"/>
      <c r="J983" s="4"/>
      <c r="K983" s="2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"/>
      <c r="B984" s="4"/>
      <c r="C984" s="2"/>
      <c r="D984" s="4"/>
      <c r="E984" s="16"/>
      <c r="F984" s="4"/>
      <c r="G984" s="16"/>
      <c r="H984" s="4"/>
      <c r="I984" s="4"/>
      <c r="J984" s="4"/>
      <c r="K984" s="2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"/>
      <c r="B985" s="4"/>
      <c r="C985" s="2"/>
      <c r="D985" s="4"/>
      <c r="E985" s="16"/>
      <c r="F985" s="4"/>
      <c r="G985" s="16"/>
      <c r="H985" s="4"/>
      <c r="I985" s="4"/>
      <c r="J985" s="4"/>
      <c r="K985" s="2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"/>
      <c r="B986" s="4"/>
      <c r="C986" s="2"/>
      <c r="D986" s="4"/>
      <c r="E986" s="16"/>
      <c r="F986" s="4"/>
      <c r="G986" s="16"/>
      <c r="H986" s="4"/>
      <c r="I986" s="4"/>
      <c r="J986" s="4"/>
      <c r="K986" s="2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"/>
      <c r="B987" s="4"/>
      <c r="C987" s="2"/>
      <c r="D987" s="4"/>
      <c r="E987" s="16"/>
      <c r="F987" s="4"/>
      <c r="G987" s="16"/>
      <c r="H987" s="4"/>
      <c r="I987" s="4"/>
      <c r="J987" s="4"/>
      <c r="K987" s="2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"/>
      <c r="B988" s="4"/>
      <c r="C988" s="2"/>
      <c r="D988" s="4"/>
      <c r="E988" s="16"/>
      <c r="F988" s="4"/>
      <c r="G988" s="16"/>
      <c r="H988" s="4"/>
      <c r="I988" s="4"/>
      <c r="J988" s="4"/>
      <c r="K988" s="2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"/>
      <c r="B989" s="4"/>
      <c r="C989" s="2"/>
      <c r="D989" s="4"/>
      <c r="E989" s="16"/>
      <c r="F989" s="4"/>
      <c r="G989" s="16"/>
      <c r="H989" s="4"/>
      <c r="I989" s="4"/>
      <c r="J989" s="4"/>
      <c r="K989" s="2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"/>
      <c r="B990" s="4"/>
      <c r="C990" s="2"/>
      <c r="D990" s="4"/>
      <c r="E990" s="16"/>
      <c r="F990" s="4"/>
      <c r="G990" s="16"/>
      <c r="H990" s="4"/>
      <c r="I990" s="4"/>
      <c r="J990" s="4"/>
      <c r="K990" s="2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"/>
      <c r="B991" s="4"/>
      <c r="C991" s="2"/>
      <c r="D991" s="4"/>
      <c r="E991" s="16"/>
      <c r="F991" s="4"/>
      <c r="G991" s="16"/>
      <c r="H991" s="4"/>
      <c r="I991" s="4"/>
      <c r="J991" s="4"/>
      <c r="K991" s="2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"/>
      <c r="B992" s="4"/>
      <c r="C992" s="2"/>
      <c r="D992" s="4"/>
      <c r="E992" s="16"/>
      <c r="F992" s="4"/>
      <c r="G992" s="16"/>
      <c r="H992" s="4"/>
      <c r="I992" s="4"/>
      <c r="J992" s="4"/>
      <c r="K992" s="2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"/>
      <c r="B993" s="4"/>
      <c r="C993" s="2"/>
      <c r="D993" s="4"/>
      <c r="E993" s="16"/>
      <c r="F993" s="4"/>
      <c r="G993" s="16"/>
      <c r="H993" s="4"/>
      <c r="I993" s="4"/>
      <c r="J993" s="4"/>
      <c r="K993" s="2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"/>
      <c r="B994" s="4"/>
      <c r="C994" s="2"/>
      <c r="D994" s="4"/>
      <c r="E994" s="16"/>
      <c r="F994" s="4"/>
      <c r="G994" s="16"/>
      <c r="H994" s="4"/>
      <c r="I994" s="4"/>
      <c r="J994" s="4"/>
      <c r="K994" s="2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"/>
      <c r="B995" s="4"/>
      <c r="C995" s="2"/>
      <c r="D995" s="4"/>
      <c r="E995" s="16"/>
      <c r="F995" s="4"/>
      <c r="G995" s="16"/>
      <c r="H995" s="4"/>
      <c r="I995" s="4"/>
      <c r="J995" s="4"/>
      <c r="K995" s="2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"/>
      <c r="B996" s="4"/>
      <c r="C996" s="2"/>
      <c r="D996" s="4"/>
      <c r="E996" s="16"/>
      <c r="F996" s="4"/>
      <c r="G996" s="16"/>
      <c r="H996" s="4"/>
      <c r="I996" s="4"/>
      <c r="J996" s="4"/>
      <c r="K996" s="2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"/>
      <c r="B997" s="4"/>
      <c r="C997" s="2"/>
      <c r="D997" s="4"/>
      <c r="E997" s="16"/>
      <c r="F997" s="4"/>
      <c r="G997" s="16"/>
      <c r="H997" s="4"/>
      <c r="I997" s="4"/>
      <c r="J997" s="4"/>
      <c r="K997" s="2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"/>
      <c r="B998" s="4"/>
      <c r="C998" s="2"/>
      <c r="D998" s="4"/>
      <c r="E998" s="16"/>
      <c r="F998" s="4"/>
      <c r="G998" s="16"/>
      <c r="H998" s="4"/>
      <c r="I998" s="4"/>
      <c r="J998" s="4"/>
      <c r="K998" s="2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"/>
      <c r="B999" s="4"/>
      <c r="C999" s="2"/>
      <c r="D999" s="4"/>
      <c r="E999" s="16"/>
      <c r="F999" s="4"/>
      <c r="G999" s="16"/>
      <c r="H999" s="4"/>
      <c r="I999" s="4"/>
      <c r="J999" s="4"/>
      <c r="K999" s="2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"/>
      <c r="B1000" s="4"/>
      <c r="C1000" s="2"/>
      <c r="D1000" s="4"/>
      <c r="E1000" s="16"/>
      <c r="F1000" s="4"/>
      <c r="G1000" s="16"/>
      <c r="H1000" s="4"/>
      <c r="I1000" s="4"/>
      <c r="J1000" s="4"/>
      <c r="K1000" s="2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">
    <mergeCell ref="L1:M1"/>
  </mergeCells>
  <hyperlinks>
    <hyperlink r:id="rId1" location="gid=1396078690" ref="M2"/>
    <hyperlink r:id="rId2" location="gid=953700184" ref="M3"/>
    <hyperlink r:id="rId3" location="gid=1380997837" ref="M4"/>
    <hyperlink r:id="rId4" ref="M5"/>
    <hyperlink r:id="rId5" location="gid=1708846993" ref="M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13.75"/>
    <col customWidth="1" min="3" max="3" width="22.88"/>
    <col customWidth="1" min="4" max="4" width="30.25"/>
    <col customWidth="1" min="5" max="5" width="50.75"/>
    <col customWidth="1" min="6" max="6" width="15.13"/>
    <col customWidth="1" min="7" max="7" width="36.25"/>
    <col customWidth="1" min="8" max="8" width="26.75"/>
    <col customWidth="1" min="9" max="9" width="44.38"/>
    <col customWidth="1" min="10" max="10" width="39.5"/>
    <col customWidth="1" min="11" max="11" width="25.75"/>
    <col customWidth="1" min="12" max="12" width="20.25"/>
    <col customWidth="1" min="13" max="13" width="19.63"/>
    <col customWidth="1" min="14" max="14" width="23.88"/>
    <col customWidth="1" min="15" max="15" width="21.5"/>
    <col customWidth="1" min="16" max="16" width="20.25"/>
    <col customWidth="1" min="17" max="17" width="17.0"/>
    <col customWidth="1" min="18" max="18" width="38.38"/>
    <col customWidth="1" min="19" max="19" width="26.25"/>
    <col customWidth="1" min="20" max="20" width="36.75"/>
    <col customWidth="1" min="21" max="21" width="20.0"/>
  </cols>
  <sheetData>
    <row r="1">
      <c r="A1" s="17"/>
      <c r="B1" s="18" t="s">
        <v>54</v>
      </c>
      <c r="C1" s="19" t="s">
        <v>55</v>
      </c>
      <c r="D1" s="19" t="s">
        <v>56</v>
      </c>
      <c r="E1" s="19" t="s">
        <v>57</v>
      </c>
      <c r="F1" s="19" t="s">
        <v>58</v>
      </c>
      <c r="G1" s="19" t="s">
        <v>59</v>
      </c>
      <c r="H1" s="19" t="s">
        <v>60</v>
      </c>
      <c r="I1" s="19" t="s">
        <v>61</v>
      </c>
      <c r="J1" s="19" t="s">
        <v>62</v>
      </c>
      <c r="K1" s="19" t="s">
        <v>63</v>
      </c>
      <c r="L1" s="19" t="s">
        <v>64</v>
      </c>
      <c r="M1" s="19" t="s">
        <v>65</v>
      </c>
      <c r="N1" s="19" t="s">
        <v>66</v>
      </c>
      <c r="O1" s="19" t="s">
        <v>67</v>
      </c>
      <c r="P1" s="19" t="s">
        <v>68</v>
      </c>
      <c r="Q1" s="19" t="s">
        <v>69</v>
      </c>
      <c r="R1" s="19" t="s">
        <v>70</v>
      </c>
      <c r="S1" s="18" t="s">
        <v>71</v>
      </c>
      <c r="T1" s="18" t="s">
        <v>72</v>
      </c>
      <c r="U1" s="20"/>
      <c r="V1" s="21"/>
      <c r="W1" s="21"/>
      <c r="X1" s="21"/>
      <c r="Y1" s="21"/>
      <c r="Z1" s="21"/>
    </row>
    <row r="2">
      <c r="A2" s="22" t="s">
        <v>73</v>
      </c>
      <c r="B2" s="23">
        <v>45574.0</v>
      </c>
      <c r="C2" s="24" t="s">
        <v>45</v>
      </c>
      <c r="D2" s="24" t="s">
        <v>74</v>
      </c>
      <c r="E2" s="24" t="s">
        <v>75</v>
      </c>
      <c r="F2" s="24" t="s">
        <v>76</v>
      </c>
      <c r="G2" s="24" t="s">
        <v>77</v>
      </c>
      <c r="H2" s="24">
        <v>3.56789101234567E14</v>
      </c>
      <c r="I2" s="25" t="s">
        <v>78</v>
      </c>
      <c r="J2" s="26"/>
      <c r="K2" s="24" t="s">
        <v>79</v>
      </c>
      <c r="L2" s="23">
        <v>45635.0</v>
      </c>
      <c r="M2" s="24" t="s">
        <v>80</v>
      </c>
      <c r="N2" s="24" t="s">
        <v>81</v>
      </c>
      <c r="O2" s="27" t="s">
        <v>82</v>
      </c>
      <c r="P2" s="28">
        <v>46368.0</v>
      </c>
      <c r="Q2" s="24" t="s">
        <v>83</v>
      </c>
      <c r="R2" s="24" t="e">
        <v>#VALUE!</v>
      </c>
      <c r="S2" s="29"/>
      <c r="T2" s="29"/>
      <c r="U2" s="30"/>
    </row>
    <row r="3">
      <c r="A3" s="31"/>
      <c r="B3" s="32">
        <v>45643.0</v>
      </c>
      <c r="C3" s="33" t="s">
        <v>45</v>
      </c>
      <c r="D3" s="33" t="s">
        <v>74</v>
      </c>
      <c r="E3" s="33" t="s">
        <v>75</v>
      </c>
      <c r="F3" s="33" t="s">
        <v>84</v>
      </c>
      <c r="G3" s="33" t="s">
        <v>85</v>
      </c>
      <c r="H3" s="33">
        <v>3.50009210054786E14</v>
      </c>
      <c r="I3" s="34" t="s">
        <v>86</v>
      </c>
      <c r="J3" s="35"/>
      <c r="K3" s="33" t="s">
        <v>11</v>
      </c>
      <c r="L3" s="35"/>
      <c r="M3" s="35"/>
      <c r="N3" s="35"/>
      <c r="O3" s="36" t="s">
        <v>87</v>
      </c>
      <c r="P3" s="35"/>
      <c r="Q3" s="35"/>
      <c r="R3" s="33" t="e">
        <v>#VALUE!</v>
      </c>
      <c r="S3" s="35"/>
      <c r="T3" s="35"/>
      <c r="U3" s="31"/>
    </row>
    <row r="4">
      <c r="A4" s="31"/>
      <c r="B4" s="37">
        <v>45643.0</v>
      </c>
      <c r="C4" s="38" t="s">
        <v>45</v>
      </c>
      <c r="D4" s="38" t="s">
        <v>74</v>
      </c>
      <c r="E4" s="38" t="s">
        <v>75</v>
      </c>
      <c r="F4" s="38" t="s">
        <v>84</v>
      </c>
      <c r="G4" s="38" t="s">
        <v>85</v>
      </c>
      <c r="H4" s="38">
        <v>3.50009210062151E14</v>
      </c>
      <c r="I4" s="39" t="s">
        <v>88</v>
      </c>
      <c r="J4" s="29"/>
      <c r="K4" s="38" t="s">
        <v>11</v>
      </c>
      <c r="L4" s="29"/>
      <c r="M4" s="29"/>
      <c r="N4" s="29"/>
      <c r="O4" s="36" t="s">
        <v>89</v>
      </c>
      <c r="P4" s="29"/>
      <c r="Q4" s="29"/>
      <c r="R4" s="38" t="e">
        <v>#VALUE!</v>
      </c>
      <c r="S4" s="29"/>
      <c r="T4" s="29"/>
      <c r="U4" s="31"/>
    </row>
    <row r="5">
      <c r="A5" s="31"/>
      <c r="B5" s="32">
        <v>45644.0</v>
      </c>
      <c r="C5" s="33" t="s">
        <v>50</v>
      </c>
      <c r="D5" s="33" t="s">
        <v>74</v>
      </c>
      <c r="E5" s="33" t="s">
        <v>90</v>
      </c>
      <c r="F5" s="33" t="s">
        <v>84</v>
      </c>
      <c r="G5" s="33" t="s">
        <v>85</v>
      </c>
      <c r="H5" s="33">
        <v>3.50009210074339E14</v>
      </c>
      <c r="I5" s="34" t="s">
        <v>86</v>
      </c>
      <c r="J5" s="33" t="s">
        <v>91</v>
      </c>
      <c r="K5" s="33" t="s">
        <v>11</v>
      </c>
      <c r="L5" s="35"/>
      <c r="M5" s="35"/>
      <c r="N5" s="35"/>
      <c r="O5" s="36" t="s">
        <v>92</v>
      </c>
      <c r="P5" s="35"/>
      <c r="Q5" s="35"/>
      <c r="R5" s="33" t="e">
        <v>#VALUE!</v>
      </c>
      <c r="S5" s="35"/>
      <c r="T5" s="35"/>
      <c r="U5" s="31"/>
    </row>
    <row r="6">
      <c r="A6" s="31"/>
      <c r="B6" s="37">
        <v>45643.0</v>
      </c>
      <c r="C6" s="38" t="s">
        <v>45</v>
      </c>
      <c r="D6" s="38" t="s">
        <v>74</v>
      </c>
      <c r="E6" s="38" t="s">
        <v>75</v>
      </c>
      <c r="F6" s="38" t="s">
        <v>84</v>
      </c>
      <c r="G6" s="38" t="s">
        <v>85</v>
      </c>
      <c r="H6" s="38">
        <v>3.50009210064033E14</v>
      </c>
      <c r="I6" s="39" t="s">
        <v>88</v>
      </c>
      <c r="J6" s="29"/>
      <c r="K6" s="38" t="s">
        <v>11</v>
      </c>
      <c r="L6" s="29"/>
      <c r="M6" s="29"/>
      <c r="N6" s="29"/>
      <c r="O6" s="36" t="s">
        <v>93</v>
      </c>
      <c r="P6" s="29"/>
      <c r="Q6" s="29"/>
      <c r="R6" s="38" t="e">
        <v>#VALUE!</v>
      </c>
      <c r="S6" s="29"/>
      <c r="T6" s="29"/>
      <c r="U6" s="31"/>
    </row>
    <row r="7">
      <c r="A7" s="31"/>
      <c r="B7" s="32">
        <v>45644.0</v>
      </c>
      <c r="C7" s="33" t="s">
        <v>30</v>
      </c>
      <c r="D7" s="33" t="s">
        <v>74</v>
      </c>
      <c r="E7" s="33" t="s">
        <v>90</v>
      </c>
      <c r="F7" s="33" t="s">
        <v>84</v>
      </c>
      <c r="G7" s="33" t="s">
        <v>85</v>
      </c>
      <c r="H7" s="33">
        <v>3.50009210066285E14</v>
      </c>
      <c r="I7" s="39" t="s">
        <v>88</v>
      </c>
      <c r="J7" s="33" t="s">
        <v>94</v>
      </c>
      <c r="K7" s="33" t="s">
        <v>11</v>
      </c>
      <c r="L7" s="40">
        <v>45663.0</v>
      </c>
      <c r="M7" s="33" t="s">
        <v>95</v>
      </c>
      <c r="N7" s="35"/>
      <c r="O7" s="36" t="s">
        <v>96</v>
      </c>
      <c r="P7" s="35"/>
      <c r="Q7" s="35"/>
      <c r="R7" s="33" t="s">
        <v>97</v>
      </c>
      <c r="S7" s="33" t="s">
        <v>98</v>
      </c>
      <c r="T7" s="35"/>
      <c r="U7" s="31"/>
    </row>
    <row r="8">
      <c r="A8" s="31"/>
      <c r="B8" s="37">
        <v>45643.0</v>
      </c>
      <c r="C8" s="38" t="s">
        <v>45</v>
      </c>
      <c r="D8" s="38" t="s">
        <v>74</v>
      </c>
      <c r="E8" s="38" t="s">
        <v>75</v>
      </c>
      <c r="F8" s="38" t="s">
        <v>84</v>
      </c>
      <c r="G8" s="38" t="s">
        <v>99</v>
      </c>
      <c r="H8" s="38">
        <v>3.50009210024854E14</v>
      </c>
      <c r="I8" s="41" t="s">
        <v>78</v>
      </c>
      <c r="J8" s="29"/>
      <c r="K8" s="38" t="s">
        <v>11</v>
      </c>
      <c r="L8" s="29"/>
      <c r="M8" s="29"/>
      <c r="N8" s="29"/>
      <c r="O8" s="36" t="s">
        <v>100</v>
      </c>
      <c r="P8" s="29"/>
      <c r="Q8" s="29"/>
      <c r="R8" s="38" t="e">
        <v>#VALUE!</v>
      </c>
      <c r="S8" s="29"/>
      <c r="T8" s="29"/>
      <c r="U8" s="31"/>
    </row>
    <row r="9">
      <c r="A9" s="31"/>
      <c r="B9" s="32">
        <v>45643.0</v>
      </c>
      <c r="C9" s="33" t="s">
        <v>50</v>
      </c>
      <c r="D9" s="33" t="s">
        <v>101</v>
      </c>
      <c r="E9" s="33" t="s">
        <v>102</v>
      </c>
      <c r="F9" s="35"/>
      <c r="G9" s="33" t="s">
        <v>103</v>
      </c>
      <c r="H9" s="33">
        <v>3.59914140006536E14</v>
      </c>
      <c r="I9" s="34" t="s">
        <v>104</v>
      </c>
      <c r="J9" s="35"/>
      <c r="K9" s="33" t="s">
        <v>105</v>
      </c>
      <c r="L9" s="35"/>
      <c r="M9" s="35"/>
      <c r="N9" s="35"/>
      <c r="O9" s="42"/>
      <c r="P9" s="35"/>
      <c r="Q9" s="35"/>
      <c r="R9" s="33" t="e">
        <v>#VALUE!</v>
      </c>
      <c r="S9" s="35"/>
      <c r="T9" s="35"/>
      <c r="U9" s="31"/>
    </row>
    <row r="10">
      <c r="A10" s="31"/>
      <c r="B10" s="37">
        <v>45643.0</v>
      </c>
      <c r="C10" s="38" t="s">
        <v>50</v>
      </c>
      <c r="D10" s="38" t="s">
        <v>101</v>
      </c>
      <c r="E10" s="38" t="s">
        <v>102</v>
      </c>
      <c r="F10" s="29"/>
      <c r="G10" s="38" t="s">
        <v>103</v>
      </c>
      <c r="H10" s="38">
        <v>3.59890570001884E14</v>
      </c>
      <c r="I10" s="41" t="s">
        <v>106</v>
      </c>
      <c r="J10" s="29"/>
      <c r="K10" s="38" t="s">
        <v>105</v>
      </c>
      <c r="L10" s="29"/>
      <c r="M10" s="29"/>
      <c r="N10" s="29"/>
      <c r="O10" s="43"/>
      <c r="P10" s="29"/>
      <c r="Q10" s="29"/>
      <c r="R10" s="38" t="e">
        <v>#VALUE!</v>
      </c>
      <c r="S10" s="38" t="s">
        <v>107</v>
      </c>
      <c r="T10" s="29"/>
      <c r="U10" s="31"/>
    </row>
    <row r="11">
      <c r="A11" s="31"/>
      <c r="B11" s="32">
        <v>45643.0</v>
      </c>
      <c r="C11" s="33" t="s">
        <v>50</v>
      </c>
      <c r="D11" s="33" t="s">
        <v>101</v>
      </c>
      <c r="E11" s="33" t="s">
        <v>102</v>
      </c>
      <c r="F11" s="33" t="s">
        <v>84</v>
      </c>
      <c r="G11" s="33" t="s">
        <v>103</v>
      </c>
      <c r="H11" s="33">
        <v>3.59890570004508E14</v>
      </c>
      <c r="I11" s="39" t="s">
        <v>88</v>
      </c>
      <c r="J11" s="34" t="s">
        <v>108</v>
      </c>
      <c r="K11" s="33" t="s">
        <v>109</v>
      </c>
      <c r="L11" s="35"/>
      <c r="M11" s="35"/>
      <c r="N11" s="35"/>
      <c r="O11" s="42"/>
      <c r="P11" s="32">
        <v>45680.0</v>
      </c>
      <c r="Q11" s="33" t="s">
        <v>110</v>
      </c>
      <c r="R11" s="33" t="e">
        <v>#VALUE!</v>
      </c>
      <c r="S11" s="35"/>
      <c r="T11" s="35"/>
      <c r="U11" s="31"/>
    </row>
    <row r="12">
      <c r="A12" s="31"/>
      <c r="B12" s="37">
        <v>45643.0</v>
      </c>
      <c r="C12" s="38" t="s">
        <v>50</v>
      </c>
      <c r="D12" s="38" t="s">
        <v>101</v>
      </c>
      <c r="E12" s="38" t="s">
        <v>102</v>
      </c>
      <c r="F12" s="29"/>
      <c r="G12" s="38" t="s">
        <v>103</v>
      </c>
      <c r="H12" s="38">
        <v>3.59890570002007E14</v>
      </c>
      <c r="I12" s="39" t="s">
        <v>88</v>
      </c>
      <c r="J12" s="29"/>
      <c r="K12" s="38" t="s">
        <v>109</v>
      </c>
      <c r="L12" s="29"/>
      <c r="M12" s="29"/>
      <c r="N12" s="29"/>
      <c r="O12" s="43"/>
      <c r="P12" s="37">
        <v>45680.0</v>
      </c>
      <c r="Q12" s="38" t="s">
        <v>110</v>
      </c>
      <c r="R12" s="38" t="e">
        <v>#VALUE!</v>
      </c>
      <c r="S12" s="29"/>
      <c r="T12" s="29"/>
      <c r="U12" s="31"/>
    </row>
    <row r="13">
      <c r="A13" s="31"/>
      <c r="B13" s="32">
        <v>45643.0</v>
      </c>
      <c r="C13" s="33" t="s">
        <v>50</v>
      </c>
      <c r="D13" s="33" t="s">
        <v>101</v>
      </c>
      <c r="E13" s="33" t="s">
        <v>102</v>
      </c>
      <c r="F13" s="35"/>
      <c r="G13" s="33" t="s">
        <v>111</v>
      </c>
      <c r="H13" s="33">
        <v>3.5989057002655E14</v>
      </c>
      <c r="I13" s="39" t="s">
        <v>88</v>
      </c>
      <c r="J13" s="35"/>
      <c r="K13" s="33" t="s">
        <v>109</v>
      </c>
      <c r="L13" s="35"/>
      <c r="M13" s="35"/>
      <c r="N13" s="35"/>
      <c r="O13" s="42"/>
      <c r="P13" s="32">
        <v>45680.0</v>
      </c>
      <c r="Q13" s="33" t="s">
        <v>110</v>
      </c>
      <c r="R13" s="33" t="e">
        <v>#VALUE!</v>
      </c>
      <c r="S13" s="35"/>
      <c r="T13" s="35"/>
      <c r="U13" s="31"/>
    </row>
    <row r="14">
      <c r="A14" s="31"/>
      <c r="B14" s="37">
        <v>45643.0</v>
      </c>
      <c r="C14" s="38" t="s">
        <v>50</v>
      </c>
      <c r="D14" s="38" t="s">
        <v>101</v>
      </c>
      <c r="E14" s="38" t="s">
        <v>112</v>
      </c>
      <c r="F14" s="29"/>
      <c r="G14" s="38" t="s">
        <v>113</v>
      </c>
      <c r="H14" s="38">
        <v>3.58899540128439E14</v>
      </c>
      <c r="I14" s="39" t="s">
        <v>88</v>
      </c>
      <c r="J14" s="29"/>
      <c r="K14" s="38" t="s">
        <v>109</v>
      </c>
      <c r="L14" s="29"/>
      <c r="M14" s="29"/>
      <c r="N14" s="29"/>
      <c r="O14" s="43"/>
      <c r="P14" s="37">
        <v>45996.0</v>
      </c>
      <c r="Q14" s="38" t="s">
        <v>7</v>
      </c>
      <c r="R14" s="38" t="e">
        <v>#VALUE!</v>
      </c>
      <c r="S14" s="29"/>
      <c r="T14" s="29"/>
      <c r="U14" s="31"/>
    </row>
    <row r="15">
      <c r="A15" s="31"/>
      <c r="B15" s="32">
        <v>45644.0</v>
      </c>
      <c r="C15" s="33" t="s">
        <v>50</v>
      </c>
      <c r="D15" s="33" t="s">
        <v>101</v>
      </c>
      <c r="E15" s="33" t="s">
        <v>112</v>
      </c>
      <c r="F15" s="33" t="s">
        <v>84</v>
      </c>
      <c r="G15" s="33" t="s">
        <v>114</v>
      </c>
      <c r="H15" s="33">
        <v>3.55541740043868E14</v>
      </c>
      <c r="I15" s="39" t="s">
        <v>88</v>
      </c>
      <c r="J15" s="35"/>
      <c r="K15" s="33" t="s">
        <v>109</v>
      </c>
      <c r="L15" s="35"/>
      <c r="M15" s="35"/>
      <c r="N15" s="35"/>
      <c r="O15" s="42"/>
      <c r="P15" s="35"/>
      <c r="Q15" s="35"/>
      <c r="R15" s="33" t="e">
        <v>#VALUE!</v>
      </c>
      <c r="S15" s="35"/>
      <c r="T15" s="35"/>
      <c r="U15" s="31"/>
    </row>
    <row r="16">
      <c r="A16" s="31"/>
      <c r="B16" s="37">
        <v>45643.0</v>
      </c>
      <c r="C16" s="38" t="s">
        <v>50</v>
      </c>
      <c r="D16" s="38" t="s">
        <v>101</v>
      </c>
      <c r="E16" s="38" t="s">
        <v>112</v>
      </c>
      <c r="F16" s="38" t="s">
        <v>84</v>
      </c>
      <c r="G16" s="38" t="s">
        <v>115</v>
      </c>
      <c r="H16" s="38">
        <v>3.55541740040054E14</v>
      </c>
      <c r="I16" s="39" t="s">
        <v>88</v>
      </c>
      <c r="J16" s="29"/>
      <c r="K16" s="38" t="s">
        <v>109</v>
      </c>
      <c r="L16" s="37">
        <v>45665.0</v>
      </c>
      <c r="M16" s="38" t="s">
        <v>95</v>
      </c>
      <c r="N16" s="38" t="s">
        <v>8</v>
      </c>
      <c r="O16" s="43"/>
      <c r="P16" s="29"/>
      <c r="Q16" s="29"/>
      <c r="R16" s="38" t="s">
        <v>97</v>
      </c>
      <c r="S16" s="38" t="s">
        <v>116</v>
      </c>
      <c r="T16" s="29"/>
      <c r="U16" s="31"/>
    </row>
    <row r="17">
      <c r="A17" s="31"/>
      <c r="B17" s="32">
        <v>45643.0</v>
      </c>
      <c r="C17" s="33" t="s">
        <v>50</v>
      </c>
      <c r="D17" s="33" t="s">
        <v>101</v>
      </c>
      <c r="E17" s="33" t="s">
        <v>112</v>
      </c>
      <c r="F17" s="33" t="s">
        <v>84</v>
      </c>
      <c r="G17" s="33" t="s">
        <v>115</v>
      </c>
      <c r="H17" s="33">
        <v>3.55735480090556E14</v>
      </c>
      <c r="I17" s="34" t="s">
        <v>86</v>
      </c>
      <c r="J17" s="33" t="s">
        <v>117</v>
      </c>
      <c r="K17" s="33" t="s">
        <v>105</v>
      </c>
      <c r="L17" s="35"/>
      <c r="M17" s="35"/>
      <c r="N17" s="35"/>
      <c r="O17" s="42"/>
      <c r="P17" s="35"/>
      <c r="Q17" s="35"/>
      <c r="R17" s="33" t="e">
        <v>#VALUE!</v>
      </c>
      <c r="S17" s="33" t="s">
        <v>107</v>
      </c>
      <c r="T17" s="35"/>
      <c r="U17" s="31"/>
    </row>
    <row r="18">
      <c r="A18" s="31"/>
      <c r="B18" s="37">
        <v>45643.0</v>
      </c>
      <c r="C18" s="38" t="s">
        <v>50</v>
      </c>
      <c r="D18" s="38" t="s">
        <v>101</v>
      </c>
      <c r="E18" s="38" t="s">
        <v>112</v>
      </c>
      <c r="F18" s="38" t="s">
        <v>84</v>
      </c>
      <c r="G18" s="38" t="s">
        <v>118</v>
      </c>
      <c r="H18" s="38">
        <v>3.55725480013889E14</v>
      </c>
      <c r="I18" s="41" t="s">
        <v>106</v>
      </c>
      <c r="J18" s="29"/>
      <c r="K18" s="38" t="s">
        <v>105</v>
      </c>
      <c r="L18" s="29"/>
      <c r="M18" s="29"/>
      <c r="N18" s="29"/>
      <c r="O18" s="43"/>
      <c r="P18" s="29"/>
      <c r="Q18" s="29"/>
      <c r="R18" s="38" t="e">
        <v>#VALUE!</v>
      </c>
      <c r="S18" s="38" t="s">
        <v>107</v>
      </c>
      <c r="T18" s="29"/>
      <c r="U18" s="31"/>
    </row>
    <row r="19">
      <c r="A19" s="31"/>
      <c r="B19" s="32">
        <v>45643.0</v>
      </c>
      <c r="C19" s="33" t="s">
        <v>50</v>
      </c>
      <c r="D19" s="33" t="s">
        <v>101</v>
      </c>
      <c r="E19" s="33" t="s">
        <v>112</v>
      </c>
      <c r="F19" s="35"/>
      <c r="G19" s="33" t="s">
        <v>114</v>
      </c>
      <c r="H19" s="33">
        <v>3.55541740043934E14</v>
      </c>
      <c r="I19" s="39" t="s">
        <v>88</v>
      </c>
      <c r="J19" s="35"/>
      <c r="K19" s="33" t="s">
        <v>109</v>
      </c>
      <c r="L19" s="35"/>
      <c r="M19" s="35"/>
      <c r="N19" s="35"/>
      <c r="O19" s="42"/>
      <c r="P19" s="35"/>
      <c r="Q19" s="35"/>
      <c r="R19" s="33" t="e">
        <v>#VALUE!</v>
      </c>
      <c r="S19" s="35"/>
      <c r="T19" s="35"/>
      <c r="U19" s="31"/>
    </row>
    <row r="20">
      <c r="A20" s="31"/>
      <c r="B20" s="44">
        <v>45643.0</v>
      </c>
      <c r="C20" s="29"/>
      <c r="D20" s="38" t="s">
        <v>101</v>
      </c>
      <c r="E20" s="38" t="s">
        <v>119</v>
      </c>
      <c r="F20" s="38" t="s">
        <v>84</v>
      </c>
      <c r="G20" s="38" t="s">
        <v>120</v>
      </c>
      <c r="H20" s="38">
        <v>3.52722665255306E14</v>
      </c>
      <c r="I20" s="41" t="s">
        <v>106</v>
      </c>
      <c r="J20" s="29"/>
      <c r="K20" s="38" t="s">
        <v>105</v>
      </c>
      <c r="L20" s="29"/>
      <c r="M20" s="29"/>
      <c r="N20" s="29"/>
      <c r="O20" s="43"/>
      <c r="P20" s="29"/>
      <c r="Q20" s="29"/>
      <c r="R20" s="38" t="s">
        <v>121</v>
      </c>
      <c r="S20" s="38" t="s">
        <v>116</v>
      </c>
      <c r="T20" s="29"/>
      <c r="U20" s="31"/>
    </row>
    <row r="21">
      <c r="A21" s="31"/>
      <c r="B21" s="32">
        <v>45643.0</v>
      </c>
      <c r="C21" s="35"/>
      <c r="D21" s="33" t="s">
        <v>101</v>
      </c>
      <c r="E21" s="33" t="s">
        <v>119</v>
      </c>
      <c r="F21" s="35"/>
      <c r="G21" s="33" t="s">
        <v>122</v>
      </c>
      <c r="H21" s="33">
        <v>3.52722665041466E14</v>
      </c>
      <c r="I21" s="34" t="s">
        <v>123</v>
      </c>
      <c r="J21" s="35"/>
      <c r="K21" s="33" t="s">
        <v>109</v>
      </c>
      <c r="L21" s="35"/>
      <c r="M21" s="35"/>
      <c r="N21" s="35"/>
      <c r="O21" s="42"/>
      <c r="P21" s="35"/>
      <c r="Q21" s="35"/>
      <c r="R21" s="33" t="e">
        <v>#VALUE!</v>
      </c>
      <c r="S21" s="35"/>
      <c r="T21" s="35"/>
      <c r="U21" s="31"/>
    </row>
    <row r="22">
      <c r="A22" s="31"/>
      <c r="B22" s="37">
        <v>45643.0</v>
      </c>
      <c r="C22" s="29"/>
      <c r="D22" s="38" t="s">
        <v>101</v>
      </c>
      <c r="E22" s="38" t="s">
        <v>119</v>
      </c>
      <c r="F22" s="29"/>
      <c r="G22" s="38" t="s">
        <v>124</v>
      </c>
      <c r="H22" s="38">
        <v>3.53892182010341E14</v>
      </c>
      <c r="I22" s="41" t="s">
        <v>123</v>
      </c>
      <c r="J22" s="29"/>
      <c r="K22" s="38" t="s">
        <v>109</v>
      </c>
      <c r="L22" s="29"/>
      <c r="M22" s="29"/>
      <c r="N22" s="29"/>
      <c r="O22" s="43"/>
      <c r="P22" s="29"/>
      <c r="Q22" s="29"/>
      <c r="R22" s="38" t="e">
        <v>#VALUE!</v>
      </c>
      <c r="S22" s="29"/>
      <c r="T22" s="29"/>
      <c r="U22" s="31"/>
    </row>
    <row r="23">
      <c r="A23" s="31"/>
      <c r="B23" s="44">
        <v>45643.0</v>
      </c>
      <c r="C23" s="33" t="s">
        <v>46</v>
      </c>
      <c r="D23" s="33" t="s">
        <v>101</v>
      </c>
      <c r="E23" s="33" t="s">
        <v>119</v>
      </c>
      <c r="F23" s="35"/>
      <c r="G23" s="33" t="s">
        <v>124</v>
      </c>
      <c r="H23" s="33">
        <v>3.52722665018076E14</v>
      </c>
      <c r="I23" s="34" t="s">
        <v>123</v>
      </c>
      <c r="J23" s="35"/>
      <c r="K23" s="33" t="s">
        <v>109</v>
      </c>
      <c r="L23" s="35"/>
      <c r="M23" s="35"/>
      <c r="N23" s="35"/>
      <c r="O23" s="42"/>
      <c r="P23" s="35"/>
      <c r="Q23" s="35"/>
      <c r="R23" s="33" t="e">
        <v>#VALUE!</v>
      </c>
      <c r="S23" s="35"/>
      <c r="T23" s="35"/>
      <c r="U23" s="31"/>
    </row>
    <row r="24">
      <c r="A24" s="31"/>
      <c r="B24" s="37">
        <v>45643.0</v>
      </c>
      <c r="C24" s="29"/>
      <c r="D24" s="38" t="s">
        <v>101</v>
      </c>
      <c r="E24" s="38" t="s">
        <v>125</v>
      </c>
      <c r="F24" s="38" t="s">
        <v>76</v>
      </c>
      <c r="G24" s="38" t="s">
        <v>126</v>
      </c>
      <c r="H24" s="38">
        <v>3.54730495019162E14</v>
      </c>
      <c r="I24" s="41" t="s">
        <v>106</v>
      </c>
      <c r="J24" s="29"/>
      <c r="K24" s="38" t="s">
        <v>109</v>
      </c>
      <c r="L24" s="29"/>
      <c r="M24" s="29"/>
      <c r="N24" s="29"/>
      <c r="O24" s="43"/>
      <c r="P24" s="29"/>
      <c r="Q24" s="29"/>
      <c r="R24" s="38" t="s">
        <v>127</v>
      </c>
      <c r="S24" s="38" t="s">
        <v>116</v>
      </c>
      <c r="T24" s="29"/>
      <c r="U24" s="31"/>
    </row>
    <row r="25">
      <c r="A25" s="31"/>
      <c r="B25" s="32">
        <v>45643.0</v>
      </c>
      <c r="C25" s="33" t="s">
        <v>128</v>
      </c>
      <c r="D25" s="33" t="s">
        <v>101</v>
      </c>
      <c r="E25" s="33" t="s">
        <v>125</v>
      </c>
      <c r="F25" s="35"/>
      <c r="G25" s="33" t="s">
        <v>129</v>
      </c>
      <c r="H25" s="33">
        <v>3.54267935002797E14</v>
      </c>
      <c r="I25" s="39" t="s">
        <v>88</v>
      </c>
      <c r="J25" s="35"/>
      <c r="K25" s="33" t="s">
        <v>109</v>
      </c>
      <c r="L25" s="35"/>
      <c r="M25" s="35"/>
      <c r="N25" s="35"/>
      <c r="O25" s="42"/>
      <c r="P25" s="35"/>
      <c r="Q25" s="35"/>
      <c r="R25" s="33" t="e">
        <v>#VALUE!</v>
      </c>
      <c r="S25" s="33" t="s">
        <v>107</v>
      </c>
      <c r="T25" s="35"/>
      <c r="U25" s="31"/>
    </row>
    <row r="26">
      <c r="A26" s="31"/>
      <c r="B26" s="37">
        <v>45643.0</v>
      </c>
      <c r="C26" s="38" t="s">
        <v>128</v>
      </c>
      <c r="D26" s="38" t="s">
        <v>101</v>
      </c>
      <c r="E26" s="38" t="s">
        <v>125</v>
      </c>
      <c r="F26" s="29"/>
      <c r="G26" s="38" t="s">
        <v>130</v>
      </c>
      <c r="H26" s="38">
        <v>3.542679350213E14</v>
      </c>
      <c r="I26" s="39" t="s">
        <v>88</v>
      </c>
      <c r="J26" s="29"/>
      <c r="K26" s="38" t="s">
        <v>109</v>
      </c>
      <c r="L26" s="37">
        <v>45665.0</v>
      </c>
      <c r="M26" s="38" t="s">
        <v>95</v>
      </c>
      <c r="N26" s="38" t="s">
        <v>8</v>
      </c>
      <c r="O26" s="43"/>
      <c r="P26" s="37">
        <v>45667.0</v>
      </c>
      <c r="Q26" s="38" t="s">
        <v>131</v>
      </c>
      <c r="R26" s="38" t="s">
        <v>95</v>
      </c>
      <c r="S26" s="38" t="s">
        <v>107</v>
      </c>
      <c r="T26" s="29"/>
      <c r="U26" s="31"/>
    </row>
    <row r="27">
      <c r="A27" s="31"/>
      <c r="B27" s="32">
        <v>45643.0</v>
      </c>
      <c r="C27" s="33" t="s">
        <v>128</v>
      </c>
      <c r="D27" s="33" t="s">
        <v>101</v>
      </c>
      <c r="E27" s="33" t="s">
        <v>132</v>
      </c>
      <c r="F27" s="35"/>
      <c r="G27" s="33" t="s">
        <v>133</v>
      </c>
      <c r="H27" s="33">
        <v>3.51198920663108E14</v>
      </c>
      <c r="I27" s="39" t="s">
        <v>88</v>
      </c>
      <c r="J27" s="35"/>
      <c r="K27" s="33" t="s">
        <v>109</v>
      </c>
      <c r="L27" s="35"/>
      <c r="M27" s="35"/>
      <c r="N27" s="35"/>
      <c r="O27" s="42"/>
      <c r="P27" s="35"/>
      <c r="Q27" s="35"/>
      <c r="R27" s="35"/>
      <c r="S27" s="33" t="s">
        <v>107</v>
      </c>
      <c r="T27" s="35"/>
      <c r="U27" s="31"/>
    </row>
    <row r="28">
      <c r="A28" s="31"/>
      <c r="B28" s="37">
        <v>45643.0</v>
      </c>
      <c r="C28" s="38" t="s">
        <v>128</v>
      </c>
      <c r="D28" s="38" t="s">
        <v>101</v>
      </c>
      <c r="E28" s="38" t="s">
        <v>132</v>
      </c>
      <c r="F28" s="29"/>
      <c r="G28" s="38" t="s">
        <v>133</v>
      </c>
      <c r="H28" s="38">
        <v>3.51198920624563E14</v>
      </c>
      <c r="I28" s="39" t="s">
        <v>88</v>
      </c>
      <c r="J28" s="29"/>
      <c r="K28" s="38" t="s">
        <v>109</v>
      </c>
      <c r="L28" s="29"/>
      <c r="M28" s="29"/>
      <c r="N28" s="29"/>
      <c r="O28" s="43"/>
      <c r="P28" s="29"/>
      <c r="Q28" s="29"/>
      <c r="R28" s="29"/>
      <c r="S28" s="38" t="s">
        <v>107</v>
      </c>
      <c r="T28" s="29"/>
      <c r="U28" s="31"/>
    </row>
    <row r="29">
      <c r="A29" s="31"/>
      <c r="B29" s="32">
        <v>45643.0</v>
      </c>
      <c r="C29" s="33" t="s">
        <v>128</v>
      </c>
      <c r="D29" s="33" t="s">
        <v>101</v>
      </c>
      <c r="E29" s="33" t="s">
        <v>132</v>
      </c>
      <c r="F29" s="35"/>
      <c r="G29" s="33" t="s">
        <v>133</v>
      </c>
      <c r="H29" s="33">
        <v>3.51198920624068E14</v>
      </c>
      <c r="I29" s="39" t="s">
        <v>88</v>
      </c>
      <c r="J29" s="35"/>
      <c r="K29" s="33" t="s">
        <v>109</v>
      </c>
      <c r="L29" s="35"/>
      <c r="M29" s="35"/>
      <c r="N29" s="35"/>
      <c r="O29" s="42"/>
      <c r="P29" s="35"/>
      <c r="Q29" s="35"/>
      <c r="R29" s="35"/>
      <c r="S29" s="33" t="s">
        <v>107</v>
      </c>
      <c r="T29" s="35"/>
      <c r="U29" s="31"/>
    </row>
    <row r="30">
      <c r="A30" s="31"/>
      <c r="B30" s="37">
        <v>45643.0</v>
      </c>
      <c r="C30" s="29"/>
      <c r="D30" s="38" t="s">
        <v>101</v>
      </c>
      <c r="E30" s="38" t="s">
        <v>90</v>
      </c>
      <c r="F30" s="29"/>
      <c r="G30" s="38" t="s">
        <v>134</v>
      </c>
      <c r="H30" s="38">
        <v>3.50009210002587E14</v>
      </c>
      <c r="I30" s="41" t="s">
        <v>135</v>
      </c>
      <c r="J30" s="29"/>
      <c r="K30" s="38" t="s">
        <v>105</v>
      </c>
      <c r="L30" s="29"/>
      <c r="M30" s="29"/>
      <c r="N30" s="29"/>
      <c r="O30" s="43"/>
      <c r="P30" s="29"/>
      <c r="Q30" s="29"/>
      <c r="R30" s="29"/>
      <c r="S30" s="29"/>
      <c r="T30" s="29"/>
      <c r="U30" s="31"/>
    </row>
    <row r="31">
      <c r="A31" s="31"/>
      <c r="B31" s="44">
        <v>45643.0</v>
      </c>
      <c r="C31" s="35"/>
      <c r="D31" s="33" t="s">
        <v>101</v>
      </c>
      <c r="E31" s="33" t="s">
        <v>90</v>
      </c>
      <c r="F31" s="35"/>
      <c r="G31" s="33" t="s">
        <v>134</v>
      </c>
      <c r="H31" s="33">
        <v>3.50009210058175E14</v>
      </c>
      <c r="I31" s="34" t="s">
        <v>135</v>
      </c>
      <c r="J31" s="35"/>
      <c r="K31" s="33" t="s">
        <v>105</v>
      </c>
      <c r="L31" s="35"/>
      <c r="M31" s="35"/>
      <c r="N31" s="35"/>
      <c r="O31" s="42"/>
      <c r="P31" s="35"/>
      <c r="Q31" s="35"/>
      <c r="R31" s="35"/>
      <c r="S31" s="35"/>
      <c r="T31" s="35"/>
      <c r="U31" s="31"/>
    </row>
    <row r="32">
      <c r="A32" s="31"/>
      <c r="B32" s="37">
        <v>45643.0</v>
      </c>
      <c r="C32" s="29"/>
      <c r="D32" s="38" t="s">
        <v>101</v>
      </c>
      <c r="E32" s="38" t="s">
        <v>90</v>
      </c>
      <c r="F32" s="29"/>
      <c r="G32" s="38" t="s">
        <v>136</v>
      </c>
      <c r="H32" s="38">
        <v>3.50009210023914E14</v>
      </c>
      <c r="I32" s="41" t="s">
        <v>135</v>
      </c>
      <c r="J32" s="29"/>
      <c r="K32" s="38" t="s">
        <v>105</v>
      </c>
      <c r="L32" s="29"/>
      <c r="M32" s="29"/>
      <c r="N32" s="29"/>
      <c r="O32" s="43"/>
      <c r="P32" s="29"/>
      <c r="Q32" s="29"/>
      <c r="R32" s="29"/>
      <c r="S32" s="29"/>
      <c r="T32" s="29"/>
      <c r="U32" s="31"/>
    </row>
    <row r="33">
      <c r="A33" s="31"/>
      <c r="B33" s="32">
        <v>45643.0</v>
      </c>
      <c r="C33" s="33" t="s">
        <v>46</v>
      </c>
      <c r="D33" s="33" t="s">
        <v>101</v>
      </c>
      <c r="E33" s="33" t="s">
        <v>90</v>
      </c>
      <c r="F33" s="33" t="s">
        <v>84</v>
      </c>
      <c r="G33" s="33" t="s">
        <v>134</v>
      </c>
      <c r="H33" s="33">
        <v>3.50009210002413E14</v>
      </c>
      <c r="I33" s="39" t="s">
        <v>88</v>
      </c>
      <c r="J33" s="33" t="s">
        <v>137</v>
      </c>
      <c r="K33" s="33" t="s">
        <v>109</v>
      </c>
      <c r="L33" s="35"/>
      <c r="M33" s="35"/>
      <c r="N33" s="35"/>
      <c r="O33" s="42"/>
      <c r="P33" s="35"/>
      <c r="Q33" s="35"/>
      <c r="R33" s="35"/>
      <c r="S33" s="33" t="s">
        <v>107</v>
      </c>
      <c r="T33" s="35"/>
      <c r="U33" s="31"/>
    </row>
    <row r="34">
      <c r="A34" s="31"/>
      <c r="B34" s="37">
        <v>45643.0</v>
      </c>
      <c r="C34" s="38" t="s">
        <v>46</v>
      </c>
      <c r="D34" s="38" t="s">
        <v>101</v>
      </c>
      <c r="E34" s="38" t="s">
        <v>90</v>
      </c>
      <c r="F34" s="38" t="s">
        <v>84</v>
      </c>
      <c r="G34" s="38" t="s">
        <v>134</v>
      </c>
      <c r="H34" s="38">
        <v>3.50009210062094E14</v>
      </c>
      <c r="I34" s="41" t="s">
        <v>86</v>
      </c>
      <c r="J34" s="38" t="s">
        <v>138</v>
      </c>
      <c r="K34" s="38" t="s">
        <v>109</v>
      </c>
      <c r="L34" s="29"/>
      <c r="M34" s="29"/>
      <c r="N34" s="29"/>
      <c r="O34" s="43"/>
      <c r="P34" s="29"/>
      <c r="Q34" s="29"/>
      <c r="R34" s="29"/>
      <c r="S34" s="38" t="s">
        <v>107</v>
      </c>
      <c r="T34" s="29"/>
      <c r="U34" s="31"/>
    </row>
    <row r="35">
      <c r="A35" s="31"/>
      <c r="B35" s="32">
        <v>45643.0</v>
      </c>
      <c r="C35" s="33" t="s">
        <v>30</v>
      </c>
      <c r="D35" s="33" t="s">
        <v>74</v>
      </c>
      <c r="E35" s="33" t="s">
        <v>90</v>
      </c>
      <c r="F35" s="33" t="s">
        <v>84</v>
      </c>
      <c r="G35" s="33" t="s">
        <v>85</v>
      </c>
      <c r="H35" s="33">
        <v>3.50009210016744E14</v>
      </c>
      <c r="I35" s="39" t="s">
        <v>88</v>
      </c>
      <c r="J35" s="35"/>
      <c r="K35" s="33" t="s">
        <v>11</v>
      </c>
      <c r="L35" s="45"/>
      <c r="M35" s="35"/>
      <c r="N35" s="35"/>
      <c r="O35" s="42"/>
      <c r="P35" s="35"/>
      <c r="Q35" s="35"/>
      <c r="R35" s="35"/>
      <c r="S35" s="33" t="s">
        <v>116</v>
      </c>
      <c r="T35" s="35"/>
      <c r="U35" s="31"/>
    </row>
    <row r="36">
      <c r="A36" s="31"/>
      <c r="B36" s="44">
        <v>45643.0</v>
      </c>
      <c r="C36" s="29"/>
      <c r="D36" s="38" t="s">
        <v>139</v>
      </c>
      <c r="E36" s="38" t="s">
        <v>140</v>
      </c>
      <c r="F36" s="29"/>
      <c r="G36" s="38" t="s">
        <v>134</v>
      </c>
      <c r="H36" s="38" t="s">
        <v>141</v>
      </c>
      <c r="I36" s="41" t="s">
        <v>106</v>
      </c>
      <c r="J36" s="29"/>
      <c r="K36" s="38" t="s">
        <v>109</v>
      </c>
      <c r="L36" s="29"/>
      <c r="M36" s="29"/>
      <c r="N36" s="29"/>
      <c r="O36" s="43"/>
      <c r="P36" s="29"/>
      <c r="Q36" s="29"/>
      <c r="R36" s="29"/>
      <c r="S36" s="38" t="s">
        <v>116</v>
      </c>
      <c r="T36" s="29"/>
      <c r="U36" s="31"/>
    </row>
    <row r="37">
      <c r="A37" s="31"/>
      <c r="B37" s="44">
        <v>45643.0</v>
      </c>
      <c r="C37" s="35"/>
      <c r="D37" s="33" t="s">
        <v>139</v>
      </c>
      <c r="E37" s="33" t="s">
        <v>140</v>
      </c>
      <c r="F37" s="35"/>
      <c r="G37" s="33" t="s">
        <v>134</v>
      </c>
      <c r="H37" s="33" t="s">
        <v>142</v>
      </c>
      <c r="I37" s="34" t="s">
        <v>106</v>
      </c>
      <c r="J37" s="35"/>
      <c r="K37" s="33" t="s">
        <v>109</v>
      </c>
      <c r="L37" s="35"/>
      <c r="M37" s="35"/>
      <c r="N37" s="35"/>
      <c r="O37" s="42"/>
      <c r="P37" s="35"/>
      <c r="Q37" s="35"/>
      <c r="R37" s="35"/>
      <c r="S37" s="33" t="s">
        <v>116</v>
      </c>
      <c r="T37" s="35"/>
      <c r="U37" s="31"/>
    </row>
    <row r="38">
      <c r="A38" s="31"/>
      <c r="B38" s="37">
        <v>45643.0</v>
      </c>
      <c r="C38" s="38" t="s">
        <v>128</v>
      </c>
      <c r="D38" s="38" t="s">
        <v>139</v>
      </c>
      <c r="E38" s="38" t="s">
        <v>143</v>
      </c>
      <c r="F38" s="29"/>
      <c r="G38" s="38" t="s">
        <v>144</v>
      </c>
      <c r="H38" s="38" t="s">
        <v>145</v>
      </c>
      <c r="I38" s="41" t="s">
        <v>86</v>
      </c>
      <c r="J38" s="29"/>
      <c r="K38" s="38" t="s">
        <v>105</v>
      </c>
      <c r="L38" s="29"/>
      <c r="M38" s="29"/>
      <c r="N38" s="29"/>
      <c r="O38" s="43"/>
      <c r="P38" s="29"/>
      <c r="Q38" s="29"/>
      <c r="R38" s="29"/>
      <c r="S38" s="38" t="s">
        <v>107</v>
      </c>
      <c r="T38" s="29"/>
      <c r="U38" s="31"/>
    </row>
    <row r="39">
      <c r="A39" s="31"/>
      <c r="B39" s="32">
        <v>45643.0</v>
      </c>
      <c r="C39" s="33" t="s">
        <v>128</v>
      </c>
      <c r="D39" s="33" t="s">
        <v>139</v>
      </c>
      <c r="E39" s="33" t="s">
        <v>143</v>
      </c>
      <c r="F39" s="35"/>
      <c r="G39" s="33" t="s">
        <v>133</v>
      </c>
      <c r="H39" s="33" t="s">
        <v>146</v>
      </c>
      <c r="I39" s="34" t="s">
        <v>86</v>
      </c>
      <c r="J39" s="35"/>
      <c r="K39" s="33" t="s">
        <v>105</v>
      </c>
      <c r="L39" s="35"/>
      <c r="M39" s="35"/>
      <c r="N39" s="35"/>
      <c r="O39" s="42"/>
      <c r="P39" s="35"/>
      <c r="Q39" s="35"/>
      <c r="R39" s="35"/>
      <c r="S39" s="33" t="s">
        <v>107</v>
      </c>
      <c r="T39" s="35"/>
      <c r="U39" s="31"/>
    </row>
    <row r="40">
      <c r="A40" s="31"/>
      <c r="B40" s="37">
        <v>45643.0</v>
      </c>
      <c r="C40" s="29"/>
      <c r="D40" s="38" t="s">
        <v>139</v>
      </c>
      <c r="E40" s="38" t="s">
        <v>143</v>
      </c>
      <c r="F40" s="29"/>
      <c r="G40" s="38" t="s">
        <v>144</v>
      </c>
      <c r="H40" s="38" t="s">
        <v>147</v>
      </c>
      <c r="I40" s="41" t="s">
        <v>106</v>
      </c>
      <c r="J40" s="29"/>
      <c r="K40" s="38" t="s">
        <v>105</v>
      </c>
      <c r="L40" s="29"/>
      <c r="M40" s="29"/>
      <c r="N40" s="29"/>
      <c r="O40" s="43"/>
      <c r="P40" s="29"/>
      <c r="Q40" s="29"/>
      <c r="R40" s="29"/>
      <c r="S40" s="38" t="s">
        <v>116</v>
      </c>
      <c r="T40" s="29"/>
      <c r="U40" s="31"/>
    </row>
    <row r="41">
      <c r="A41" s="31"/>
      <c r="B41" s="44">
        <v>45643.0</v>
      </c>
      <c r="C41" s="35"/>
      <c r="D41" s="33" t="s">
        <v>42</v>
      </c>
      <c r="E41" s="33" t="s">
        <v>148</v>
      </c>
      <c r="F41" s="35"/>
      <c r="G41" s="33" t="s">
        <v>149</v>
      </c>
      <c r="H41" s="33" t="s">
        <v>150</v>
      </c>
      <c r="I41" s="34" t="s">
        <v>151</v>
      </c>
      <c r="J41" s="35"/>
      <c r="K41" s="33" t="s">
        <v>109</v>
      </c>
      <c r="L41" s="35"/>
      <c r="M41" s="35"/>
      <c r="N41" s="35"/>
      <c r="O41" s="42"/>
      <c r="P41" s="35"/>
      <c r="Q41" s="35"/>
      <c r="R41" s="35"/>
      <c r="S41" s="35"/>
      <c r="T41" s="35"/>
      <c r="U41" s="31"/>
    </row>
    <row r="42">
      <c r="A42" s="31"/>
      <c r="B42" s="44">
        <v>45643.0</v>
      </c>
      <c r="C42" s="29"/>
      <c r="D42" s="38" t="s">
        <v>42</v>
      </c>
      <c r="E42" s="38" t="s">
        <v>148</v>
      </c>
      <c r="F42" s="38" t="s">
        <v>152</v>
      </c>
      <c r="G42" s="38" t="s">
        <v>149</v>
      </c>
      <c r="H42" s="38" t="s">
        <v>153</v>
      </c>
      <c r="I42" s="41" t="s">
        <v>78</v>
      </c>
      <c r="J42" s="29"/>
      <c r="K42" s="38" t="s">
        <v>105</v>
      </c>
      <c r="L42" s="29"/>
      <c r="M42" s="29"/>
      <c r="N42" s="29"/>
      <c r="O42" s="43"/>
      <c r="P42" s="29"/>
      <c r="Q42" s="29"/>
      <c r="R42" s="29"/>
      <c r="S42" s="38" t="s">
        <v>116</v>
      </c>
      <c r="T42" s="29"/>
      <c r="U42" s="31"/>
    </row>
    <row r="43">
      <c r="A43" s="31"/>
      <c r="B43" s="32">
        <v>45643.0</v>
      </c>
      <c r="C43" s="35"/>
      <c r="D43" s="33" t="s">
        <v>42</v>
      </c>
      <c r="E43" s="33" t="s">
        <v>148</v>
      </c>
      <c r="F43" s="33" t="s">
        <v>152</v>
      </c>
      <c r="G43" s="33" t="s">
        <v>149</v>
      </c>
      <c r="H43" s="33" t="s">
        <v>154</v>
      </c>
      <c r="I43" s="34" t="s">
        <v>78</v>
      </c>
      <c r="J43" s="35"/>
      <c r="K43" s="33" t="s">
        <v>109</v>
      </c>
      <c r="L43" s="35"/>
      <c r="M43" s="35"/>
      <c r="N43" s="35"/>
      <c r="O43" s="42"/>
      <c r="P43" s="35"/>
      <c r="Q43" s="35"/>
      <c r="R43" s="35"/>
      <c r="S43" s="33" t="s">
        <v>116</v>
      </c>
      <c r="T43" s="35"/>
      <c r="U43" s="31"/>
    </row>
    <row r="44">
      <c r="A44" s="31"/>
      <c r="B44" s="37">
        <v>45643.0</v>
      </c>
      <c r="C44" s="38" t="s">
        <v>43</v>
      </c>
      <c r="D44" s="38" t="s">
        <v>42</v>
      </c>
      <c r="E44" s="38" t="s">
        <v>155</v>
      </c>
      <c r="F44" s="29"/>
      <c r="G44" s="38" t="s">
        <v>156</v>
      </c>
      <c r="H44" s="38" t="s">
        <v>157</v>
      </c>
      <c r="I44" s="41" t="s">
        <v>86</v>
      </c>
      <c r="J44" s="38" t="s">
        <v>158</v>
      </c>
      <c r="K44" s="38" t="s">
        <v>109</v>
      </c>
      <c r="L44" s="29"/>
      <c r="M44" s="29"/>
      <c r="N44" s="29"/>
      <c r="O44" s="43"/>
      <c r="P44" s="29"/>
      <c r="Q44" s="29"/>
      <c r="R44" s="29"/>
      <c r="S44" s="38" t="s">
        <v>107</v>
      </c>
      <c r="T44" s="29"/>
      <c r="U44" s="31"/>
    </row>
    <row r="45">
      <c r="A45" s="31"/>
      <c r="B45" s="32">
        <v>45643.0</v>
      </c>
      <c r="C45" s="35"/>
      <c r="D45" s="33" t="s">
        <v>17</v>
      </c>
      <c r="E45" s="33" t="s">
        <v>159</v>
      </c>
      <c r="F45" s="35"/>
      <c r="G45" s="33" t="s">
        <v>160</v>
      </c>
      <c r="H45" s="33" t="s">
        <v>161</v>
      </c>
      <c r="I45" s="34" t="s">
        <v>106</v>
      </c>
      <c r="J45" s="35"/>
      <c r="K45" s="33" t="s">
        <v>105</v>
      </c>
      <c r="L45" s="35"/>
      <c r="M45" s="35"/>
      <c r="N45" s="35"/>
      <c r="O45" s="42"/>
      <c r="P45" s="35"/>
      <c r="Q45" s="35"/>
      <c r="R45" s="35"/>
      <c r="S45" s="33" t="s">
        <v>116</v>
      </c>
      <c r="T45" s="35"/>
      <c r="U45" s="31"/>
    </row>
    <row r="46">
      <c r="A46" s="31"/>
      <c r="B46" s="37">
        <v>45643.0</v>
      </c>
      <c r="C46" s="29"/>
      <c r="D46" s="38" t="s">
        <v>17</v>
      </c>
      <c r="E46" s="38" t="s">
        <v>159</v>
      </c>
      <c r="F46" s="29"/>
      <c r="G46" s="38" t="s">
        <v>162</v>
      </c>
      <c r="H46" s="38" t="s">
        <v>163</v>
      </c>
      <c r="I46" s="41" t="s">
        <v>106</v>
      </c>
      <c r="J46" s="29"/>
      <c r="K46" s="38" t="s">
        <v>105</v>
      </c>
      <c r="L46" s="29"/>
      <c r="M46" s="29"/>
      <c r="N46" s="29"/>
      <c r="O46" s="43"/>
      <c r="P46" s="29"/>
      <c r="Q46" s="29"/>
      <c r="R46" s="29"/>
      <c r="S46" s="38" t="s">
        <v>116</v>
      </c>
      <c r="T46" s="29"/>
      <c r="U46" s="31"/>
    </row>
    <row r="47">
      <c r="A47" s="31"/>
      <c r="B47" s="32">
        <v>45643.0</v>
      </c>
      <c r="C47" s="33" t="s">
        <v>43</v>
      </c>
      <c r="D47" s="33" t="s">
        <v>17</v>
      </c>
      <c r="E47" s="33" t="s">
        <v>159</v>
      </c>
      <c r="F47" s="35"/>
      <c r="G47" s="33" t="s">
        <v>162</v>
      </c>
      <c r="H47" s="33" t="s">
        <v>164</v>
      </c>
      <c r="I47" s="34" t="s">
        <v>86</v>
      </c>
      <c r="J47" s="33" t="s">
        <v>158</v>
      </c>
      <c r="K47" s="33" t="s">
        <v>109</v>
      </c>
      <c r="L47" s="35"/>
      <c r="M47" s="35"/>
      <c r="N47" s="35"/>
      <c r="O47" s="42"/>
      <c r="P47" s="35"/>
      <c r="Q47" s="35"/>
      <c r="R47" s="35"/>
      <c r="S47" s="33" t="s">
        <v>107</v>
      </c>
      <c r="T47" s="35"/>
      <c r="U47" s="31"/>
    </row>
    <row r="48">
      <c r="A48" s="31"/>
      <c r="B48" s="44">
        <v>45643.0</v>
      </c>
      <c r="C48" s="29"/>
      <c r="D48" s="38" t="s">
        <v>17</v>
      </c>
      <c r="E48" s="38" t="s">
        <v>159</v>
      </c>
      <c r="F48" s="29"/>
      <c r="G48" s="38" t="s">
        <v>162</v>
      </c>
      <c r="H48" s="38" t="s">
        <v>165</v>
      </c>
      <c r="I48" s="41" t="s">
        <v>106</v>
      </c>
      <c r="J48" s="29"/>
      <c r="K48" s="38" t="s">
        <v>105</v>
      </c>
      <c r="L48" s="29"/>
      <c r="M48" s="29"/>
      <c r="N48" s="29"/>
      <c r="O48" s="43"/>
      <c r="P48" s="29"/>
      <c r="Q48" s="29"/>
      <c r="R48" s="29"/>
      <c r="S48" s="38" t="s">
        <v>116</v>
      </c>
      <c r="T48" s="29"/>
      <c r="U48" s="31"/>
    </row>
    <row r="49">
      <c r="A49" s="31"/>
      <c r="B49" s="32">
        <v>45643.0</v>
      </c>
      <c r="C49" s="33" t="s">
        <v>128</v>
      </c>
      <c r="D49" s="33" t="s">
        <v>166</v>
      </c>
      <c r="E49" s="33" t="s">
        <v>167</v>
      </c>
      <c r="F49" s="35"/>
      <c r="G49" s="33" t="s">
        <v>144</v>
      </c>
      <c r="H49" s="33" t="s">
        <v>168</v>
      </c>
      <c r="I49" s="39" t="s">
        <v>88</v>
      </c>
      <c r="J49" s="35"/>
      <c r="K49" s="33" t="s">
        <v>109</v>
      </c>
      <c r="L49" s="35"/>
      <c r="M49" s="35"/>
      <c r="N49" s="35"/>
      <c r="O49" s="42"/>
      <c r="P49" s="35"/>
      <c r="Q49" s="35"/>
      <c r="R49" s="35"/>
      <c r="S49" s="33" t="s">
        <v>107</v>
      </c>
      <c r="T49" s="35"/>
      <c r="U49" s="31"/>
    </row>
    <row r="50">
      <c r="A50" s="31"/>
      <c r="B50" s="37">
        <v>45643.0</v>
      </c>
      <c r="C50" s="38" t="s">
        <v>128</v>
      </c>
      <c r="D50" s="38" t="s">
        <v>166</v>
      </c>
      <c r="E50" s="38" t="s">
        <v>167</v>
      </c>
      <c r="F50" s="29"/>
      <c r="G50" s="38" t="s">
        <v>169</v>
      </c>
      <c r="H50" s="38" t="s">
        <v>170</v>
      </c>
      <c r="I50" s="39" t="s">
        <v>88</v>
      </c>
      <c r="J50" s="29"/>
      <c r="K50" s="38" t="s">
        <v>109</v>
      </c>
      <c r="L50" s="29"/>
      <c r="M50" s="29"/>
      <c r="N50" s="29"/>
      <c r="O50" s="43"/>
      <c r="P50" s="29"/>
      <c r="Q50" s="29"/>
      <c r="R50" s="29"/>
      <c r="S50" s="38" t="s">
        <v>107</v>
      </c>
      <c r="T50" s="29"/>
      <c r="U50" s="31"/>
    </row>
    <row r="51">
      <c r="A51" s="31"/>
      <c r="B51" s="32">
        <v>45643.0</v>
      </c>
      <c r="C51" s="33" t="s">
        <v>128</v>
      </c>
      <c r="D51" s="33" t="s">
        <v>166</v>
      </c>
      <c r="E51" s="33" t="s">
        <v>171</v>
      </c>
      <c r="F51" s="35"/>
      <c r="G51" s="33" t="s">
        <v>144</v>
      </c>
      <c r="H51" s="33" t="s">
        <v>172</v>
      </c>
      <c r="I51" s="39" t="s">
        <v>88</v>
      </c>
      <c r="J51" s="35"/>
      <c r="K51" s="33" t="s">
        <v>109</v>
      </c>
      <c r="L51" s="35"/>
      <c r="M51" s="35"/>
      <c r="N51" s="35"/>
      <c r="O51" s="42"/>
      <c r="P51" s="35"/>
      <c r="Q51" s="35"/>
      <c r="R51" s="35"/>
      <c r="S51" s="33" t="s">
        <v>107</v>
      </c>
      <c r="T51" s="35"/>
      <c r="U51" s="31"/>
    </row>
    <row r="52">
      <c r="A52" s="31"/>
      <c r="B52" s="37">
        <v>45643.0</v>
      </c>
      <c r="C52" s="38" t="s">
        <v>128</v>
      </c>
      <c r="D52" s="38" t="s">
        <v>166</v>
      </c>
      <c r="E52" s="38" t="s">
        <v>171</v>
      </c>
      <c r="F52" s="29"/>
      <c r="G52" s="38" t="s">
        <v>144</v>
      </c>
      <c r="H52" s="38" t="s">
        <v>173</v>
      </c>
      <c r="I52" s="39" t="s">
        <v>88</v>
      </c>
      <c r="J52" s="29"/>
      <c r="K52" s="38" t="s">
        <v>109</v>
      </c>
      <c r="L52" s="29"/>
      <c r="M52" s="29"/>
      <c r="N52" s="29"/>
      <c r="O52" s="43"/>
      <c r="P52" s="29"/>
      <c r="Q52" s="29"/>
      <c r="R52" s="29"/>
      <c r="S52" s="38" t="s">
        <v>107</v>
      </c>
      <c r="T52" s="29"/>
      <c r="U52" s="31"/>
    </row>
    <row r="53">
      <c r="A53" s="31"/>
      <c r="B53" s="32">
        <v>45643.0</v>
      </c>
      <c r="C53" s="35"/>
      <c r="D53" s="33" t="s">
        <v>174</v>
      </c>
      <c r="E53" s="33" t="s">
        <v>175</v>
      </c>
      <c r="F53" s="35"/>
      <c r="G53" s="33" t="s">
        <v>176</v>
      </c>
      <c r="H53" s="33" t="s">
        <v>177</v>
      </c>
      <c r="I53" s="34" t="s">
        <v>78</v>
      </c>
      <c r="J53" s="35"/>
      <c r="K53" s="33" t="s">
        <v>109</v>
      </c>
      <c r="L53" s="32">
        <v>45667.0</v>
      </c>
      <c r="M53" s="33" t="s">
        <v>95</v>
      </c>
      <c r="N53" s="33" t="s">
        <v>8</v>
      </c>
      <c r="O53" s="42"/>
      <c r="P53" s="35"/>
      <c r="Q53" s="35"/>
      <c r="R53" s="35"/>
      <c r="S53" s="35"/>
      <c r="T53" s="35"/>
      <c r="U53" s="31"/>
    </row>
    <row r="54">
      <c r="A54" s="31"/>
      <c r="B54" s="37">
        <v>45643.0</v>
      </c>
      <c r="C54" s="29"/>
      <c r="D54" s="38" t="s">
        <v>42</v>
      </c>
      <c r="E54" s="38" t="s">
        <v>155</v>
      </c>
      <c r="F54" s="29"/>
      <c r="G54" s="38" t="s">
        <v>156</v>
      </c>
      <c r="H54" s="38" t="s">
        <v>178</v>
      </c>
      <c r="I54" s="41" t="s">
        <v>88</v>
      </c>
      <c r="J54" s="29"/>
      <c r="K54" s="38" t="s">
        <v>11</v>
      </c>
      <c r="L54" s="29"/>
      <c r="M54" s="29"/>
      <c r="N54" s="29"/>
      <c r="O54" s="43"/>
      <c r="P54" s="37">
        <v>45726.0</v>
      </c>
      <c r="Q54" s="29"/>
      <c r="R54" s="29"/>
      <c r="S54" s="38" t="s">
        <v>116</v>
      </c>
      <c r="T54" s="29"/>
      <c r="U54" s="31"/>
    </row>
    <row r="55">
      <c r="A55" s="31"/>
      <c r="B55" s="32">
        <v>45643.0</v>
      </c>
      <c r="C55" s="35"/>
      <c r="D55" s="33" t="s">
        <v>42</v>
      </c>
      <c r="E55" s="33" t="s">
        <v>155</v>
      </c>
      <c r="F55" s="35"/>
      <c r="G55" s="33" t="s">
        <v>156</v>
      </c>
      <c r="H55" s="33" t="s">
        <v>179</v>
      </c>
      <c r="I55" s="34" t="s">
        <v>88</v>
      </c>
      <c r="J55" s="35"/>
      <c r="K55" s="33" t="s">
        <v>11</v>
      </c>
      <c r="L55" s="35"/>
      <c r="M55" s="35"/>
      <c r="N55" s="35"/>
      <c r="O55" s="42"/>
      <c r="P55" s="32">
        <v>45726.0</v>
      </c>
      <c r="Q55" s="35"/>
      <c r="R55" s="35"/>
      <c r="S55" s="33" t="s">
        <v>116</v>
      </c>
      <c r="T55" s="35"/>
      <c r="U55" s="31"/>
    </row>
    <row r="56">
      <c r="A56" s="31"/>
      <c r="B56" s="37">
        <v>45643.0</v>
      </c>
      <c r="C56" s="29"/>
      <c r="D56" s="38" t="s">
        <v>17</v>
      </c>
      <c r="E56" s="38" t="s">
        <v>159</v>
      </c>
      <c r="F56" s="29"/>
      <c r="G56" s="38" t="s">
        <v>162</v>
      </c>
      <c r="H56" s="38" t="s">
        <v>180</v>
      </c>
      <c r="I56" s="41" t="s">
        <v>86</v>
      </c>
      <c r="J56" s="29"/>
      <c r="K56" s="38" t="s">
        <v>105</v>
      </c>
      <c r="L56" s="29"/>
      <c r="M56" s="29"/>
      <c r="N56" s="29"/>
      <c r="O56" s="43"/>
      <c r="P56" s="29"/>
      <c r="Q56" s="29"/>
      <c r="R56" s="29"/>
      <c r="S56" s="38" t="s">
        <v>116</v>
      </c>
      <c r="T56" s="29"/>
      <c r="U56" s="31"/>
    </row>
    <row r="57">
      <c r="A57" s="31"/>
      <c r="B57" s="32">
        <v>45643.0</v>
      </c>
      <c r="C57" s="35"/>
      <c r="D57" s="33" t="s">
        <v>17</v>
      </c>
      <c r="E57" s="33" t="s">
        <v>159</v>
      </c>
      <c r="F57" s="35"/>
      <c r="G57" s="33" t="s">
        <v>162</v>
      </c>
      <c r="H57" s="33" t="s">
        <v>181</v>
      </c>
      <c r="I57" s="34" t="s">
        <v>88</v>
      </c>
      <c r="J57" s="35"/>
      <c r="K57" s="33" t="s">
        <v>11</v>
      </c>
      <c r="L57" s="35"/>
      <c r="M57" s="35"/>
      <c r="N57" s="35"/>
      <c r="O57" s="42"/>
      <c r="P57" s="32">
        <v>45726.0</v>
      </c>
      <c r="Q57" s="35"/>
      <c r="R57" s="35"/>
      <c r="S57" s="33" t="s">
        <v>116</v>
      </c>
      <c r="T57" s="35"/>
      <c r="U57" s="31"/>
    </row>
    <row r="58">
      <c r="A58" s="31"/>
      <c r="B58" s="37">
        <v>45643.0</v>
      </c>
      <c r="C58" s="29"/>
      <c r="D58" s="38" t="s">
        <v>17</v>
      </c>
      <c r="E58" s="38" t="s">
        <v>182</v>
      </c>
      <c r="F58" s="29"/>
      <c r="G58" s="38" t="s">
        <v>176</v>
      </c>
      <c r="H58" s="38" t="s">
        <v>183</v>
      </c>
      <c r="I58" s="41" t="s">
        <v>106</v>
      </c>
      <c r="J58" s="29"/>
      <c r="K58" s="38" t="s">
        <v>109</v>
      </c>
      <c r="L58" s="29"/>
      <c r="M58" s="29"/>
      <c r="N58" s="29"/>
      <c r="O58" s="43"/>
      <c r="P58" s="29"/>
      <c r="Q58" s="29"/>
      <c r="R58" s="29"/>
      <c r="S58" s="38" t="s">
        <v>116</v>
      </c>
      <c r="T58" s="29"/>
      <c r="U58" s="31"/>
    </row>
    <row r="59">
      <c r="A59" s="31"/>
      <c r="B59" s="32">
        <v>45643.0</v>
      </c>
      <c r="C59" s="35"/>
      <c r="D59" s="33" t="s">
        <v>17</v>
      </c>
      <c r="E59" s="33" t="s">
        <v>182</v>
      </c>
      <c r="F59" s="35"/>
      <c r="G59" s="33" t="s">
        <v>176</v>
      </c>
      <c r="H59" s="33" t="s">
        <v>184</v>
      </c>
      <c r="I59" s="34" t="s">
        <v>106</v>
      </c>
      <c r="J59" s="35"/>
      <c r="K59" s="33" t="s">
        <v>109</v>
      </c>
      <c r="L59" s="35"/>
      <c r="M59" s="35"/>
      <c r="N59" s="35"/>
      <c r="O59" s="42"/>
      <c r="P59" s="35"/>
      <c r="Q59" s="35"/>
      <c r="R59" s="35"/>
      <c r="S59" s="33" t="s">
        <v>116</v>
      </c>
      <c r="T59" s="35"/>
      <c r="U59" s="31"/>
    </row>
    <row r="60">
      <c r="A60" s="31"/>
      <c r="B60" s="37">
        <v>45643.0</v>
      </c>
      <c r="C60" s="29"/>
      <c r="D60" s="38" t="s">
        <v>17</v>
      </c>
      <c r="E60" s="38" t="s">
        <v>185</v>
      </c>
      <c r="F60" s="29"/>
      <c r="G60" s="38" t="s">
        <v>169</v>
      </c>
      <c r="H60" s="38" t="s">
        <v>186</v>
      </c>
      <c r="I60" s="41" t="s">
        <v>88</v>
      </c>
      <c r="J60" s="29"/>
      <c r="K60" s="38" t="s">
        <v>109</v>
      </c>
      <c r="L60" s="29"/>
      <c r="M60" s="29"/>
      <c r="N60" s="29"/>
      <c r="O60" s="43"/>
      <c r="P60" s="29"/>
      <c r="Q60" s="29"/>
      <c r="R60" s="29"/>
      <c r="S60" s="38" t="s">
        <v>116</v>
      </c>
      <c r="T60" s="29"/>
      <c r="U60" s="31"/>
    </row>
    <row r="61">
      <c r="A61" s="31"/>
      <c r="B61" s="32">
        <v>45643.0</v>
      </c>
      <c r="C61" s="35"/>
      <c r="D61" s="33" t="s">
        <v>17</v>
      </c>
      <c r="E61" s="33" t="s">
        <v>185</v>
      </c>
      <c r="F61" s="35"/>
      <c r="G61" s="33" t="s">
        <v>187</v>
      </c>
      <c r="H61" s="33" t="s">
        <v>188</v>
      </c>
      <c r="I61" s="34" t="s">
        <v>106</v>
      </c>
      <c r="J61" s="35"/>
      <c r="K61" s="33" t="s">
        <v>105</v>
      </c>
      <c r="L61" s="35"/>
      <c r="M61" s="35"/>
      <c r="N61" s="35"/>
      <c r="O61" s="42"/>
      <c r="P61" s="35"/>
      <c r="Q61" s="35"/>
      <c r="R61" s="35"/>
      <c r="S61" s="33" t="s">
        <v>116</v>
      </c>
      <c r="T61" s="35"/>
      <c r="U61" s="31"/>
    </row>
    <row r="62">
      <c r="A62" s="31"/>
      <c r="B62" s="37">
        <v>45643.0</v>
      </c>
      <c r="C62" s="29"/>
      <c r="D62" s="38" t="s">
        <v>17</v>
      </c>
      <c r="E62" s="38" t="s">
        <v>189</v>
      </c>
      <c r="F62" s="29"/>
      <c r="G62" s="38" t="s">
        <v>111</v>
      </c>
      <c r="H62" s="38" t="s">
        <v>190</v>
      </c>
      <c r="I62" s="41" t="s">
        <v>106</v>
      </c>
      <c r="J62" s="29"/>
      <c r="K62" s="38" t="s">
        <v>105</v>
      </c>
      <c r="L62" s="29"/>
      <c r="M62" s="29"/>
      <c r="N62" s="29"/>
      <c r="O62" s="43"/>
      <c r="P62" s="29"/>
      <c r="Q62" s="29"/>
      <c r="R62" s="29"/>
      <c r="S62" s="38" t="s">
        <v>116</v>
      </c>
      <c r="T62" s="29"/>
      <c r="U62" s="31"/>
    </row>
    <row r="63">
      <c r="A63" s="31"/>
      <c r="B63" s="32">
        <v>45643.0</v>
      </c>
      <c r="C63" s="35"/>
      <c r="D63" s="33" t="s">
        <v>17</v>
      </c>
      <c r="E63" s="33" t="s">
        <v>191</v>
      </c>
      <c r="F63" s="35"/>
      <c r="G63" s="33" t="s">
        <v>192</v>
      </c>
      <c r="H63" s="33" t="s">
        <v>193</v>
      </c>
      <c r="I63" s="34" t="s">
        <v>106</v>
      </c>
      <c r="J63" s="35"/>
      <c r="K63" s="33" t="s">
        <v>109</v>
      </c>
      <c r="L63" s="35"/>
      <c r="M63" s="35"/>
      <c r="N63" s="35"/>
      <c r="O63" s="42"/>
      <c r="P63" s="35"/>
      <c r="Q63" s="35"/>
      <c r="R63" s="35"/>
      <c r="S63" s="33" t="s">
        <v>116</v>
      </c>
      <c r="T63" s="35"/>
      <c r="U63" s="31"/>
    </row>
    <row r="64">
      <c r="A64" s="31"/>
      <c r="B64" s="37">
        <v>45643.0</v>
      </c>
      <c r="C64" s="29"/>
      <c r="D64" s="38" t="s">
        <v>42</v>
      </c>
      <c r="E64" s="38" t="s">
        <v>155</v>
      </c>
      <c r="F64" s="29"/>
      <c r="G64" s="38" t="s">
        <v>156</v>
      </c>
      <c r="H64" s="38" t="s">
        <v>194</v>
      </c>
      <c r="I64" s="41" t="s">
        <v>86</v>
      </c>
      <c r="J64" s="29"/>
      <c r="K64" s="38" t="s">
        <v>105</v>
      </c>
      <c r="L64" s="29"/>
      <c r="M64" s="29"/>
      <c r="N64" s="29"/>
      <c r="O64" s="43"/>
      <c r="P64" s="29"/>
      <c r="Q64" s="29"/>
      <c r="R64" s="29"/>
      <c r="S64" s="38" t="s">
        <v>116</v>
      </c>
      <c r="T64" s="29"/>
      <c r="U64" s="31"/>
    </row>
    <row r="65">
      <c r="A65" s="31"/>
      <c r="B65" s="44">
        <v>45643.0</v>
      </c>
      <c r="C65" s="35"/>
      <c r="D65" s="33" t="s">
        <v>42</v>
      </c>
      <c r="E65" s="33" t="s">
        <v>155</v>
      </c>
      <c r="F65" s="35"/>
      <c r="G65" s="33" t="s">
        <v>156</v>
      </c>
      <c r="H65" s="33" t="s">
        <v>195</v>
      </c>
      <c r="I65" s="34" t="s">
        <v>106</v>
      </c>
      <c r="J65" s="35"/>
      <c r="K65" s="33" t="s">
        <v>105</v>
      </c>
      <c r="L65" s="35"/>
      <c r="M65" s="35"/>
      <c r="N65" s="35"/>
      <c r="O65" s="42"/>
      <c r="P65" s="35"/>
      <c r="Q65" s="35"/>
      <c r="R65" s="35"/>
      <c r="S65" s="33" t="s">
        <v>116</v>
      </c>
      <c r="T65" s="35"/>
      <c r="U65" s="31"/>
    </row>
    <row r="66">
      <c r="A66" s="31"/>
      <c r="B66" s="37">
        <v>45643.0</v>
      </c>
      <c r="C66" s="29"/>
      <c r="D66" s="38" t="s">
        <v>42</v>
      </c>
      <c r="E66" s="38" t="s">
        <v>196</v>
      </c>
      <c r="F66" s="29"/>
      <c r="G66" s="38" t="s">
        <v>156</v>
      </c>
      <c r="H66" s="38" t="s">
        <v>197</v>
      </c>
      <c r="I66" s="41" t="s">
        <v>106</v>
      </c>
      <c r="J66" s="29"/>
      <c r="K66" s="38" t="s">
        <v>105</v>
      </c>
      <c r="L66" s="29"/>
      <c r="M66" s="29"/>
      <c r="N66" s="29"/>
      <c r="O66" s="43"/>
      <c r="P66" s="29"/>
      <c r="Q66" s="29"/>
      <c r="R66" s="29"/>
      <c r="S66" s="38" t="s">
        <v>116</v>
      </c>
      <c r="T66" s="29"/>
      <c r="U66" s="31"/>
    </row>
    <row r="67">
      <c r="A67" s="31"/>
      <c r="B67" s="32">
        <v>45643.0</v>
      </c>
      <c r="C67" s="35"/>
      <c r="D67" s="33" t="s">
        <v>17</v>
      </c>
      <c r="E67" s="33" t="s">
        <v>198</v>
      </c>
      <c r="F67" s="35"/>
      <c r="G67" s="33" t="s">
        <v>169</v>
      </c>
      <c r="H67" s="33" t="s">
        <v>199</v>
      </c>
      <c r="I67" s="34" t="s">
        <v>106</v>
      </c>
      <c r="J67" s="35"/>
      <c r="K67" s="33" t="s">
        <v>109</v>
      </c>
      <c r="L67" s="35"/>
      <c r="M67" s="35"/>
      <c r="N67" s="35"/>
      <c r="O67" s="42"/>
      <c r="P67" s="35"/>
      <c r="Q67" s="35"/>
      <c r="R67" s="35"/>
      <c r="S67" s="33" t="s">
        <v>116</v>
      </c>
      <c r="T67" s="35"/>
      <c r="U67" s="31"/>
    </row>
    <row r="68">
      <c r="A68" s="31"/>
      <c r="B68" s="37">
        <v>45643.0</v>
      </c>
      <c r="C68" s="29"/>
      <c r="D68" s="38" t="s">
        <v>17</v>
      </c>
      <c r="E68" s="38" t="s">
        <v>200</v>
      </c>
      <c r="F68" s="29"/>
      <c r="G68" s="38" t="s">
        <v>111</v>
      </c>
      <c r="H68" s="38" t="s">
        <v>201</v>
      </c>
      <c r="I68" s="41" t="s">
        <v>106</v>
      </c>
      <c r="J68" s="29"/>
      <c r="K68" s="38" t="s">
        <v>109</v>
      </c>
      <c r="L68" s="29"/>
      <c r="M68" s="29"/>
      <c r="N68" s="29"/>
      <c r="O68" s="43"/>
      <c r="P68" s="29"/>
      <c r="Q68" s="29"/>
      <c r="R68" s="29"/>
      <c r="S68" s="38" t="s">
        <v>116</v>
      </c>
      <c r="T68" s="29"/>
      <c r="U68" s="31"/>
    </row>
    <row r="69">
      <c r="A69" s="31"/>
      <c r="B69" s="32">
        <v>45643.0</v>
      </c>
      <c r="C69" s="35"/>
      <c r="D69" s="33" t="s">
        <v>17</v>
      </c>
      <c r="E69" s="33" t="s">
        <v>200</v>
      </c>
      <c r="F69" s="35"/>
      <c r="G69" s="33" t="s">
        <v>103</v>
      </c>
      <c r="H69" s="33" t="s">
        <v>202</v>
      </c>
      <c r="I69" s="34" t="s">
        <v>106</v>
      </c>
      <c r="J69" s="35"/>
      <c r="K69" s="33" t="s">
        <v>109</v>
      </c>
      <c r="L69" s="35"/>
      <c r="M69" s="35"/>
      <c r="N69" s="35"/>
      <c r="O69" s="42"/>
      <c r="P69" s="35"/>
      <c r="Q69" s="35"/>
      <c r="R69" s="35"/>
      <c r="S69" s="33" t="s">
        <v>116</v>
      </c>
      <c r="T69" s="35"/>
      <c r="U69" s="31"/>
    </row>
    <row r="70">
      <c r="A70" s="31"/>
      <c r="B70" s="37">
        <v>45643.0</v>
      </c>
      <c r="C70" s="29"/>
      <c r="D70" s="38" t="s">
        <v>17</v>
      </c>
      <c r="E70" s="38" t="s">
        <v>200</v>
      </c>
      <c r="F70" s="29"/>
      <c r="G70" s="38" t="s">
        <v>136</v>
      </c>
      <c r="H70" s="38" t="s">
        <v>203</v>
      </c>
      <c r="I70" s="41" t="s">
        <v>106</v>
      </c>
      <c r="J70" s="29"/>
      <c r="K70" s="38" t="s">
        <v>109</v>
      </c>
      <c r="L70" s="29"/>
      <c r="M70" s="29"/>
      <c r="N70" s="29"/>
      <c r="O70" s="43"/>
      <c r="P70" s="29"/>
      <c r="Q70" s="29"/>
      <c r="R70" s="29"/>
      <c r="S70" s="38" t="s">
        <v>116</v>
      </c>
      <c r="T70" s="29"/>
      <c r="U70" s="31"/>
    </row>
    <row r="71">
      <c r="A71" s="31"/>
      <c r="B71" s="32">
        <v>45643.0</v>
      </c>
      <c r="C71" s="35"/>
      <c r="D71" s="33" t="s">
        <v>17</v>
      </c>
      <c r="E71" s="33" t="s">
        <v>204</v>
      </c>
      <c r="F71" s="35"/>
      <c r="G71" s="33" t="s">
        <v>169</v>
      </c>
      <c r="H71" s="33" t="s">
        <v>205</v>
      </c>
      <c r="I71" s="34" t="s">
        <v>106</v>
      </c>
      <c r="J71" s="35"/>
      <c r="K71" s="33" t="s">
        <v>109</v>
      </c>
      <c r="L71" s="35"/>
      <c r="M71" s="35"/>
      <c r="N71" s="35"/>
      <c r="O71" s="42"/>
      <c r="P71" s="35"/>
      <c r="Q71" s="35"/>
      <c r="R71" s="35"/>
      <c r="S71" s="33" t="s">
        <v>116</v>
      </c>
      <c r="T71" s="35"/>
      <c r="U71" s="31"/>
    </row>
    <row r="72">
      <c r="A72" s="31"/>
      <c r="B72" s="37">
        <v>45643.0</v>
      </c>
      <c r="C72" s="29"/>
      <c r="D72" s="38" t="s">
        <v>17</v>
      </c>
      <c r="E72" s="38" t="s">
        <v>206</v>
      </c>
      <c r="F72" s="29"/>
      <c r="G72" s="38" t="s">
        <v>207</v>
      </c>
      <c r="H72" s="38" t="s">
        <v>208</v>
      </c>
      <c r="I72" s="41" t="s">
        <v>106</v>
      </c>
      <c r="J72" s="29"/>
      <c r="K72" s="38" t="s">
        <v>109</v>
      </c>
      <c r="L72" s="29"/>
      <c r="M72" s="29"/>
      <c r="N72" s="29"/>
      <c r="O72" s="43"/>
      <c r="P72" s="29"/>
      <c r="Q72" s="29"/>
      <c r="R72" s="29"/>
      <c r="S72" s="38" t="s">
        <v>116</v>
      </c>
      <c r="T72" s="29"/>
      <c r="U72" s="31"/>
    </row>
    <row r="73">
      <c r="A73" s="31"/>
      <c r="B73" s="32">
        <v>45643.0</v>
      </c>
      <c r="C73" s="35"/>
      <c r="D73" s="33" t="s">
        <v>17</v>
      </c>
      <c r="E73" s="33" t="s">
        <v>206</v>
      </c>
      <c r="F73" s="35"/>
      <c r="G73" s="33" t="s">
        <v>209</v>
      </c>
      <c r="H73" s="33" t="s">
        <v>210</v>
      </c>
      <c r="I73" s="34" t="s">
        <v>106</v>
      </c>
      <c r="J73" s="35"/>
      <c r="K73" s="33" t="s">
        <v>109</v>
      </c>
      <c r="L73" s="35"/>
      <c r="M73" s="35"/>
      <c r="N73" s="35"/>
      <c r="O73" s="42"/>
      <c r="P73" s="35"/>
      <c r="Q73" s="35"/>
      <c r="R73" s="35"/>
      <c r="S73" s="35"/>
      <c r="T73" s="35"/>
      <c r="U73" s="31"/>
    </row>
    <row r="74">
      <c r="A74" s="31"/>
      <c r="B74" s="37">
        <v>45643.0</v>
      </c>
      <c r="C74" s="29"/>
      <c r="D74" s="38" t="s">
        <v>17</v>
      </c>
      <c r="E74" s="38" t="s">
        <v>182</v>
      </c>
      <c r="F74" s="29"/>
      <c r="G74" s="38" t="s">
        <v>207</v>
      </c>
      <c r="H74" s="38" t="s">
        <v>211</v>
      </c>
      <c r="I74" s="41" t="s">
        <v>106</v>
      </c>
      <c r="J74" s="29"/>
      <c r="K74" s="38" t="s">
        <v>105</v>
      </c>
      <c r="L74" s="29"/>
      <c r="M74" s="29"/>
      <c r="N74" s="29"/>
      <c r="O74" s="43"/>
      <c r="P74" s="29"/>
      <c r="Q74" s="29"/>
      <c r="R74" s="29"/>
      <c r="S74" s="38" t="s">
        <v>116</v>
      </c>
      <c r="T74" s="29"/>
      <c r="U74" s="31"/>
    </row>
    <row r="75">
      <c r="A75" s="31"/>
      <c r="B75" s="32">
        <v>45643.0</v>
      </c>
      <c r="C75" s="35"/>
      <c r="D75" s="33" t="s">
        <v>17</v>
      </c>
      <c r="E75" s="33" t="s">
        <v>204</v>
      </c>
      <c r="F75" s="35"/>
      <c r="G75" s="33" t="s">
        <v>114</v>
      </c>
      <c r="H75" s="33" t="s">
        <v>212</v>
      </c>
      <c r="I75" s="34" t="s">
        <v>106</v>
      </c>
      <c r="J75" s="35"/>
      <c r="K75" s="33" t="s">
        <v>105</v>
      </c>
      <c r="L75" s="35"/>
      <c r="M75" s="35"/>
      <c r="N75" s="35"/>
      <c r="O75" s="42"/>
      <c r="P75" s="35"/>
      <c r="Q75" s="35"/>
      <c r="R75" s="35"/>
      <c r="S75" s="33" t="s">
        <v>116</v>
      </c>
      <c r="T75" s="35"/>
      <c r="U75" s="31"/>
    </row>
    <row r="76">
      <c r="A76" s="31"/>
      <c r="B76" s="37">
        <v>45643.0</v>
      </c>
      <c r="C76" s="29"/>
      <c r="D76" s="38" t="s">
        <v>17</v>
      </c>
      <c r="E76" s="38" t="s">
        <v>204</v>
      </c>
      <c r="F76" s="29"/>
      <c r="G76" s="38" t="s">
        <v>213</v>
      </c>
      <c r="H76" s="38" t="s">
        <v>214</v>
      </c>
      <c r="I76" s="41" t="s">
        <v>106</v>
      </c>
      <c r="J76" s="29"/>
      <c r="K76" s="38" t="s">
        <v>105</v>
      </c>
      <c r="L76" s="29"/>
      <c r="M76" s="29"/>
      <c r="N76" s="29"/>
      <c r="O76" s="43"/>
      <c r="P76" s="29"/>
      <c r="Q76" s="29"/>
      <c r="R76" s="29"/>
      <c r="S76" s="38" t="s">
        <v>116</v>
      </c>
      <c r="T76" s="29"/>
      <c r="U76" s="31"/>
    </row>
    <row r="77">
      <c r="A77" s="31"/>
      <c r="B77" s="32">
        <v>45643.0</v>
      </c>
      <c r="C77" s="35"/>
      <c r="D77" s="33" t="s">
        <v>17</v>
      </c>
      <c r="E77" s="33" t="s">
        <v>185</v>
      </c>
      <c r="F77" s="35"/>
      <c r="G77" s="33" t="s">
        <v>215</v>
      </c>
      <c r="H77" s="33" t="s">
        <v>216</v>
      </c>
      <c r="I77" s="34" t="s">
        <v>106</v>
      </c>
      <c r="J77" s="35"/>
      <c r="K77" s="33" t="s">
        <v>105</v>
      </c>
      <c r="L77" s="35"/>
      <c r="M77" s="35"/>
      <c r="N77" s="35"/>
      <c r="O77" s="42"/>
      <c r="P77" s="35"/>
      <c r="Q77" s="35"/>
      <c r="R77" s="35"/>
      <c r="S77" s="33" t="s">
        <v>116</v>
      </c>
      <c r="T77" s="35"/>
      <c r="U77" s="31"/>
    </row>
    <row r="78">
      <c r="A78" s="31"/>
      <c r="B78" s="37">
        <v>45643.0</v>
      </c>
      <c r="C78" s="29"/>
      <c r="D78" s="38" t="s">
        <v>17</v>
      </c>
      <c r="E78" s="38" t="s">
        <v>189</v>
      </c>
      <c r="F78" s="29"/>
      <c r="G78" s="38" t="s">
        <v>144</v>
      </c>
      <c r="H78" s="38" t="s">
        <v>217</v>
      </c>
      <c r="I78" s="41" t="s">
        <v>106</v>
      </c>
      <c r="J78" s="29"/>
      <c r="K78" s="38" t="s">
        <v>105</v>
      </c>
      <c r="L78" s="29"/>
      <c r="M78" s="29"/>
      <c r="N78" s="29"/>
      <c r="O78" s="43"/>
      <c r="P78" s="29"/>
      <c r="Q78" s="29"/>
      <c r="R78" s="29"/>
      <c r="S78" s="38" t="s">
        <v>116</v>
      </c>
      <c r="T78" s="29"/>
      <c r="U78" s="31"/>
    </row>
    <row r="79">
      <c r="A79" s="31"/>
      <c r="B79" s="32">
        <v>45643.0</v>
      </c>
      <c r="C79" s="35"/>
      <c r="D79" s="33" t="s">
        <v>17</v>
      </c>
      <c r="E79" s="33" t="s">
        <v>204</v>
      </c>
      <c r="F79" s="35"/>
      <c r="G79" s="33" t="s">
        <v>218</v>
      </c>
      <c r="H79" s="33" t="s">
        <v>219</v>
      </c>
      <c r="I79" s="34" t="s">
        <v>106</v>
      </c>
      <c r="J79" s="35"/>
      <c r="K79" s="33" t="s">
        <v>105</v>
      </c>
      <c r="L79" s="35"/>
      <c r="M79" s="35"/>
      <c r="N79" s="35"/>
      <c r="O79" s="42"/>
      <c r="P79" s="35"/>
      <c r="Q79" s="35"/>
      <c r="R79" s="35"/>
      <c r="S79" s="33" t="s">
        <v>116</v>
      </c>
      <c r="T79" s="35"/>
      <c r="U79" s="31"/>
    </row>
    <row r="80">
      <c r="A80" s="31"/>
      <c r="B80" s="37">
        <v>45643.0</v>
      </c>
      <c r="C80" s="29"/>
      <c r="D80" s="38" t="s">
        <v>17</v>
      </c>
      <c r="E80" s="38" t="s">
        <v>185</v>
      </c>
      <c r="F80" s="29"/>
      <c r="G80" s="38" t="s">
        <v>207</v>
      </c>
      <c r="H80" s="38" t="s">
        <v>220</v>
      </c>
      <c r="I80" s="41" t="s">
        <v>106</v>
      </c>
      <c r="J80" s="29"/>
      <c r="K80" s="38" t="s">
        <v>105</v>
      </c>
      <c r="L80" s="29"/>
      <c r="M80" s="29"/>
      <c r="N80" s="29"/>
      <c r="O80" s="43"/>
      <c r="P80" s="29"/>
      <c r="Q80" s="29"/>
      <c r="R80" s="29"/>
      <c r="S80" s="38" t="s">
        <v>116</v>
      </c>
      <c r="T80" s="29"/>
      <c r="U80" s="31"/>
    </row>
    <row r="81">
      <c r="A81" s="31"/>
      <c r="B81" s="32">
        <v>45643.0</v>
      </c>
      <c r="C81" s="35"/>
      <c r="D81" s="33" t="s">
        <v>17</v>
      </c>
      <c r="E81" s="33" t="s">
        <v>204</v>
      </c>
      <c r="F81" s="35"/>
      <c r="G81" s="33" t="s">
        <v>136</v>
      </c>
      <c r="H81" s="33" t="s">
        <v>219</v>
      </c>
      <c r="I81" s="34" t="s">
        <v>106</v>
      </c>
      <c r="J81" s="35"/>
      <c r="K81" s="33" t="s">
        <v>105</v>
      </c>
      <c r="L81" s="35"/>
      <c r="M81" s="35"/>
      <c r="N81" s="35"/>
      <c r="O81" s="42"/>
      <c r="P81" s="35"/>
      <c r="Q81" s="35"/>
      <c r="R81" s="35"/>
      <c r="S81" s="33" t="s">
        <v>116</v>
      </c>
      <c r="T81" s="35"/>
      <c r="U81" s="31"/>
    </row>
    <row r="82">
      <c r="A82" s="31"/>
      <c r="B82" s="37">
        <v>45643.0</v>
      </c>
      <c r="C82" s="29"/>
      <c r="D82" s="38" t="s">
        <v>17</v>
      </c>
      <c r="E82" s="38" t="s">
        <v>189</v>
      </c>
      <c r="F82" s="29"/>
      <c r="G82" s="38" t="s">
        <v>144</v>
      </c>
      <c r="H82" s="38" t="s">
        <v>221</v>
      </c>
      <c r="I82" s="41" t="s">
        <v>106</v>
      </c>
      <c r="J82" s="29"/>
      <c r="K82" s="38" t="s">
        <v>105</v>
      </c>
      <c r="L82" s="29"/>
      <c r="M82" s="29"/>
      <c r="N82" s="29"/>
      <c r="O82" s="43"/>
      <c r="P82" s="29"/>
      <c r="Q82" s="29"/>
      <c r="R82" s="29"/>
      <c r="S82" s="38" t="s">
        <v>116</v>
      </c>
      <c r="T82" s="29"/>
      <c r="U82" s="31"/>
    </row>
    <row r="83">
      <c r="A83" s="31"/>
      <c r="B83" s="32">
        <v>45643.0</v>
      </c>
      <c r="C83" s="35"/>
      <c r="D83" s="33" t="s">
        <v>17</v>
      </c>
      <c r="E83" s="33" t="s">
        <v>182</v>
      </c>
      <c r="F83" s="35"/>
      <c r="G83" s="33" t="s">
        <v>222</v>
      </c>
      <c r="H83" s="33" t="s">
        <v>223</v>
      </c>
      <c r="I83" s="34" t="s">
        <v>106</v>
      </c>
      <c r="J83" s="35"/>
      <c r="K83" s="33" t="s">
        <v>105</v>
      </c>
      <c r="L83" s="35"/>
      <c r="M83" s="35"/>
      <c r="N83" s="35"/>
      <c r="O83" s="42"/>
      <c r="P83" s="35"/>
      <c r="Q83" s="35"/>
      <c r="R83" s="35"/>
      <c r="S83" s="33" t="s">
        <v>116</v>
      </c>
      <c r="T83" s="35"/>
      <c r="U83" s="31"/>
    </row>
    <row r="84">
      <c r="A84" s="31"/>
      <c r="B84" s="37">
        <v>45643.0</v>
      </c>
      <c r="C84" s="29"/>
      <c r="D84" s="38" t="s">
        <v>17</v>
      </c>
      <c r="E84" s="38" t="s">
        <v>182</v>
      </c>
      <c r="F84" s="29"/>
      <c r="G84" s="38" t="s">
        <v>224</v>
      </c>
      <c r="H84" s="38" t="s">
        <v>225</v>
      </c>
      <c r="I84" s="41" t="s">
        <v>106</v>
      </c>
      <c r="J84" s="29"/>
      <c r="K84" s="38" t="s">
        <v>105</v>
      </c>
      <c r="L84" s="29"/>
      <c r="M84" s="29"/>
      <c r="N84" s="29"/>
      <c r="O84" s="43"/>
      <c r="P84" s="29"/>
      <c r="Q84" s="29"/>
      <c r="R84" s="29"/>
      <c r="S84" s="38" t="s">
        <v>116</v>
      </c>
      <c r="T84" s="29"/>
      <c r="U84" s="31"/>
    </row>
    <row r="85">
      <c r="A85" s="31"/>
      <c r="B85" s="32">
        <v>45643.0</v>
      </c>
      <c r="C85" s="35"/>
      <c r="D85" s="33" t="s">
        <v>17</v>
      </c>
      <c r="E85" s="33" t="s">
        <v>206</v>
      </c>
      <c r="F85" s="35"/>
      <c r="G85" s="33" t="s">
        <v>226</v>
      </c>
      <c r="H85" s="33" t="s">
        <v>227</v>
      </c>
      <c r="I85" s="34" t="s">
        <v>106</v>
      </c>
      <c r="J85" s="35"/>
      <c r="K85" s="33" t="s">
        <v>105</v>
      </c>
      <c r="L85" s="35"/>
      <c r="M85" s="35"/>
      <c r="N85" s="35"/>
      <c r="O85" s="42"/>
      <c r="P85" s="35"/>
      <c r="Q85" s="35"/>
      <c r="R85" s="35"/>
      <c r="S85" s="33" t="s">
        <v>116</v>
      </c>
      <c r="T85" s="35"/>
      <c r="U85" s="31"/>
    </row>
    <row r="86">
      <c r="A86" s="31"/>
      <c r="B86" s="37">
        <v>45643.0</v>
      </c>
      <c r="C86" s="29"/>
      <c r="D86" s="38" t="s">
        <v>17</v>
      </c>
      <c r="E86" s="38" t="s">
        <v>200</v>
      </c>
      <c r="F86" s="29"/>
      <c r="G86" s="38" t="s">
        <v>103</v>
      </c>
      <c r="H86" s="38" t="s">
        <v>228</v>
      </c>
      <c r="I86" s="41" t="s">
        <v>86</v>
      </c>
      <c r="J86" s="38" t="s">
        <v>229</v>
      </c>
      <c r="K86" s="38" t="s">
        <v>105</v>
      </c>
      <c r="L86" s="29"/>
      <c r="M86" s="29"/>
      <c r="N86" s="29"/>
      <c r="O86" s="43"/>
      <c r="P86" s="29"/>
      <c r="Q86" s="29"/>
      <c r="R86" s="29"/>
      <c r="S86" s="38" t="s">
        <v>116</v>
      </c>
      <c r="T86" s="29"/>
      <c r="U86" s="31"/>
    </row>
    <row r="87">
      <c r="A87" s="31"/>
      <c r="B87" s="32">
        <v>45643.0</v>
      </c>
      <c r="C87" s="35"/>
      <c r="D87" s="33" t="s">
        <v>17</v>
      </c>
      <c r="E87" s="33" t="s">
        <v>185</v>
      </c>
      <c r="F87" s="35"/>
      <c r="G87" s="33" t="s">
        <v>215</v>
      </c>
      <c r="H87" s="33" t="s">
        <v>230</v>
      </c>
      <c r="I87" s="34" t="s">
        <v>106</v>
      </c>
      <c r="J87" s="35"/>
      <c r="K87" s="33" t="s">
        <v>105</v>
      </c>
      <c r="L87" s="35"/>
      <c r="M87" s="35"/>
      <c r="N87" s="35"/>
      <c r="O87" s="42"/>
      <c r="P87" s="35"/>
      <c r="Q87" s="35"/>
      <c r="R87" s="35"/>
      <c r="S87" s="33" t="s">
        <v>116</v>
      </c>
      <c r="T87" s="35"/>
      <c r="U87" s="31"/>
    </row>
    <row r="88">
      <c r="A88" s="31"/>
      <c r="B88" s="37">
        <v>45643.0</v>
      </c>
      <c r="C88" s="29"/>
      <c r="D88" s="38" t="s">
        <v>17</v>
      </c>
      <c r="E88" s="38" t="s">
        <v>185</v>
      </c>
      <c r="F88" s="29"/>
      <c r="G88" s="38" t="s">
        <v>207</v>
      </c>
      <c r="H88" s="38" t="s">
        <v>231</v>
      </c>
      <c r="I88" s="41" t="s">
        <v>106</v>
      </c>
      <c r="J88" s="29"/>
      <c r="K88" s="38" t="s">
        <v>105</v>
      </c>
      <c r="L88" s="29"/>
      <c r="M88" s="29"/>
      <c r="N88" s="29"/>
      <c r="O88" s="43"/>
      <c r="P88" s="29"/>
      <c r="Q88" s="29"/>
      <c r="R88" s="29"/>
      <c r="S88" s="38" t="s">
        <v>116</v>
      </c>
      <c r="T88" s="29"/>
      <c r="U88" s="31"/>
    </row>
    <row r="89">
      <c r="A89" s="31"/>
      <c r="B89" s="32">
        <v>45643.0</v>
      </c>
      <c r="C89" s="35"/>
      <c r="D89" s="33" t="s">
        <v>17</v>
      </c>
      <c r="E89" s="33" t="s">
        <v>185</v>
      </c>
      <c r="F89" s="35"/>
      <c r="G89" s="33" t="s">
        <v>232</v>
      </c>
      <c r="H89" s="33">
        <v>8.800240238179E12</v>
      </c>
      <c r="I89" s="34" t="s">
        <v>106</v>
      </c>
      <c r="J89" s="35"/>
      <c r="K89" s="33" t="s">
        <v>109</v>
      </c>
      <c r="L89" s="35"/>
      <c r="M89" s="35"/>
      <c r="N89" s="35"/>
      <c r="O89" s="42"/>
      <c r="P89" s="35"/>
      <c r="Q89" s="35"/>
      <c r="R89" s="35"/>
      <c r="S89" s="33" t="s">
        <v>116</v>
      </c>
      <c r="T89" s="35"/>
      <c r="U89" s="31"/>
    </row>
    <row r="90">
      <c r="A90" s="31"/>
      <c r="B90" s="37">
        <v>45643.0</v>
      </c>
      <c r="C90" s="29"/>
      <c r="D90" s="38" t="s">
        <v>17</v>
      </c>
      <c r="E90" s="38" t="s">
        <v>233</v>
      </c>
      <c r="F90" s="29"/>
      <c r="G90" s="38" t="s">
        <v>234</v>
      </c>
      <c r="H90" s="38" t="s">
        <v>235</v>
      </c>
      <c r="I90" s="41" t="s">
        <v>86</v>
      </c>
      <c r="J90" s="38" t="s">
        <v>236</v>
      </c>
      <c r="K90" s="38" t="s">
        <v>105</v>
      </c>
      <c r="L90" s="29"/>
      <c r="M90" s="29"/>
      <c r="N90" s="29"/>
      <c r="O90" s="43"/>
      <c r="P90" s="29"/>
      <c r="Q90" s="29"/>
      <c r="R90" s="29"/>
      <c r="S90" s="38" t="s">
        <v>116</v>
      </c>
      <c r="T90" s="29"/>
      <c r="U90" s="31"/>
    </row>
    <row r="91">
      <c r="A91" s="31"/>
      <c r="B91" s="32">
        <v>45643.0</v>
      </c>
      <c r="C91" s="35"/>
      <c r="D91" s="33" t="s">
        <v>17</v>
      </c>
      <c r="E91" s="33" t="s">
        <v>185</v>
      </c>
      <c r="F91" s="35"/>
      <c r="G91" s="33" t="s">
        <v>169</v>
      </c>
      <c r="H91" s="33">
        <v>8.800240238179E12</v>
      </c>
      <c r="I91" s="34" t="s">
        <v>106</v>
      </c>
      <c r="J91" s="35"/>
      <c r="K91" s="33" t="s">
        <v>105</v>
      </c>
      <c r="L91" s="35"/>
      <c r="M91" s="35"/>
      <c r="N91" s="35"/>
      <c r="O91" s="42"/>
      <c r="P91" s="35"/>
      <c r="Q91" s="35"/>
      <c r="R91" s="35"/>
      <c r="S91" s="33" t="s">
        <v>116</v>
      </c>
      <c r="T91" s="35"/>
      <c r="U91" s="31"/>
    </row>
    <row r="92">
      <c r="A92" s="31"/>
      <c r="B92" s="37">
        <v>45643.0</v>
      </c>
      <c r="C92" s="29"/>
      <c r="D92" s="38" t="s">
        <v>17</v>
      </c>
      <c r="E92" s="38" t="s">
        <v>185</v>
      </c>
      <c r="F92" s="29"/>
      <c r="G92" s="38" t="s">
        <v>169</v>
      </c>
      <c r="H92" s="38">
        <v>8.800240238179E12</v>
      </c>
      <c r="I92" s="41" t="s">
        <v>106</v>
      </c>
      <c r="J92" s="29"/>
      <c r="K92" s="38" t="s">
        <v>105</v>
      </c>
      <c r="L92" s="29"/>
      <c r="M92" s="29"/>
      <c r="N92" s="29"/>
      <c r="O92" s="43"/>
      <c r="P92" s="29"/>
      <c r="Q92" s="29"/>
      <c r="R92" s="29"/>
      <c r="S92" s="38" t="s">
        <v>116</v>
      </c>
      <c r="T92" s="29"/>
      <c r="U92" s="31"/>
    </row>
    <row r="93">
      <c r="A93" s="31"/>
      <c r="B93" s="32">
        <v>45643.0</v>
      </c>
      <c r="C93" s="35"/>
      <c r="D93" s="33" t="s">
        <v>17</v>
      </c>
      <c r="E93" s="33" t="s">
        <v>206</v>
      </c>
      <c r="F93" s="35"/>
      <c r="G93" s="33" t="s">
        <v>237</v>
      </c>
      <c r="H93" s="33">
        <v>8.800240236946E12</v>
      </c>
      <c r="I93" s="34" t="s">
        <v>106</v>
      </c>
      <c r="J93" s="35"/>
      <c r="K93" s="33" t="s">
        <v>105</v>
      </c>
      <c r="L93" s="35"/>
      <c r="M93" s="35"/>
      <c r="N93" s="35"/>
      <c r="O93" s="42"/>
      <c r="P93" s="35"/>
      <c r="Q93" s="35"/>
      <c r="R93" s="35"/>
      <c r="S93" s="33" t="s">
        <v>116</v>
      </c>
      <c r="T93" s="35"/>
      <c r="U93" s="31"/>
    </row>
    <row r="94">
      <c r="A94" s="31"/>
      <c r="B94" s="37">
        <v>45643.0</v>
      </c>
      <c r="C94" s="29"/>
      <c r="D94" s="38" t="s">
        <v>17</v>
      </c>
      <c r="E94" s="38" t="s">
        <v>206</v>
      </c>
      <c r="F94" s="29"/>
      <c r="G94" s="38" t="s">
        <v>238</v>
      </c>
      <c r="H94" s="38">
        <v>8.800240236298E12</v>
      </c>
      <c r="I94" s="41" t="s">
        <v>106</v>
      </c>
      <c r="J94" s="29"/>
      <c r="K94" s="38" t="s">
        <v>105</v>
      </c>
      <c r="L94" s="29"/>
      <c r="M94" s="29"/>
      <c r="N94" s="29"/>
      <c r="O94" s="43"/>
      <c r="P94" s="29"/>
      <c r="Q94" s="29"/>
      <c r="R94" s="29"/>
      <c r="S94" s="38" t="s">
        <v>116</v>
      </c>
      <c r="T94" s="29"/>
      <c r="U94" s="31"/>
    </row>
    <row r="95">
      <c r="A95" s="31"/>
      <c r="B95" s="32">
        <v>45643.0</v>
      </c>
      <c r="C95" s="35"/>
      <c r="D95" s="33" t="s">
        <v>17</v>
      </c>
      <c r="E95" s="33" t="s">
        <v>204</v>
      </c>
      <c r="F95" s="35"/>
      <c r="G95" s="33" t="s">
        <v>111</v>
      </c>
      <c r="H95" s="33" t="s">
        <v>239</v>
      </c>
      <c r="I95" s="34" t="s">
        <v>240</v>
      </c>
      <c r="J95" s="35"/>
      <c r="K95" s="33" t="s">
        <v>105</v>
      </c>
      <c r="L95" s="35"/>
      <c r="M95" s="35"/>
      <c r="N95" s="35"/>
      <c r="O95" s="42"/>
      <c r="P95" s="35"/>
      <c r="Q95" s="35"/>
      <c r="R95" s="35"/>
      <c r="S95" s="35"/>
      <c r="T95" s="35"/>
      <c r="U95" s="31"/>
    </row>
    <row r="96">
      <c r="A96" s="31"/>
      <c r="B96" s="37">
        <v>45643.0</v>
      </c>
      <c r="C96" s="29"/>
      <c r="D96" s="38" t="s">
        <v>17</v>
      </c>
      <c r="E96" s="38" t="s">
        <v>241</v>
      </c>
      <c r="F96" s="29"/>
      <c r="G96" s="38" t="s">
        <v>242</v>
      </c>
      <c r="H96" s="38" t="s">
        <v>243</v>
      </c>
      <c r="I96" s="41" t="s">
        <v>106</v>
      </c>
      <c r="J96" s="29"/>
      <c r="K96" s="38" t="s">
        <v>105</v>
      </c>
      <c r="L96" s="29"/>
      <c r="M96" s="29"/>
      <c r="N96" s="29"/>
      <c r="O96" s="43"/>
      <c r="P96" s="29"/>
      <c r="Q96" s="29"/>
      <c r="R96" s="29"/>
      <c r="S96" s="38" t="s">
        <v>116</v>
      </c>
      <c r="T96" s="29"/>
      <c r="U96" s="31"/>
    </row>
    <row r="97">
      <c r="A97" s="31"/>
      <c r="B97" s="32">
        <v>45643.0</v>
      </c>
      <c r="C97" s="35"/>
      <c r="D97" s="33" t="s">
        <v>17</v>
      </c>
      <c r="E97" s="33" t="s">
        <v>206</v>
      </c>
      <c r="F97" s="35"/>
      <c r="G97" s="33" t="s">
        <v>237</v>
      </c>
      <c r="H97" s="33">
        <v>8.800240236601E12</v>
      </c>
      <c r="I97" s="34" t="s">
        <v>106</v>
      </c>
      <c r="J97" s="35"/>
      <c r="K97" s="33" t="s">
        <v>105</v>
      </c>
      <c r="L97" s="35"/>
      <c r="M97" s="35"/>
      <c r="N97" s="35"/>
      <c r="O97" s="42"/>
      <c r="P97" s="35"/>
      <c r="Q97" s="35"/>
      <c r="R97" s="35"/>
      <c r="S97" s="33" t="s">
        <v>116</v>
      </c>
      <c r="T97" s="35"/>
      <c r="U97" s="31"/>
    </row>
    <row r="98">
      <c r="A98" s="31"/>
      <c r="B98" s="37">
        <v>45643.0</v>
      </c>
      <c r="C98" s="29"/>
      <c r="D98" s="38" t="s">
        <v>17</v>
      </c>
      <c r="E98" s="38" t="s">
        <v>206</v>
      </c>
      <c r="F98" s="29"/>
      <c r="G98" s="38" t="s">
        <v>237</v>
      </c>
      <c r="H98" s="38">
        <v>8.800240236328E12</v>
      </c>
      <c r="I98" s="41" t="s">
        <v>106</v>
      </c>
      <c r="J98" s="29"/>
      <c r="K98" s="38" t="s">
        <v>105</v>
      </c>
      <c r="L98" s="29"/>
      <c r="M98" s="29"/>
      <c r="N98" s="29"/>
      <c r="O98" s="43"/>
      <c r="P98" s="29"/>
      <c r="Q98" s="29"/>
      <c r="R98" s="29"/>
      <c r="S98" s="38" t="s">
        <v>116</v>
      </c>
      <c r="T98" s="29"/>
      <c r="U98" s="31"/>
    </row>
    <row r="99">
      <c r="A99" s="31"/>
      <c r="B99" s="32">
        <v>45643.0</v>
      </c>
      <c r="C99" s="35"/>
      <c r="D99" s="33" t="s">
        <v>17</v>
      </c>
      <c r="E99" s="33" t="s">
        <v>206</v>
      </c>
      <c r="F99" s="35"/>
      <c r="G99" s="33" t="s">
        <v>238</v>
      </c>
      <c r="H99" s="33">
        <v>8.800240236304E12</v>
      </c>
      <c r="I99" s="34" t="s">
        <v>106</v>
      </c>
      <c r="J99" s="35"/>
      <c r="K99" s="33" t="s">
        <v>105</v>
      </c>
      <c r="L99" s="35"/>
      <c r="M99" s="35"/>
      <c r="N99" s="35"/>
      <c r="O99" s="42"/>
      <c r="P99" s="35"/>
      <c r="Q99" s="35"/>
      <c r="R99" s="35"/>
      <c r="S99" s="33" t="s">
        <v>116</v>
      </c>
      <c r="T99" s="35"/>
      <c r="U99" s="31"/>
    </row>
    <row r="100">
      <c r="A100" s="31"/>
      <c r="B100" s="37">
        <v>45643.0</v>
      </c>
      <c r="C100" s="29"/>
      <c r="D100" s="38" t="s">
        <v>17</v>
      </c>
      <c r="E100" s="38" t="s">
        <v>206</v>
      </c>
      <c r="F100" s="29"/>
      <c r="G100" s="38" t="s">
        <v>238</v>
      </c>
      <c r="H100" s="38">
        <v>8.800240236298E12</v>
      </c>
      <c r="I100" s="41" t="s">
        <v>106</v>
      </c>
      <c r="J100" s="29"/>
      <c r="K100" s="38" t="s">
        <v>105</v>
      </c>
      <c r="L100" s="29"/>
      <c r="M100" s="29"/>
      <c r="N100" s="29"/>
      <c r="O100" s="43"/>
      <c r="P100" s="29"/>
      <c r="Q100" s="29"/>
      <c r="R100" s="29"/>
      <c r="S100" s="38" t="s">
        <v>116</v>
      </c>
      <c r="T100" s="29"/>
      <c r="U100" s="31"/>
    </row>
    <row r="101">
      <c r="A101" s="31"/>
      <c r="B101" s="32">
        <v>45643.0</v>
      </c>
      <c r="C101" s="35"/>
      <c r="D101" s="33" t="s">
        <v>17</v>
      </c>
      <c r="E101" s="33" t="s">
        <v>191</v>
      </c>
      <c r="F101" s="35"/>
      <c r="G101" s="33" t="s">
        <v>244</v>
      </c>
      <c r="H101" s="33" t="s">
        <v>245</v>
      </c>
      <c r="I101" s="34" t="s">
        <v>106</v>
      </c>
      <c r="J101" s="35"/>
      <c r="K101" s="33" t="s">
        <v>105</v>
      </c>
      <c r="L101" s="35"/>
      <c r="M101" s="35"/>
      <c r="N101" s="35"/>
      <c r="O101" s="42"/>
      <c r="P101" s="35"/>
      <c r="Q101" s="35"/>
      <c r="R101" s="35"/>
      <c r="S101" s="33" t="s">
        <v>116</v>
      </c>
      <c r="T101" s="35"/>
      <c r="U101" s="31"/>
    </row>
    <row r="102">
      <c r="A102" s="31"/>
      <c r="B102" s="37">
        <v>45643.0</v>
      </c>
      <c r="C102" s="29"/>
      <c r="D102" s="38" t="s">
        <v>17</v>
      </c>
      <c r="E102" s="38" t="s">
        <v>185</v>
      </c>
      <c r="F102" s="29"/>
      <c r="G102" s="38" t="s">
        <v>169</v>
      </c>
      <c r="H102" s="38">
        <v>8.800240238179E12</v>
      </c>
      <c r="I102" s="41" t="s">
        <v>106</v>
      </c>
      <c r="J102" s="29"/>
      <c r="K102" s="38" t="s">
        <v>105</v>
      </c>
      <c r="L102" s="29"/>
      <c r="M102" s="29"/>
      <c r="N102" s="29"/>
      <c r="O102" s="43"/>
      <c r="P102" s="29"/>
      <c r="Q102" s="29"/>
      <c r="R102" s="29"/>
      <c r="S102" s="38" t="s">
        <v>116</v>
      </c>
      <c r="T102" s="29"/>
      <c r="U102" s="31"/>
    </row>
    <row r="103">
      <c r="A103" s="31"/>
      <c r="B103" s="32">
        <v>45643.0</v>
      </c>
      <c r="C103" s="35"/>
      <c r="D103" s="33" t="s">
        <v>17</v>
      </c>
      <c r="E103" s="33" t="s">
        <v>191</v>
      </c>
      <c r="F103" s="35"/>
      <c r="G103" s="33" t="s">
        <v>246</v>
      </c>
      <c r="H103" s="33" t="s">
        <v>247</v>
      </c>
      <c r="I103" s="34" t="s">
        <v>106</v>
      </c>
      <c r="J103" s="35"/>
      <c r="K103" s="33" t="s">
        <v>105</v>
      </c>
      <c r="L103" s="35"/>
      <c r="M103" s="35"/>
      <c r="N103" s="35"/>
      <c r="O103" s="42"/>
      <c r="P103" s="35"/>
      <c r="Q103" s="35"/>
      <c r="R103" s="35"/>
      <c r="S103" s="33" t="s">
        <v>116</v>
      </c>
      <c r="T103" s="35"/>
      <c r="U103" s="31"/>
    </row>
    <row r="104">
      <c r="A104" s="31"/>
      <c r="B104" s="37">
        <v>45643.0</v>
      </c>
      <c r="C104" s="29"/>
      <c r="D104" s="38" t="s">
        <v>17</v>
      </c>
      <c r="E104" s="38" t="s">
        <v>206</v>
      </c>
      <c r="F104" s="29"/>
      <c r="G104" s="38" t="s">
        <v>248</v>
      </c>
      <c r="H104" s="38">
        <v>8.800240236953E12</v>
      </c>
      <c r="I104" s="41" t="s">
        <v>106</v>
      </c>
      <c r="J104" s="29"/>
      <c r="K104" s="38" t="s">
        <v>105</v>
      </c>
      <c r="L104" s="29"/>
      <c r="M104" s="29"/>
      <c r="N104" s="29"/>
      <c r="O104" s="43"/>
      <c r="P104" s="29"/>
      <c r="Q104" s="29"/>
      <c r="R104" s="29"/>
      <c r="S104" s="38" t="s">
        <v>116</v>
      </c>
      <c r="T104" s="29"/>
      <c r="U104" s="31"/>
    </row>
    <row r="105">
      <c r="A105" s="31"/>
      <c r="B105" s="44">
        <v>45643.0</v>
      </c>
      <c r="C105" s="35"/>
      <c r="D105" s="33" t="s">
        <v>139</v>
      </c>
      <c r="E105" s="33" t="s">
        <v>140</v>
      </c>
      <c r="F105" s="35"/>
      <c r="G105" s="33" t="s">
        <v>144</v>
      </c>
      <c r="H105" s="33" t="s">
        <v>249</v>
      </c>
      <c r="I105" s="34" t="s">
        <v>106</v>
      </c>
      <c r="J105" s="35"/>
      <c r="K105" s="33" t="s">
        <v>109</v>
      </c>
      <c r="L105" s="35"/>
      <c r="M105" s="35"/>
      <c r="N105" s="35"/>
      <c r="O105" s="42"/>
      <c r="P105" s="35"/>
      <c r="Q105" s="35"/>
      <c r="R105" s="35"/>
      <c r="S105" s="33" t="s">
        <v>116</v>
      </c>
      <c r="T105" s="35"/>
      <c r="U105" s="31"/>
    </row>
    <row r="106">
      <c r="A106" s="31"/>
      <c r="B106" s="44">
        <v>45643.0</v>
      </c>
      <c r="C106" s="29"/>
      <c r="D106" s="38" t="s">
        <v>139</v>
      </c>
      <c r="E106" s="38" t="s">
        <v>250</v>
      </c>
      <c r="F106" s="29"/>
      <c r="G106" s="38" t="s">
        <v>176</v>
      </c>
      <c r="H106" s="38" t="s">
        <v>251</v>
      </c>
      <c r="I106" s="41" t="s">
        <v>106</v>
      </c>
      <c r="J106" s="29"/>
      <c r="K106" s="38" t="s">
        <v>109</v>
      </c>
      <c r="L106" s="29"/>
      <c r="M106" s="29"/>
      <c r="N106" s="29"/>
      <c r="O106" s="43"/>
      <c r="P106" s="29"/>
      <c r="Q106" s="29"/>
      <c r="R106" s="29"/>
      <c r="S106" s="38" t="s">
        <v>116</v>
      </c>
      <c r="T106" s="29"/>
      <c r="U106" s="31"/>
    </row>
    <row r="107">
      <c r="A107" s="31"/>
      <c r="B107" s="44">
        <v>45643.0</v>
      </c>
      <c r="C107" s="35"/>
      <c r="D107" s="33" t="s">
        <v>139</v>
      </c>
      <c r="E107" s="33" t="s">
        <v>250</v>
      </c>
      <c r="F107" s="35"/>
      <c r="G107" s="33" t="s">
        <v>144</v>
      </c>
      <c r="H107" s="33" t="s">
        <v>252</v>
      </c>
      <c r="I107" s="34" t="s">
        <v>78</v>
      </c>
      <c r="J107" s="35"/>
      <c r="K107" s="33" t="s">
        <v>109</v>
      </c>
      <c r="L107" s="35"/>
      <c r="M107" s="35"/>
      <c r="N107" s="35"/>
      <c r="O107" s="42"/>
      <c r="P107" s="35"/>
      <c r="Q107" s="35"/>
      <c r="R107" s="35"/>
      <c r="S107" s="33" t="s">
        <v>116</v>
      </c>
      <c r="T107" s="35"/>
      <c r="U107" s="31"/>
    </row>
    <row r="108">
      <c r="A108" s="31"/>
      <c r="B108" s="44">
        <v>45643.0</v>
      </c>
      <c r="C108" s="29"/>
      <c r="D108" s="38" t="s">
        <v>139</v>
      </c>
      <c r="E108" s="38" t="s">
        <v>140</v>
      </c>
      <c r="F108" s="29"/>
      <c r="G108" s="38" t="s">
        <v>176</v>
      </c>
      <c r="H108" s="38" t="s">
        <v>253</v>
      </c>
      <c r="I108" s="41" t="s">
        <v>106</v>
      </c>
      <c r="J108" s="29"/>
      <c r="K108" s="38" t="s">
        <v>109</v>
      </c>
      <c r="L108" s="29"/>
      <c r="M108" s="29"/>
      <c r="N108" s="29"/>
      <c r="O108" s="43"/>
      <c r="P108" s="29"/>
      <c r="Q108" s="29"/>
      <c r="R108" s="29"/>
      <c r="S108" s="38" t="s">
        <v>116</v>
      </c>
      <c r="T108" s="29"/>
      <c r="U108" s="31"/>
    </row>
    <row r="109">
      <c r="A109" s="31"/>
      <c r="B109" s="32">
        <v>45643.0</v>
      </c>
      <c r="C109" s="35"/>
      <c r="D109" s="33" t="s">
        <v>139</v>
      </c>
      <c r="E109" s="33" t="s">
        <v>143</v>
      </c>
      <c r="F109" s="35"/>
      <c r="G109" s="33" t="s">
        <v>144</v>
      </c>
      <c r="H109" s="33" t="s">
        <v>254</v>
      </c>
      <c r="I109" s="34" t="s">
        <v>106</v>
      </c>
      <c r="J109" s="35"/>
      <c r="K109" s="33" t="s">
        <v>105</v>
      </c>
      <c r="L109" s="35"/>
      <c r="M109" s="35"/>
      <c r="N109" s="35"/>
      <c r="O109" s="42"/>
      <c r="P109" s="35"/>
      <c r="Q109" s="35"/>
      <c r="R109" s="35"/>
      <c r="S109" s="33" t="s">
        <v>116</v>
      </c>
      <c r="T109" s="35"/>
      <c r="U109" s="31"/>
    </row>
    <row r="110">
      <c r="A110" s="31"/>
      <c r="B110" s="37">
        <v>45643.0</v>
      </c>
      <c r="C110" s="29"/>
      <c r="D110" s="38" t="s">
        <v>139</v>
      </c>
      <c r="E110" s="38" t="s">
        <v>143</v>
      </c>
      <c r="F110" s="29"/>
      <c r="G110" s="38" t="s">
        <v>144</v>
      </c>
      <c r="H110" s="38" t="s">
        <v>255</v>
      </c>
      <c r="I110" s="41" t="s">
        <v>86</v>
      </c>
      <c r="J110" s="38" t="s">
        <v>256</v>
      </c>
      <c r="K110" s="38" t="s">
        <v>105</v>
      </c>
      <c r="L110" s="29"/>
      <c r="M110" s="29"/>
      <c r="N110" s="29"/>
      <c r="O110" s="43"/>
      <c r="P110" s="29"/>
      <c r="Q110" s="29"/>
      <c r="R110" s="29"/>
      <c r="S110" s="29"/>
      <c r="T110" s="29"/>
      <c r="U110" s="31"/>
    </row>
    <row r="111">
      <c r="A111" s="31"/>
      <c r="B111" s="32">
        <v>45643.0</v>
      </c>
      <c r="C111" s="35"/>
      <c r="D111" s="33" t="s">
        <v>139</v>
      </c>
      <c r="E111" s="33" t="s">
        <v>143</v>
      </c>
      <c r="F111" s="35"/>
      <c r="G111" s="33" t="s">
        <v>144</v>
      </c>
      <c r="H111" s="33" t="s">
        <v>257</v>
      </c>
      <c r="I111" s="34" t="s">
        <v>106</v>
      </c>
      <c r="J111" s="35"/>
      <c r="K111" s="33" t="s">
        <v>105</v>
      </c>
      <c r="L111" s="35"/>
      <c r="M111" s="35"/>
      <c r="N111" s="35"/>
      <c r="O111" s="42"/>
      <c r="P111" s="35"/>
      <c r="Q111" s="35"/>
      <c r="R111" s="35"/>
      <c r="S111" s="33" t="s">
        <v>116</v>
      </c>
      <c r="T111" s="35"/>
      <c r="U111" s="31"/>
    </row>
    <row r="112">
      <c r="A112" s="31"/>
      <c r="B112" s="37">
        <v>45643.0</v>
      </c>
      <c r="C112" s="29"/>
      <c r="D112" s="38" t="s">
        <v>139</v>
      </c>
      <c r="E112" s="38" t="s">
        <v>143</v>
      </c>
      <c r="F112" s="29"/>
      <c r="G112" s="38" t="s">
        <v>144</v>
      </c>
      <c r="H112" s="38" t="s">
        <v>258</v>
      </c>
      <c r="I112" s="41" t="s">
        <v>106</v>
      </c>
      <c r="J112" s="29"/>
      <c r="K112" s="38" t="s">
        <v>105</v>
      </c>
      <c r="L112" s="29"/>
      <c r="M112" s="29"/>
      <c r="N112" s="29"/>
      <c r="O112" s="43"/>
      <c r="P112" s="29"/>
      <c r="Q112" s="29"/>
      <c r="R112" s="29"/>
      <c r="S112" s="38" t="s">
        <v>116</v>
      </c>
      <c r="T112" s="29"/>
      <c r="U112" s="31"/>
    </row>
    <row r="113">
      <c r="A113" s="31"/>
      <c r="B113" s="32">
        <v>45643.0</v>
      </c>
      <c r="C113" s="35"/>
      <c r="D113" s="33" t="s">
        <v>139</v>
      </c>
      <c r="E113" s="33" t="s">
        <v>250</v>
      </c>
      <c r="F113" s="35"/>
      <c r="G113" s="33" t="s">
        <v>176</v>
      </c>
      <c r="H113" s="33" t="s">
        <v>259</v>
      </c>
      <c r="I113" s="34" t="s">
        <v>106</v>
      </c>
      <c r="J113" s="35"/>
      <c r="K113" s="33" t="s">
        <v>109</v>
      </c>
      <c r="L113" s="35"/>
      <c r="M113" s="35"/>
      <c r="N113" s="35"/>
      <c r="O113" s="42"/>
      <c r="P113" s="35"/>
      <c r="Q113" s="35"/>
      <c r="R113" s="35"/>
      <c r="S113" s="33" t="s">
        <v>116</v>
      </c>
      <c r="T113" s="35"/>
      <c r="U113" s="31"/>
    </row>
    <row r="114">
      <c r="A114" s="31"/>
      <c r="B114" s="37">
        <v>45643.0</v>
      </c>
      <c r="C114" s="29"/>
      <c r="D114" s="38" t="s">
        <v>174</v>
      </c>
      <c r="E114" s="38" t="s">
        <v>260</v>
      </c>
      <c r="F114" s="29"/>
      <c r="G114" s="38" t="s">
        <v>176</v>
      </c>
      <c r="H114" s="29"/>
      <c r="I114" s="39" t="s">
        <v>88</v>
      </c>
      <c r="J114" s="29"/>
      <c r="K114" s="38" t="s">
        <v>109</v>
      </c>
      <c r="L114" s="29"/>
      <c r="M114" s="29"/>
      <c r="N114" s="29"/>
      <c r="O114" s="43"/>
      <c r="P114" s="37">
        <v>45614.0</v>
      </c>
      <c r="Q114" s="29"/>
      <c r="R114" s="38" t="s">
        <v>95</v>
      </c>
      <c r="S114" s="38" t="s">
        <v>116</v>
      </c>
      <c r="T114" s="29"/>
      <c r="U114" s="31"/>
    </row>
    <row r="115">
      <c r="A115" s="31"/>
      <c r="B115" s="32">
        <v>45643.0</v>
      </c>
      <c r="C115" s="35"/>
      <c r="D115" s="33" t="s">
        <v>174</v>
      </c>
      <c r="E115" s="33" t="s">
        <v>260</v>
      </c>
      <c r="F115" s="35"/>
      <c r="G115" s="33" t="s">
        <v>176</v>
      </c>
      <c r="H115" s="33" t="s">
        <v>261</v>
      </c>
      <c r="I115" s="39" t="s">
        <v>88</v>
      </c>
      <c r="J115" s="35"/>
      <c r="K115" s="33" t="s">
        <v>109</v>
      </c>
      <c r="L115" s="35"/>
      <c r="M115" s="35"/>
      <c r="N115" s="35"/>
      <c r="O115" s="42"/>
      <c r="P115" s="32">
        <v>45667.0</v>
      </c>
      <c r="Q115" s="33" t="s">
        <v>131</v>
      </c>
      <c r="R115" s="33" t="s">
        <v>95</v>
      </c>
      <c r="S115" s="33" t="s">
        <v>116</v>
      </c>
      <c r="T115" s="35"/>
      <c r="U115" s="31"/>
    </row>
    <row r="116">
      <c r="A116" s="31"/>
      <c r="B116" s="37">
        <v>45643.0</v>
      </c>
      <c r="C116" s="38" t="s">
        <v>50</v>
      </c>
      <c r="D116" s="38" t="s">
        <v>31</v>
      </c>
      <c r="E116" s="38" t="s">
        <v>112</v>
      </c>
      <c r="F116" s="38" t="s">
        <v>76</v>
      </c>
      <c r="G116" s="38" t="s">
        <v>113</v>
      </c>
      <c r="H116" s="38">
        <v>3.55735480011289E14</v>
      </c>
      <c r="I116" s="41" t="s">
        <v>78</v>
      </c>
      <c r="J116" s="29"/>
      <c r="K116" s="38" t="s">
        <v>19</v>
      </c>
      <c r="L116" s="37">
        <v>45665.0</v>
      </c>
      <c r="M116" s="38" t="s">
        <v>95</v>
      </c>
      <c r="N116" s="38" t="s">
        <v>8</v>
      </c>
      <c r="O116" s="43"/>
      <c r="P116" s="29"/>
      <c r="Q116" s="29"/>
      <c r="R116" s="29"/>
      <c r="S116" s="29"/>
      <c r="T116" s="29"/>
      <c r="U116" s="31"/>
    </row>
    <row r="117">
      <c r="A117" s="31"/>
      <c r="B117" s="32">
        <v>45643.0</v>
      </c>
      <c r="C117" s="33" t="s">
        <v>128</v>
      </c>
      <c r="D117" s="33" t="s">
        <v>44</v>
      </c>
      <c r="E117" s="33" t="s">
        <v>260</v>
      </c>
      <c r="F117" s="33" t="s">
        <v>262</v>
      </c>
      <c r="G117" s="33" t="s">
        <v>263</v>
      </c>
      <c r="H117" s="33" t="s">
        <v>264</v>
      </c>
      <c r="I117" s="39" t="s">
        <v>88</v>
      </c>
      <c r="J117" s="35"/>
      <c r="K117" s="33" t="s">
        <v>11</v>
      </c>
      <c r="L117" s="32">
        <v>45665.0</v>
      </c>
      <c r="M117" s="33" t="s">
        <v>95</v>
      </c>
      <c r="N117" s="33" t="s">
        <v>8</v>
      </c>
      <c r="O117" s="42"/>
      <c r="P117" s="32">
        <v>45667.0</v>
      </c>
      <c r="Q117" s="33" t="s">
        <v>131</v>
      </c>
      <c r="R117" s="33" t="s">
        <v>95</v>
      </c>
      <c r="S117" s="33" t="s">
        <v>116</v>
      </c>
      <c r="T117" s="35"/>
      <c r="U117" s="31"/>
    </row>
    <row r="118">
      <c r="A118" s="31"/>
      <c r="B118" s="37">
        <v>45643.0</v>
      </c>
      <c r="C118" s="38" t="s">
        <v>128</v>
      </c>
      <c r="D118" s="38" t="s">
        <v>31</v>
      </c>
      <c r="E118" s="38" t="s">
        <v>265</v>
      </c>
      <c r="F118" s="38" t="s">
        <v>84</v>
      </c>
      <c r="G118" s="38" t="s">
        <v>266</v>
      </c>
      <c r="H118" s="38">
        <v>3.57696520003728E14</v>
      </c>
      <c r="I118" s="41" t="s">
        <v>267</v>
      </c>
      <c r="J118" s="29"/>
      <c r="K118" s="38" t="s">
        <v>11</v>
      </c>
      <c r="L118" s="37">
        <v>45665.0</v>
      </c>
      <c r="M118" s="38" t="s">
        <v>95</v>
      </c>
      <c r="N118" s="38" t="s">
        <v>8</v>
      </c>
      <c r="O118" s="43"/>
      <c r="P118" s="37">
        <v>45741.0</v>
      </c>
      <c r="Q118" s="38" t="s">
        <v>268</v>
      </c>
      <c r="R118" s="29"/>
      <c r="S118" s="38" t="s">
        <v>116</v>
      </c>
      <c r="T118" s="29"/>
      <c r="U118" s="31"/>
    </row>
    <row r="119">
      <c r="A119" s="31"/>
      <c r="B119" s="32">
        <v>45643.0</v>
      </c>
      <c r="C119" s="33" t="s">
        <v>43</v>
      </c>
      <c r="D119" s="33" t="s">
        <v>17</v>
      </c>
      <c r="E119" s="33" t="s">
        <v>159</v>
      </c>
      <c r="F119" s="33" t="s">
        <v>262</v>
      </c>
      <c r="G119" s="33" t="s">
        <v>262</v>
      </c>
      <c r="H119" s="33" t="s">
        <v>269</v>
      </c>
      <c r="I119" s="34" t="s">
        <v>88</v>
      </c>
      <c r="J119" s="35"/>
      <c r="K119" s="33" t="s">
        <v>11</v>
      </c>
      <c r="L119" s="32">
        <v>45665.0</v>
      </c>
      <c r="M119" s="33" t="s">
        <v>95</v>
      </c>
      <c r="N119" s="33" t="s">
        <v>8</v>
      </c>
      <c r="O119" s="42"/>
      <c r="P119" s="32">
        <v>45726.0</v>
      </c>
      <c r="Q119" s="35"/>
      <c r="R119" s="35"/>
      <c r="S119" s="33" t="s">
        <v>116</v>
      </c>
      <c r="T119" s="35"/>
      <c r="U119" s="31"/>
    </row>
    <row r="120">
      <c r="A120" s="31"/>
      <c r="B120" s="37">
        <v>45643.0</v>
      </c>
      <c r="C120" s="38" t="s">
        <v>43</v>
      </c>
      <c r="D120" s="38" t="s">
        <v>42</v>
      </c>
      <c r="E120" s="38" t="s">
        <v>270</v>
      </c>
      <c r="F120" s="38" t="s">
        <v>84</v>
      </c>
      <c r="G120" s="38" t="s">
        <v>156</v>
      </c>
      <c r="H120" s="46" t="s">
        <v>271</v>
      </c>
      <c r="I120" s="41" t="s">
        <v>78</v>
      </c>
      <c r="J120" s="29"/>
      <c r="K120" s="38" t="s">
        <v>19</v>
      </c>
      <c r="L120" s="37">
        <v>45665.0</v>
      </c>
      <c r="M120" s="38" t="s">
        <v>95</v>
      </c>
      <c r="N120" s="38" t="s">
        <v>8</v>
      </c>
      <c r="O120" s="43"/>
      <c r="P120" s="29"/>
      <c r="Q120" s="29"/>
      <c r="R120" s="29"/>
      <c r="S120" s="38" t="s">
        <v>116</v>
      </c>
      <c r="T120" s="29"/>
      <c r="U120" s="31"/>
    </row>
    <row r="121">
      <c r="A121" s="31"/>
      <c r="B121" s="32">
        <v>45643.0</v>
      </c>
      <c r="C121" s="33" t="s">
        <v>43</v>
      </c>
      <c r="D121" s="33" t="s">
        <v>17</v>
      </c>
      <c r="E121" s="33" t="s">
        <v>159</v>
      </c>
      <c r="F121" s="33" t="s">
        <v>262</v>
      </c>
      <c r="G121" s="33" t="s">
        <v>262</v>
      </c>
      <c r="H121" s="33" t="s">
        <v>272</v>
      </c>
      <c r="I121" s="34" t="s">
        <v>88</v>
      </c>
      <c r="J121" s="35"/>
      <c r="K121" s="33" t="s">
        <v>11</v>
      </c>
      <c r="L121" s="32">
        <v>45665.0</v>
      </c>
      <c r="M121" s="33" t="s">
        <v>95</v>
      </c>
      <c r="N121" s="33" t="s">
        <v>8</v>
      </c>
      <c r="O121" s="42"/>
      <c r="P121" s="32">
        <v>45723.0</v>
      </c>
      <c r="Q121" s="33" t="s">
        <v>110</v>
      </c>
      <c r="R121" s="33" t="s">
        <v>95</v>
      </c>
      <c r="S121" s="33" t="s">
        <v>116</v>
      </c>
      <c r="T121" s="35"/>
      <c r="U121" s="31"/>
    </row>
    <row r="122">
      <c r="A122" s="31"/>
      <c r="B122" s="37">
        <v>45643.0</v>
      </c>
      <c r="C122" s="38" t="s">
        <v>43</v>
      </c>
      <c r="D122" s="38" t="s">
        <v>42</v>
      </c>
      <c r="E122" s="38" t="s">
        <v>270</v>
      </c>
      <c r="F122" s="38" t="s">
        <v>84</v>
      </c>
      <c r="G122" s="38" t="s">
        <v>156</v>
      </c>
      <c r="H122" s="38" t="s">
        <v>273</v>
      </c>
      <c r="I122" s="41" t="s">
        <v>88</v>
      </c>
      <c r="J122" s="29"/>
      <c r="K122" s="38" t="s">
        <v>19</v>
      </c>
      <c r="L122" s="37">
        <v>45665.0</v>
      </c>
      <c r="M122" s="38" t="s">
        <v>95</v>
      </c>
      <c r="N122" s="38" t="s">
        <v>8</v>
      </c>
      <c r="O122" s="43"/>
      <c r="P122" s="37">
        <v>45723.0</v>
      </c>
      <c r="Q122" s="38" t="s">
        <v>110</v>
      </c>
      <c r="R122" s="38" t="s">
        <v>95</v>
      </c>
      <c r="S122" s="38" t="s">
        <v>116</v>
      </c>
      <c r="T122" s="29"/>
      <c r="U122" s="31"/>
    </row>
    <row r="123">
      <c r="A123" s="31"/>
      <c r="B123" s="32">
        <v>45643.0</v>
      </c>
      <c r="C123" s="33" t="s">
        <v>50</v>
      </c>
      <c r="D123" s="33" t="s">
        <v>31</v>
      </c>
      <c r="E123" s="33" t="s">
        <v>90</v>
      </c>
      <c r="F123" s="33" t="s">
        <v>84</v>
      </c>
      <c r="G123" s="33" t="s">
        <v>113</v>
      </c>
      <c r="H123" s="33">
        <v>3.50009210034754E14</v>
      </c>
      <c r="I123" s="39" t="s">
        <v>88</v>
      </c>
      <c r="J123" s="35"/>
      <c r="K123" s="33" t="s">
        <v>11</v>
      </c>
      <c r="L123" s="32">
        <v>45667.0</v>
      </c>
      <c r="M123" s="33" t="s">
        <v>95</v>
      </c>
      <c r="N123" s="33" t="s">
        <v>8</v>
      </c>
      <c r="O123" s="42"/>
      <c r="P123" s="35"/>
      <c r="Q123" s="35"/>
      <c r="R123" s="35"/>
      <c r="S123" s="33" t="s">
        <v>116</v>
      </c>
      <c r="T123" s="35"/>
      <c r="U123" s="31"/>
    </row>
    <row r="124">
      <c r="A124" s="31"/>
      <c r="B124" s="37">
        <v>45645.0</v>
      </c>
      <c r="C124" s="38" t="s">
        <v>49</v>
      </c>
      <c r="D124" s="38" t="s">
        <v>31</v>
      </c>
      <c r="E124" s="38" t="s">
        <v>274</v>
      </c>
      <c r="F124" s="38" t="s">
        <v>84</v>
      </c>
      <c r="G124" s="38" t="s">
        <v>124</v>
      </c>
      <c r="H124" s="38">
        <v>3.5272266502485E14</v>
      </c>
      <c r="I124" s="39" t="s">
        <v>88</v>
      </c>
      <c r="J124" s="41" t="s">
        <v>275</v>
      </c>
      <c r="K124" s="38" t="s">
        <v>11</v>
      </c>
      <c r="L124" s="37">
        <v>45645.0</v>
      </c>
      <c r="M124" s="38" t="s">
        <v>95</v>
      </c>
      <c r="N124" s="38" t="s">
        <v>8</v>
      </c>
      <c r="O124" s="43"/>
      <c r="P124" s="29"/>
      <c r="Q124" s="29"/>
      <c r="R124" s="29"/>
      <c r="S124" s="38" t="s">
        <v>116</v>
      </c>
      <c r="T124" s="29"/>
      <c r="U124" s="31"/>
    </row>
    <row r="125">
      <c r="A125" s="31"/>
      <c r="B125" s="32">
        <v>45645.0</v>
      </c>
      <c r="C125" s="33" t="s">
        <v>49</v>
      </c>
      <c r="D125" s="33" t="s">
        <v>31</v>
      </c>
      <c r="E125" s="33" t="s">
        <v>274</v>
      </c>
      <c r="F125" s="33" t="s">
        <v>84</v>
      </c>
      <c r="G125" s="33" t="s">
        <v>276</v>
      </c>
      <c r="H125" s="33">
        <v>3.5272266501438E14</v>
      </c>
      <c r="I125" s="39" t="s">
        <v>88</v>
      </c>
      <c r="J125" s="35"/>
      <c r="K125" s="33" t="s">
        <v>11</v>
      </c>
      <c r="L125" s="32">
        <v>45645.0</v>
      </c>
      <c r="M125" s="33" t="s">
        <v>95</v>
      </c>
      <c r="N125" s="33" t="s">
        <v>8</v>
      </c>
      <c r="O125" s="42"/>
      <c r="P125" s="35"/>
      <c r="Q125" s="35"/>
      <c r="R125" s="35"/>
      <c r="S125" s="33" t="s">
        <v>116</v>
      </c>
      <c r="T125" s="35"/>
      <c r="U125" s="31"/>
    </row>
    <row r="126">
      <c r="A126" s="31"/>
      <c r="B126" s="37">
        <v>45645.0</v>
      </c>
      <c r="C126" s="38" t="s">
        <v>49</v>
      </c>
      <c r="D126" s="38" t="s">
        <v>31</v>
      </c>
      <c r="E126" s="38" t="s">
        <v>265</v>
      </c>
      <c r="F126" s="38" t="s">
        <v>84</v>
      </c>
      <c r="G126" s="38" t="s">
        <v>277</v>
      </c>
      <c r="H126" s="38">
        <v>3.57696520002613E14</v>
      </c>
      <c r="I126" s="41" t="s">
        <v>78</v>
      </c>
      <c r="J126" s="29"/>
      <c r="K126" s="38" t="s">
        <v>11</v>
      </c>
      <c r="L126" s="37">
        <v>45645.0</v>
      </c>
      <c r="M126" s="38" t="s">
        <v>95</v>
      </c>
      <c r="N126" s="38" t="s">
        <v>8</v>
      </c>
      <c r="O126" s="43"/>
      <c r="P126" s="29"/>
      <c r="Q126" s="29"/>
      <c r="R126" s="29"/>
      <c r="S126" s="38" t="s">
        <v>116</v>
      </c>
      <c r="T126" s="29"/>
      <c r="U126" s="31"/>
    </row>
    <row r="127">
      <c r="A127" s="31"/>
      <c r="B127" s="32">
        <v>45645.0</v>
      </c>
      <c r="C127" s="33" t="s">
        <v>49</v>
      </c>
      <c r="D127" s="33" t="s">
        <v>31</v>
      </c>
      <c r="E127" s="33" t="s">
        <v>278</v>
      </c>
      <c r="F127" s="33" t="s">
        <v>84</v>
      </c>
      <c r="G127" s="33" t="s">
        <v>277</v>
      </c>
      <c r="H127" s="33">
        <v>3.54267935007085E14</v>
      </c>
      <c r="I127" s="34" t="s">
        <v>78</v>
      </c>
      <c r="J127" s="35"/>
      <c r="K127" s="33" t="s">
        <v>11</v>
      </c>
      <c r="L127" s="32">
        <v>45645.0</v>
      </c>
      <c r="M127" s="33" t="s">
        <v>95</v>
      </c>
      <c r="N127" s="33" t="s">
        <v>8</v>
      </c>
      <c r="O127" s="42"/>
      <c r="P127" s="35"/>
      <c r="Q127" s="35"/>
      <c r="R127" s="35"/>
      <c r="S127" s="33" t="s">
        <v>116</v>
      </c>
      <c r="T127" s="35"/>
      <c r="U127" s="31"/>
    </row>
    <row r="128">
      <c r="A128" s="31"/>
      <c r="B128" s="37">
        <v>45645.0</v>
      </c>
      <c r="C128" s="38" t="s">
        <v>49</v>
      </c>
      <c r="D128" s="38" t="s">
        <v>31</v>
      </c>
      <c r="E128" s="38" t="s">
        <v>265</v>
      </c>
      <c r="F128" s="38" t="s">
        <v>84</v>
      </c>
      <c r="G128" s="38" t="s">
        <v>130</v>
      </c>
      <c r="H128" s="38">
        <v>3.57696520006846E14</v>
      </c>
      <c r="I128" s="41" t="s">
        <v>78</v>
      </c>
      <c r="J128" s="29"/>
      <c r="K128" s="38" t="s">
        <v>11</v>
      </c>
      <c r="L128" s="37">
        <v>45645.0</v>
      </c>
      <c r="M128" s="38" t="s">
        <v>95</v>
      </c>
      <c r="N128" s="38" t="s">
        <v>8</v>
      </c>
      <c r="O128" s="43"/>
      <c r="P128" s="29"/>
      <c r="Q128" s="29"/>
      <c r="R128" s="29"/>
      <c r="S128" s="38" t="s">
        <v>116</v>
      </c>
      <c r="T128" s="29"/>
      <c r="U128" s="31"/>
    </row>
    <row r="129">
      <c r="A129" s="31"/>
      <c r="B129" s="32">
        <v>45645.0</v>
      </c>
      <c r="C129" s="33" t="s">
        <v>49</v>
      </c>
      <c r="D129" s="33" t="s">
        <v>31</v>
      </c>
      <c r="E129" s="33" t="s">
        <v>274</v>
      </c>
      <c r="F129" s="33" t="s">
        <v>84</v>
      </c>
      <c r="G129" s="33" t="s">
        <v>120</v>
      </c>
      <c r="H129" s="33">
        <v>3.52722665000652E14</v>
      </c>
      <c r="I129" s="34" t="s">
        <v>86</v>
      </c>
      <c r="J129" s="35"/>
      <c r="K129" s="33" t="s">
        <v>11</v>
      </c>
      <c r="L129" s="32">
        <v>45645.0</v>
      </c>
      <c r="M129" s="33" t="s">
        <v>95</v>
      </c>
      <c r="N129" s="33" t="s">
        <v>8</v>
      </c>
      <c r="O129" s="42"/>
      <c r="P129" s="35"/>
      <c r="Q129" s="35"/>
      <c r="R129" s="35"/>
      <c r="S129" s="33" t="s">
        <v>116</v>
      </c>
      <c r="T129" s="35"/>
      <c r="U129" s="31"/>
    </row>
    <row r="130">
      <c r="A130" s="31"/>
      <c r="B130" s="37">
        <v>45645.0</v>
      </c>
      <c r="C130" s="38" t="s">
        <v>49</v>
      </c>
      <c r="D130" s="38" t="s">
        <v>31</v>
      </c>
      <c r="E130" s="38" t="s">
        <v>279</v>
      </c>
      <c r="F130" s="38" t="s">
        <v>262</v>
      </c>
      <c r="G130" s="38" t="s">
        <v>280</v>
      </c>
      <c r="H130" s="38">
        <v>3.52978780026747E14</v>
      </c>
      <c r="I130" s="41" t="s">
        <v>78</v>
      </c>
      <c r="J130" s="29"/>
      <c r="K130" s="38" t="s">
        <v>11</v>
      </c>
      <c r="L130" s="37">
        <v>45645.0</v>
      </c>
      <c r="M130" s="38" t="s">
        <v>95</v>
      </c>
      <c r="N130" s="38" t="s">
        <v>8</v>
      </c>
      <c r="O130" s="43"/>
      <c r="P130" s="37">
        <v>45723.0</v>
      </c>
      <c r="Q130" s="38" t="s">
        <v>110</v>
      </c>
      <c r="R130" s="38" t="s">
        <v>95</v>
      </c>
      <c r="S130" s="38" t="s">
        <v>116</v>
      </c>
      <c r="T130" s="29"/>
      <c r="U130" s="31"/>
    </row>
    <row r="131">
      <c r="A131" s="31"/>
      <c r="B131" s="32">
        <v>45645.0</v>
      </c>
      <c r="C131" s="33" t="s">
        <v>49</v>
      </c>
      <c r="D131" s="33" t="s">
        <v>31</v>
      </c>
      <c r="E131" s="33" t="s">
        <v>279</v>
      </c>
      <c r="F131" s="33" t="s">
        <v>262</v>
      </c>
      <c r="G131" s="33" t="s">
        <v>280</v>
      </c>
      <c r="H131" s="33">
        <v>3.52978780032133E14</v>
      </c>
      <c r="I131" s="34" t="s">
        <v>78</v>
      </c>
      <c r="J131" s="35"/>
      <c r="K131" s="33" t="s">
        <v>11</v>
      </c>
      <c r="L131" s="32">
        <v>45645.0</v>
      </c>
      <c r="M131" s="33" t="s">
        <v>95</v>
      </c>
      <c r="N131" s="33" t="s">
        <v>8</v>
      </c>
      <c r="O131" s="42"/>
      <c r="P131" s="32">
        <v>45723.0</v>
      </c>
      <c r="Q131" s="33" t="s">
        <v>110</v>
      </c>
      <c r="R131" s="33" t="s">
        <v>95</v>
      </c>
      <c r="S131" s="33" t="s">
        <v>116</v>
      </c>
      <c r="T131" s="35"/>
      <c r="U131" s="31"/>
    </row>
    <row r="132">
      <c r="A132" s="31"/>
      <c r="B132" s="37">
        <v>45645.0</v>
      </c>
      <c r="C132" s="38" t="s">
        <v>49</v>
      </c>
      <c r="D132" s="38" t="s">
        <v>31</v>
      </c>
      <c r="E132" s="38" t="s">
        <v>265</v>
      </c>
      <c r="F132" s="38" t="s">
        <v>84</v>
      </c>
      <c r="G132" s="38" t="s">
        <v>130</v>
      </c>
      <c r="H132" s="38">
        <v>3.57696520006846E14</v>
      </c>
      <c r="I132" s="41" t="s">
        <v>78</v>
      </c>
      <c r="J132" s="29"/>
      <c r="K132" s="38" t="s">
        <v>11</v>
      </c>
      <c r="L132" s="37">
        <v>45645.0</v>
      </c>
      <c r="M132" s="38" t="s">
        <v>95</v>
      </c>
      <c r="N132" s="38" t="s">
        <v>8</v>
      </c>
      <c r="O132" s="43"/>
      <c r="P132" s="29"/>
      <c r="Q132" s="29"/>
      <c r="R132" s="29"/>
      <c r="S132" s="38" t="s">
        <v>116</v>
      </c>
      <c r="T132" s="29"/>
      <c r="U132" s="31"/>
    </row>
    <row r="133">
      <c r="A133" s="31"/>
      <c r="B133" s="32">
        <v>45645.0</v>
      </c>
      <c r="C133" s="33" t="s">
        <v>49</v>
      </c>
      <c r="D133" s="33" t="s">
        <v>31</v>
      </c>
      <c r="E133" s="33" t="s">
        <v>279</v>
      </c>
      <c r="F133" s="33" t="s">
        <v>262</v>
      </c>
      <c r="G133" s="33" t="s">
        <v>176</v>
      </c>
      <c r="H133" s="33">
        <v>3.5297878000428E14</v>
      </c>
      <c r="I133" s="34" t="s">
        <v>78</v>
      </c>
      <c r="J133" s="35"/>
      <c r="K133" s="33" t="s">
        <v>11</v>
      </c>
      <c r="L133" s="32">
        <v>45645.0</v>
      </c>
      <c r="M133" s="33" t="s">
        <v>95</v>
      </c>
      <c r="N133" s="33" t="s">
        <v>8</v>
      </c>
      <c r="O133" s="42"/>
      <c r="P133" s="35"/>
      <c r="Q133" s="35"/>
      <c r="R133" s="35"/>
      <c r="S133" s="33" t="s">
        <v>116</v>
      </c>
      <c r="T133" s="35"/>
      <c r="U133" s="31"/>
    </row>
    <row r="134">
      <c r="A134" s="31"/>
      <c r="B134" s="37">
        <v>45645.0</v>
      </c>
      <c r="C134" s="38" t="s">
        <v>49</v>
      </c>
      <c r="D134" s="38" t="s">
        <v>31</v>
      </c>
      <c r="E134" s="38" t="s">
        <v>279</v>
      </c>
      <c r="F134" s="38" t="s">
        <v>262</v>
      </c>
      <c r="G134" s="38" t="s">
        <v>176</v>
      </c>
      <c r="H134" s="38">
        <v>3.52978780008166E14</v>
      </c>
      <c r="I134" s="41" t="s">
        <v>78</v>
      </c>
      <c r="J134" s="29"/>
      <c r="K134" s="38" t="s">
        <v>11</v>
      </c>
      <c r="L134" s="37">
        <v>45645.0</v>
      </c>
      <c r="M134" s="38" t="s">
        <v>95</v>
      </c>
      <c r="N134" s="38" t="s">
        <v>8</v>
      </c>
      <c r="O134" s="43"/>
      <c r="P134" s="29"/>
      <c r="Q134" s="29"/>
      <c r="R134" s="29"/>
      <c r="S134" s="38" t="s">
        <v>116</v>
      </c>
      <c r="T134" s="29"/>
      <c r="U134" s="31"/>
    </row>
    <row r="135">
      <c r="A135" s="31"/>
      <c r="B135" s="32">
        <v>45645.0</v>
      </c>
      <c r="C135" s="33" t="s">
        <v>49</v>
      </c>
      <c r="D135" s="33" t="s">
        <v>31</v>
      </c>
      <c r="E135" s="33" t="s">
        <v>279</v>
      </c>
      <c r="F135" s="33" t="s">
        <v>262</v>
      </c>
      <c r="G135" s="33" t="s">
        <v>176</v>
      </c>
      <c r="H135" s="33">
        <v>3.5297878001079E14</v>
      </c>
      <c r="I135" s="34" t="s">
        <v>78</v>
      </c>
      <c r="J135" s="35"/>
      <c r="K135" s="33" t="s">
        <v>11</v>
      </c>
      <c r="L135" s="32">
        <v>45645.0</v>
      </c>
      <c r="M135" s="33" t="s">
        <v>95</v>
      </c>
      <c r="N135" s="33" t="s">
        <v>8</v>
      </c>
      <c r="O135" s="42"/>
      <c r="P135" s="35"/>
      <c r="Q135" s="35"/>
      <c r="R135" s="35"/>
      <c r="S135" s="33" t="s">
        <v>116</v>
      </c>
      <c r="T135" s="35"/>
      <c r="U135" s="31"/>
    </row>
    <row r="136">
      <c r="A136" s="31"/>
      <c r="B136" s="37">
        <v>45645.0</v>
      </c>
      <c r="C136" s="38" t="s">
        <v>46</v>
      </c>
      <c r="D136" s="38" t="s">
        <v>31</v>
      </c>
      <c r="E136" s="38" t="s">
        <v>90</v>
      </c>
      <c r="F136" s="38" t="s">
        <v>84</v>
      </c>
      <c r="G136" s="38" t="s">
        <v>136</v>
      </c>
      <c r="H136" s="38">
        <v>3.50009210014939E14</v>
      </c>
      <c r="I136" s="41" t="s">
        <v>78</v>
      </c>
      <c r="J136" s="29"/>
      <c r="K136" s="38" t="s">
        <v>19</v>
      </c>
      <c r="L136" s="37">
        <v>45672.0</v>
      </c>
      <c r="M136" s="38" t="s">
        <v>95</v>
      </c>
      <c r="N136" s="38" t="s">
        <v>8</v>
      </c>
      <c r="O136" s="43"/>
      <c r="P136" s="29"/>
      <c r="Q136" s="29"/>
      <c r="R136" s="29"/>
      <c r="S136" s="29"/>
      <c r="T136" s="29"/>
      <c r="U136" s="31"/>
    </row>
    <row r="137">
      <c r="A137" s="31"/>
      <c r="B137" s="32">
        <v>45645.0</v>
      </c>
      <c r="C137" s="33" t="s">
        <v>49</v>
      </c>
      <c r="D137" s="33" t="s">
        <v>31</v>
      </c>
      <c r="E137" s="33" t="s">
        <v>281</v>
      </c>
      <c r="F137" s="33" t="s">
        <v>84</v>
      </c>
      <c r="G137" s="33" t="s">
        <v>126</v>
      </c>
      <c r="H137" s="33">
        <v>3.54267935002268E14</v>
      </c>
      <c r="I137" s="39" t="s">
        <v>88</v>
      </c>
      <c r="J137" s="35"/>
      <c r="K137" s="33" t="s">
        <v>11</v>
      </c>
      <c r="L137" s="32">
        <v>45671.0</v>
      </c>
      <c r="M137" s="33" t="s">
        <v>95</v>
      </c>
      <c r="N137" s="33" t="s">
        <v>8</v>
      </c>
      <c r="O137" s="42"/>
      <c r="P137" s="32">
        <v>45677.0</v>
      </c>
      <c r="Q137" s="35"/>
      <c r="R137" s="35"/>
      <c r="S137" s="35"/>
      <c r="T137" s="35"/>
      <c r="U137" s="31"/>
    </row>
    <row r="138">
      <c r="A138" s="31"/>
      <c r="B138" s="44">
        <v>45645.0</v>
      </c>
      <c r="C138" s="38" t="s">
        <v>50</v>
      </c>
      <c r="D138" s="38" t="s">
        <v>31</v>
      </c>
      <c r="E138" s="38" t="s">
        <v>282</v>
      </c>
      <c r="F138" s="29"/>
      <c r="G138" s="38" t="s">
        <v>113</v>
      </c>
      <c r="H138" s="38">
        <v>3.55541740051598E14</v>
      </c>
      <c r="I138" s="39" t="s">
        <v>78</v>
      </c>
      <c r="J138" s="29"/>
      <c r="K138" s="38" t="s">
        <v>19</v>
      </c>
      <c r="L138" s="37">
        <v>45671.0</v>
      </c>
      <c r="M138" s="38" t="s">
        <v>95</v>
      </c>
      <c r="N138" s="38" t="s">
        <v>8</v>
      </c>
      <c r="O138" s="43"/>
      <c r="P138" s="29"/>
      <c r="Q138" s="29"/>
      <c r="R138" s="29"/>
      <c r="S138" s="29"/>
      <c r="T138" s="29"/>
      <c r="U138" s="31"/>
    </row>
    <row r="139">
      <c r="A139" s="31"/>
      <c r="B139" s="32">
        <v>45630.0</v>
      </c>
      <c r="C139" s="33" t="s">
        <v>30</v>
      </c>
      <c r="D139" s="33" t="s">
        <v>31</v>
      </c>
      <c r="E139" s="33" t="s">
        <v>90</v>
      </c>
      <c r="F139" s="33" t="s">
        <v>84</v>
      </c>
      <c r="G139" s="33" t="s">
        <v>113</v>
      </c>
      <c r="H139" s="33">
        <v>3.50009210034762E14</v>
      </c>
      <c r="I139" s="39" t="s">
        <v>88</v>
      </c>
      <c r="J139" s="35"/>
      <c r="K139" s="33" t="s">
        <v>11</v>
      </c>
      <c r="L139" s="32">
        <v>45677.0</v>
      </c>
      <c r="M139" s="33" t="s">
        <v>95</v>
      </c>
      <c r="N139" s="33" t="s">
        <v>8</v>
      </c>
      <c r="O139" s="42"/>
      <c r="P139" s="35"/>
      <c r="Q139" s="35"/>
      <c r="R139" s="35"/>
      <c r="S139" s="35"/>
      <c r="T139" s="35"/>
      <c r="U139" s="31"/>
    </row>
    <row r="140">
      <c r="A140" s="31"/>
      <c r="B140" s="37">
        <v>45630.0</v>
      </c>
      <c r="C140" s="38" t="s">
        <v>30</v>
      </c>
      <c r="D140" s="38" t="s">
        <v>31</v>
      </c>
      <c r="E140" s="38" t="s">
        <v>90</v>
      </c>
      <c r="F140" s="38" t="s">
        <v>84</v>
      </c>
      <c r="G140" s="38" t="s">
        <v>134</v>
      </c>
      <c r="H140" s="38">
        <v>3.50009210100385E14</v>
      </c>
      <c r="I140" s="41" t="s">
        <v>78</v>
      </c>
      <c r="J140" s="29"/>
      <c r="K140" s="38" t="s">
        <v>19</v>
      </c>
      <c r="L140" s="37">
        <v>45677.0</v>
      </c>
      <c r="M140" s="38" t="s">
        <v>95</v>
      </c>
      <c r="N140" s="38" t="s">
        <v>8</v>
      </c>
      <c r="O140" s="43"/>
      <c r="P140" s="29"/>
      <c r="Q140" s="29"/>
      <c r="R140" s="29"/>
      <c r="S140" s="29"/>
      <c r="T140" s="29"/>
      <c r="U140" s="31"/>
    </row>
    <row r="141">
      <c r="A141" s="31"/>
      <c r="B141" s="32">
        <v>45630.0</v>
      </c>
      <c r="C141" s="33" t="s">
        <v>49</v>
      </c>
      <c r="D141" s="33" t="s">
        <v>31</v>
      </c>
      <c r="E141" s="33" t="s">
        <v>283</v>
      </c>
      <c r="F141" s="33" t="s">
        <v>152</v>
      </c>
      <c r="G141" s="33" t="s">
        <v>284</v>
      </c>
      <c r="H141" s="33">
        <v>3.57582380212544E14</v>
      </c>
      <c r="I141" s="39" t="s">
        <v>88</v>
      </c>
      <c r="J141" s="35"/>
      <c r="K141" s="33" t="s">
        <v>11</v>
      </c>
      <c r="L141" s="32">
        <v>45673.0</v>
      </c>
      <c r="M141" s="33" t="s">
        <v>95</v>
      </c>
      <c r="N141" s="33" t="s">
        <v>8</v>
      </c>
      <c r="O141" s="42"/>
      <c r="P141" s="35"/>
      <c r="Q141" s="35"/>
      <c r="R141" s="35"/>
      <c r="S141" s="35"/>
      <c r="T141" s="35"/>
      <c r="U141" s="31"/>
    </row>
    <row r="142">
      <c r="A142" s="31"/>
      <c r="B142" s="37">
        <v>45630.0</v>
      </c>
      <c r="C142" s="38" t="s">
        <v>49</v>
      </c>
      <c r="D142" s="38" t="s">
        <v>31</v>
      </c>
      <c r="E142" s="38" t="s">
        <v>283</v>
      </c>
      <c r="F142" s="38" t="s">
        <v>152</v>
      </c>
      <c r="G142" s="38" t="s">
        <v>176</v>
      </c>
      <c r="H142" s="38">
        <v>3.57582380209896E14</v>
      </c>
      <c r="I142" s="39" t="s">
        <v>88</v>
      </c>
      <c r="J142" s="29"/>
      <c r="K142" s="38" t="s">
        <v>11</v>
      </c>
      <c r="L142" s="37">
        <v>45673.0</v>
      </c>
      <c r="M142" s="38" t="s">
        <v>95</v>
      </c>
      <c r="N142" s="38" t="s">
        <v>8</v>
      </c>
      <c r="O142" s="43"/>
      <c r="P142" s="29"/>
      <c r="Q142" s="29"/>
      <c r="R142" s="29"/>
      <c r="S142" s="29"/>
      <c r="T142" s="29"/>
      <c r="U142" s="31"/>
    </row>
    <row r="143">
      <c r="A143" s="31"/>
      <c r="B143" s="32">
        <v>45630.0</v>
      </c>
      <c r="C143" s="33" t="s">
        <v>49</v>
      </c>
      <c r="D143" s="33" t="s">
        <v>31</v>
      </c>
      <c r="E143" s="33" t="s">
        <v>283</v>
      </c>
      <c r="F143" s="33" t="s">
        <v>152</v>
      </c>
      <c r="G143" s="33" t="s">
        <v>284</v>
      </c>
      <c r="H143" s="33">
        <v>3.5758238021246E14</v>
      </c>
      <c r="I143" s="39" t="s">
        <v>88</v>
      </c>
      <c r="J143" s="35"/>
      <c r="K143" s="33" t="s">
        <v>11</v>
      </c>
      <c r="L143" s="32">
        <v>45673.0</v>
      </c>
      <c r="M143" s="33" t="s">
        <v>95</v>
      </c>
      <c r="N143" s="33" t="s">
        <v>8</v>
      </c>
      <c r="O143" s="42"/>
      <c r="P143" s="35"/>
      <c r="Q143" s="35"/>
      <c r="R143" s="35"/>
      <c r="S143" s="35"/>
      <c r="T143" s="35"/>
      <c r="U143" s="31"/>
    </row>
    <row r="144">
      <c r="A144" s="31"/>
      <c r="B144" s="37">
        <v>45630.0</v>
      </c>
      <c r="C144" s="38" t="s">
        <v>49</v>
      </c>
      <c r="D144" s="38" t="s">
        <v>31</v>
      </c>
      <c r="E144" s="38" t="s">
        <v>283</v>
      </c>
      <c r="F144" s="38" t="s">
        <v>152</v>
      </c>
      <c r="G144" s="38" t="s">
        <v>136</v>
      </c>
      <c r="H144" s="38">
        <v>3.57582380240636E14</v>
      </c>
      <c r="I144" s="39" t="s">
        <v>88</v>
      </c>
      <c r="J144" s="29"/>
      <c r="K144" s="38" t="s">
        <v>11</v>
      </c>
      <c r="L144" s="37">
        <v>45673.0</v>
      </c>
      <c r="M144" s="38" t="s">
        <v>95</v>
      </c>
      <c r="N144" s="38" t="s">
        <v>8</v>
      </c>
      <c r="O144" s="43"/>
      <c r="P144" s="29"/>
      <c r="Q144" s="29"/>
      <c r="R144" s="29"/>
      <c r="S144" s="29"/>
      <c r="T144" s="29"/>
      <c r="U144" s="31"/>
    </row>
    <row r="145">
      <c r="A145" s="31"/>
      <c r="B145" s="32">
        <v>45643.0</v>
      </c>
      <c r="C145" s="35"/>
      <c r="D145" s="33" t="s">
        <v>285</v>
      </c>
      <c r="E145" s="33" t="s">
        <v>140</v>
      </c>
      <c r="F145" s="35"/>
      <c r="G145" s="33" t="s">
        <v>134</v>
      </c>
      <c r="H145" s="33" t="s">
        <v>286</v>
      </c>
      <c r="I145" s="34" t="s">
        <v>78</v>
      </c>
      <c r="J145" s="35"/>
      <c r="K145" s="33" t="s">
        <v>11</v>
      </c>
      <c r="L145" s="35"/>
      <c r="M145" s="35"/>
      <c r="N145" s="35"/>
      <c r="O145" s="42"/>
      <c r="P145" s="35"/>
      <c r="Q145" s="35"/>
      <c r="R145" s="35"/>
      <c r="S145" s="35"/>
      <c r="T145" s="35"/>
      <c r="U145" s="31"/>
    </row>
    <row r="146">
      <c r="A146" s="31"/>
      <c r="B146" s="37">
        <v>45664.0</v>
      </c>
      <c r="C146" s="38" t="s">
        <v>46</v>
      </c>
      <c r="D146" s="38" t="s">
        <v>31</v>
      </c>
      <c r="E146" s="38" t="s">
        <v>281</v>
      </c>
      <c r="F146" s="38" t="s">
        <v>84</v>
      </c>
      <c r="G146" s="38" t="s">
        <v>287</v>
      </c>
      <c r="H146" s="38">
        <v>3.54267935003001E14</v>
      </c>
      <c r="I146" s="41" t="s">
        <v>86</v>
      </c>
      <c r="J146" s="29"/>
      <c r="K146" s="38" t="s">
        <v>19</v>
      </c>
      <c r="L146" s="29"/>
      <c r="M146" s="29"/>
      <c r="N146" s="29"/>
      <c r="O146" s="43"/>
      <c r="P146" s="29"/>
      <c r="Q146" s="29"/>
      <c r="R146" s="29"/>
      <c r="S146" s="38" t="s">
        <v>116</v>
      </c>
      <c r="T146" s="29"/>
      <c r="U146" s="31"/>
    </row>
    <row r="147">
      <c r="A147" s="31"/>
      <c r="B147" s="32">
        <v>45664.0</v>
      </c>
      <c r="C147" s="33" t="s">
        <v>50</v>
      </c>
      <c r="D147" s="33" t="s">
        <v>31</v>
      </c>
      <c r="E147" s="33" t="s">
        <v>282</v>
      </c>
      <c r="F147" s="33" t="s">
        <v>84</v>
      </c>
      <c r="G147" s="33" t="s">
        <v>113</v>
      </c>
      <c r="H147" s="33">
        <v>3.58899540110999E14</v>
      </c>
      <c r="I147" s="34" t="s">
        <v>78</v>
      </c>
      <c r="J147" s="35"/>
      <c r="K147" s="33" t="s">
        <v>11</v>
      </c>
      <c r="L147" s="35"/>
      <c r="M147" s="35"/>
      <c r="N147" s="35"/>
      <c r="O147" s="42"/>
      <c r="P147" s="35"/>
      <c r="Q147" s="35"/>
      <c r="R147" s="35"/>
      <c r="S147" s="33" t="s">
        <v>116</v>
      </c>
      <c r="T147" s="35"/>
      <c r="U147" s="31"/>
    </row>
    <row r="148">
      <c r="A148" s="31"/>
      <c r="B148" s="37">
        <v>45664.0</v>
      </c>
      <c r="C148" s="38" t="s">
        <v>128</v>
      </c>
      <c r="D148" s="38" t="s">
        <v>174</v>
      </c>
      <c r="E148" s="38" t="s">
        <v>260</v>
      </c>
      <c r="F148" s="29"/>
      <c r="G148" s="38" t="s">
        <v>176</v>
      </c>
      <c r="H148" s="38" t="s">
        <v>288</v>
      </c>
      <c r="I148" s="39" t="s">
        <v>88</v>
      </c>
      <c r="J148" s="29"/>
      <c r="K148" s="38" t="s">
        <v>11</v>
      </c>
      <c r="L148" s="29"/>
      <c r="M148" s="29"/>
      <c r="N148" s="29"/>
      <c r="O148" s="43"/>
      <c r="P148" s="29"/>
      <c r="Q148" s="29"/>
      <c r="R148" s="29"/>
      <c r="S148" s="38" t="s">
        <v>116</v>
      </c>
      <c r="T148" s="29"/>
      <c r="U148" s="31"/>
    </row>
    <row r="149">
      <c r="A149" s="31"/>
      <c r="B149" s="32">
        <v>45664.0</v>
      </c>
      <c r="C149" s="33" t="s">
        <v>43</v>
      </c>
      <c r="D149" s="33" t="s">
        <v>174</v>
      </c>
      <c r="E149" s="33" t="s">
        <v>289</v>
      </c>
      <c r="F149" s="35"/>
      <c r="G149" s="33" t="s">
        <v>176</v>
      </c>
      <c r="H149" s="33" t="s">
        <v>290</v>
      </c>
      <c r="I149" s="34" t="s">
        <v>78</v>
      </c>
      <c r="J149" s="35"/>
      <c r="K149" s="33" t="s">
        <v>11</v>
      </c>
      <c r="L149" s="35"/>
      <c r="M149" s="35"/>
      <c r="N149" s="35"/>
      <c r="O149" s="42"/>
      <c r="P149" s="35"/>
      <c r="Q149" s="35"/>
      <c r="R149" s="35"/>
      <c r="S149" s="33" t="s">
        <v>116</v>
      </c>
      <c r="T149" s="35"/>
      <c r="U149" s="31"/>
    </row>
    <row r="150">
      <c r="A150" s="31"/>
      <c r="B150" s="37">
        <v>45664.0</v>
      </c>
      <c r="C150" s="38" t="s">
        <v>50</v>
      </c>
      <c r="D150" s="38" t="s">
        <v>31</v>
      </c>
      <c r="E150" s="38" t="s">
        <v>291</v>
      </c>
      <c r="F150" s="38" t="s">
        <v>84</v>
      </c>
      <c r="G150" s="38" t="s">
        <v>113</v>
      </c>
      <c r="H150" s="38">
        <v>3.55541740050954E14</v>
      </c>
      <c r="I150" s="39" t="s">
        <v>88</v>
      </c>
      <c r="J150" s="29"/>
      <c r="K150" s="38" t="s">
        <v>11</v>
      </c>
      <c r="L150" s="29"/>
      <c r="M150" s="29"/>
      <c r="N150" s="29"/>
      <c r="O150" s="43"/>
      <c r="P150" s="37">
        <v>45298.0</v>
      </c>
      <c r="Q150" s="38" t="s">
        <v>110</v>
      </c>
      <c r="R150" s="38" t="s">
        <v>292</v>
      </c>
      <c r="S150" s="38" t="s">
        <v>116</v>
      </c>
      <c r="T150" s="29"/>
      <c r="U150" s="31"/>
    </row>
    <row r="151">
      <c r="A151" s="31"/>
      <c r="B151" s="32">
        <v>45664.0</v>
      </c>
      <c r="C151" s="33" t="s">
        <v>46</v>
      </c>
      <c r="D151" s="33" t="s">
        <v>31</v>
      </c>
      <c r="E151" s="33" t="s">
        <v>274</v>
      </c>
      <c r="F151" s="33" t="s">
        <v>84</v>
      </c>
      <c r="G151" s="33" t="s">
        <v>124</v>
      </c>
      <c r="H151" s="33">
        <v>3.5272266502485E14</v>
      </c>
      <c r="I151" s="39" t="s">
        <v>88</v>
      </c>
      <c r="J151" s="35"/>
      <c r="K151" s="33" t="s">
        <v>19</v>
      </c>
      <c r="L151" s="35"/>
      <c r="M151" s="35"/>
      <c r="N151" s="35"/>
      <c r="O151" s="42"/>
      <c r="P151" s="35"/>
      <c r="Q151" s="35"/>
      <c r="R151" s="35"/>
      <c r="S151" s="33" t="s">
        <v>116</v>
      </c>
      <c r="T151" s="35"/>
      <c r="U151" s="31"/>
    </row>
    <row r="152">
      <c r="A152" s="31"/>
      <c r="B152" s="37">
        <v>45664.0</v>
      </c>
      <c r="C152" s="38" t="s">
        <v>46</v>
      </c>
      <c r="D152" s="38" t="s">
        <v>31</v>
      </c>
      <c r="E152" s="38" t="s">
        <v>274</v>
      </c>
      <c r="F152" s="38" t="s">
        <v>84</v>
      </c>
      <c r="G152" s="38" t="s">
        <v>276</v>
      </c>
      <c r="H152" s="38">
        <v>3.5272266501438E14</v>
      </c>
      <c r="I152" s="39" t="s">
        <v>88</v>
      </c>
      <c r="J152" s="29"/>
      <c r="K152" s="38" t="s">
        <v>19</v>
      </c>
      <c r="L152" s="29"/>
      <c r="M152" s="29"/>
      <c r="N152" s="29"/>
      <c r="O152" s="43"/>
      <c r="P152" s="29"/>
      <c r="Q152" s="29"/>
      <c r="R152" s="29"/>
      <c r="S152" s="38" t="s">
        <v>116</v>
      </c>
      <c r="T152" s="29"/>
      <c r="U152" s="31"/>
    </row>
    <row r="153">
      <c r="A153" s="31"/>
      <c r="B153" s="44">
        <v>45664.0</v>
      </c>
      <c r="C153" s="33" t="s">
        <v>46</v>
      </c>
      <c r="D153" s="33" t="s">
        <v>31</v>
      </c>
      <c r="E153" s="33" t="s">
        <v>274</v>
      </c>
      <c r="F153" s="33" t="s">
        <v>84</v>
      </c>
      <c r="G153" s="33" t="s">
        <v>276</v>
      </c>
      <c r="H153" s="33">
        <v>3.52722665014042E14</v>
      </c>
      <c r="I153" s="34" t="s">
        <v>78</v>
      </c>
      <c r="J153" s="35"/>
      <c r="K153" s="33" t="s">
        <v>19</v>
      </c>
      <c r="L153" s="35"/>
      <c r="M153" s="35"/>
      <c r="N153" s="35"/>
      <c r="O153" s="42"/>
      <c r="P153" s="35"/>
      <c r="Q153" s="35"/>
      <c r="R153" s="35"/>
      <c r="S153" s="33" t="s">
        <v>116</v>
      </c>
      <c r="T153" s="35"/>
      <c r="U153" s="31"/>
    </row>
    <row r="154">
      <c r="A154" s="31"/>
      <c r="B154" s="44">
        <v>45664.0</v>
      </c>
      <c r="C154" s="38" t="s">
        <v>46</v>
      </c>
      <c r="D154" s="38" t="s">
        <v>31</v>
      </c>
      <c r="E154" s="38" t="s">
        <v>274</v>
      </c>
      <c r="F154" s="38" t="s">
        <v>293</v>
      </c>
      <c r="G154" s="38" t="s">
        <v>124</v>
      </c>
      <c r="H154" s="38">
        <v>3.53892182028392E14</v>
      </c>
      <c r="I154" s="41" t="s">
        <v>78</v>
      </c>
      <c r="J154" s="29"/>
      <c r="K154" s="38" t="s">
        <v>19</v>
      </c>
      <c r="L154" s="29"/>
      <c r="M154" s="29"/>
      <c r="N154" s="29"/>
      <c r="O154" s="43"/>
      <c r="P154" s="29"/>
      <c r="Q154" s="29"/>
      <c r="R154" s="29"/>
      <c r="S154" s="38" t="s">
        <v>116</v>
      </c>
      <c r="T154" s="29"/>
      <c r="U154" s="31"/>
    </row>
    <row r="155">
      <c r="A155" s="31"/>
      <c r="B155" s="32">
        <v>45664.0</v>
      </c>
      <c r="C155" s="33" t="s">
        <v>46</v>
      </c>
      <c r="D155" s="33" t="s">
        <v>31</v>
      </c>
      <c r="E155" s="33" t="s">
        <v>294</v>
      </c>
      <c r="F155" s="33" t="s">
        <v>84</v>
      </c>
      <c r="G155" s="33" t="s">
        <v>295</v>
      </c>
      <c r="H155" s="33">
        <v>3.57696520002613E14</v>
      </c>
      <c r="I155" s="34" t="s">
        <v>78</v>
      </c>
      <c r="J155" s="35"/>
      <c r="K155" s="33" t="s">
        <v>19</v>
      </c>
      <c r="L155" s="35"/>
      <c r="M155" s="35"/>
      <c r="N155" s="35"/>
      <c r="O155" s="42"/>
      <c r="P155" s="35"/>
      <c r="Q155" s="35"/>
      <c r="R155" s="35"/>
      <c r="S155" s="33" t="s">
        <v>116</v>
      </c>
      <c r="T155" s="35"/>
      <c r="U155" s="31"/>
    </row>
    <row r="156">
      <c r="A156" s="31"/>
      <c r="B156" s="37">
        <v>45664.0</v>
      </c>
      <c r="C156" s="38" t="s">
        <v>46</v>
      </c>
      <c r="D156" s="38" t="s">
        <v>31</v>
      </c>
      <c r="E156" s="38" t="s">
        <v>294</v>
      </c>
      <c r="F156" s="38" t="s">
        <v>84</v>
      </c>
      <c r="G156" s="38" t="s">
        <v>130</v>
      </c>
      <c r="H156" s="38">
        <v>3.57696520006846E14</v>
      </c>
      <c r="I156" s="41" t="s">
        <v>78</v>
      </c>
      <c r="J156" s="29"/>
      <c r="K156" s="38" t="s">
        <v>19</v>
      </c>
      <c r="L156" s="29"/>
      <c r="M156" s="29"/>
      <c r="N156" s="29"/>
      <c r="O156" s="43"/>
      <c r="P156" s="29"/>
      <c r="Q156" s="29"/>
      <c r="R156" s="29"/>
      <c r="S156" s="38" t="s">
        <v>116</v>
      </c>
      <c r="T156" s="29"/>
      <c r="U156" s="31"/>
    </row>
    <row r="157">
      <c r="A157" s="31"/>
      <c r="B157" s="32">
        <v>45664.0</v>
      </c>
      <c r="C157" s="33" t="s">
        <v>46</v>
      </c>
      <c r="D157" s="33" t="s">
        <v>31</v>
      </c>
      <c r="E157" s="33" t="s">
        <v>281</v>
      </c>
      <c r="F157" s="33" t="s">
        <v>84</v>
      </c>
      <c r="G157" s="33" t="s">
        <v>295</v>
      </c>
      <c r="H157" s="33">
        <v>3.54267935007085E14</v>
      </c>
      <c r="I157" s="34" t="s">
        <v>78</v>
      </c>
      <c r="J157" s="35"/>
      <c r="K157" s="33" t="s">
        <v>19</v>
      </c>
      <c r="L157" s="35"/>
      <c r="M157" s="35"/>
      <c r="N157" s="35"/>
      <c r="O157" s="42"/>
      <c r="P157" s="35"/>
      <c r="Q157" s="35"/>
      <c r="R157" s="35"/>
      <c r="S157" s="33" t="s">
        <v>116</v>
      </c>
      <c r="T157" s="35"/>
      <c r="U157" s="31"/>
    </row>
    <row r="158">
      <c r="A158" s="31"/>
      <c r="B158" s="37">
        <v>45664.0</v>
      </c>
      <c r="C158" s="38" t="s">
        <v>46</v>
      </c>
      <c r="D158" s="38" t="s">
        <v>31</v>
      </c>
      <c r="E158" s="38" t="s">
        <v>90</v>
      </c>
      <c r="F158" s="38" t="s">
        <v>84</v>
      </c>
      <c r="G158" s="38" t="s">
        <v>134</v>
      </c>
      <c r="H158" s="38">
        <v>3.50009210062151E14</v>
      </c>
      <c r="I158" s="39" t="s">
        <v>88</v>
      </c>
      <c r="J158" s="29"/>
      <c r="K158" s="38" t="s">
        <v>19</v>
      </c>
      <c r="L158" s="29"/>
      <c r="M158" s="29"/>
      <c r="N158" s="29"/>
      <c r="O158" s="43"/>
      <c r="P158" s="29"/>
      <c r="Q158" s="29"/>
      <c r="R158" s="29"/>
      <c r="S158" s="38" t="s">
        <v>116</v>
      </c>
      <c r="T158" s="29"/>
      <c r="U158" s="31"/>
    </row>
    <row r="159">
      <c r="A159" s="31"/>
      <c r="B159" s="32">
        <v>45664.0</v>
      </c>
      <c r="C159" s="33" t="s">
        <v>46</v>
      </c>
      <c r="D159" s="33" t="s">
        <v>31</v>
      </c>
      <c r="E159" s="33" t="s">
        <v>90</v>
      </c>
      <c r="F159" s="33" t="s">
        <v>84</v>
      </c>
      <c r="G159" s="33" t="s">
        <v>134</v>
      </c>
      <c r="H159" s="33">
        <v>3.50009210054786E14</v>
      </c>
      <c r="I159" s="39" t="s">
        <v>88</v>
      </c>
      <c r="J159" s="35"/>
      <c r="K159" s="33" t="s">
        <v>19</v>
      </c>
      <c r="L159" s="35"/>
      <c r="M159" s="35"/>
      <c r="N159" s="35"/>
      <c r="O159" s="42"/>
      <c r="P159" s="35"/>
      <c r="Q159" s="35"/>
      <c r="R159" s="35"/>
      <c r="S159" s="33" t="s">
        <v>116</v>
      </c>
      <c r="T159" s="35"/>
      <c r="U159" s="31"/>
    </row>
    <row r="160">
      <c r="A160" s="31"/>
      <c r="B160" s="37">
        <v>45664.0</v>
      </c>
      <c r="C160" s="38" t="s">
        <v>46</v>
      </c>
      <c r="D160" s="38" t="s">
        <v>31</v>
      </c>
      <c r="E160" s="38" t="s">
        <v>90</v>
      </c>
      <c r="F160" s="38" t="s">
        <v>84</v>
      </c>
      <c r="G160" s="38" t="s">
        <v>134</v>
      </c>
      <c r="H160" s="38">
        <v>3.50009210066285E14</v>
      </c>
      <c r="I160" s="39" t="s">
        <v>88</v>
      </c>
      <c r="J160" s="29"/>
      <c r="K160" s="38" t="s">
        <v>19</v>
      </c>
      <c r="L160" s="29"/>
      <c r="M160" s="29"/>
      <c r="N160" s="29"/>
      <c r="O160" s="43"/>
      <c r="P160" s="29"/>
      <c r="Q160" s="29"/>
      <c r="R160" s="29"/>
      <c r="S160" s="38" t="s">
        <v>116</v>
      </c>
      <c r="T160" s="29"/>
      <c r="U160" s="31"/>
    </row>
    <row r="161">
      <c r="A161" s="31"/>
      <c r="B161" s="32">
        <v>45664.0</v>
      </c>
      <c r="C161" s="33" t="s">
        <v>46</v>
      </c>
      <c r="D161" s="33" t="s">
        <v>31</v>
      </c>
      <c r="E161" s="33" t="s">
        <v>90</v>
      </c>
      <c r="F161" s="33" t="s">
        <v>84</v>
      </c>
      <c r="G161" s="33" t="s">
        <v>136</v>
      </c>
      <c r="H161" s="33">
        <v>3.50009210024854E14</v>
      </c>
      <c r="I161" s="34" t="s">
        <v>78</v>
      </c>
      <c r="J161" s="35"/>
      <c r="K161" s="33" t="s">
        <v>19</v>
      </c>
      <c r="L161" s="35"/>
      <c r="M161" s="35"/>
      <c r="N161" s="35"/>
      <c r="O161" s="42"/>
      <c r="P161" s="35"/>
      <c r="Q161" s="35"/>
      <c r="R161" s="35"/>
      <c r="S161" s="33" t="s">
        <v>116</v>
      </c>
      <c r="T161" s="35"/>
      <c r="U161" s="31"/>
    </row>
    <row r="162">
      <c r="A162" s="31"/>
      <c r="B162" s="37">
        <v>45664.0</v>
      </c>
      <c r="C162" s="38" t="s">
        <v>46</v>
      </c>
      <c r="D162" s="38" t="s">
        <v>31</v>
      </c>
      <c r="E162" s="38" t="s">
        <v>90</v>
      </c>
      <c r="F162" s="38" t="s">
        <v>84</v>
      </c>
      <c r="G162" s="38" t="s">
        <v>113</v>
      </c>
      <c r="H162" s="38">
        <v>3.50009210003775E14</v>
      </c>
      <c r="I162" s="39" t="s">
        <v>88</v>
      </c>
      <c r="J162" s="29"/>
      <c r="K162" s="38" t="s">
        <v>19</v>
      </c>
      <c r="L162" s="29"/>
      <c r="M162" s="29"/>
      <c r="N162" s="29"/>
      <c r="O162" s="43"/>
      <c r="P162" s="29"/>
      <c r="Q162" s="29"/>
      <c r="R162" s="29"/>
      <c r="S162" s="38" t="s">
        <v>116</v>
      </c>
      <c r="T162" s="29"/>
      <c r="U162" s="31"/>
    </row>
    <row r="163">
      <c r="A163" s="31"/>
      <c r="B163" s="32">
        <v>45664.0</v>
      </c>
      <c r="C163" s="33" t="s">
        <v>46</v>
      </c>
      <c r="D163" s="33" t="s">
        <v>31</v>
      </c>
      <c r="E163" s="33" t="s">
        <v>90</v>
      </c>
      <c r="F163" s="33" t="s">
        <v>84</v>
      </c>
      <c r="G163" s="33" t="s">
        <v>134</v>
      </c>
      <c r="H163" s="33">
        <v>3.50009210002454E14</v>
      </c>
      <c r="I163" s="39" t="s">
        <v>88</v>
      </c>
      <c r="J163" s="35"/>
      <c r="K163" s="33" t="s">
        <v>19</v>
      </c>
      <c r="L163" s="35"/>
      <c r="M163" s="35"/>
      <c r="N163" s="35"/>
      <c r="O163" s="42"/>
      <c r="P163" s="35"/>
      <c r="Q163" s="35"/>
      <c r="R163" s="35"/>
      <c r="S163" s="33" t="s">
        <v>116</v>
      </c>
      <c r="T163" s="35"/>
      <c r="U163" s="31"/>
    </row>
    <row r="164">
      <c r="A164" s="31"/>
      <c r="B164" s="37">
        <v>45664.0</v>
      </c>
      <c r="C164" s="38" t="s">
        <v>46</v>
      </c>
      <c r="D164" s="38" t="s">
        <v>31</v>
      </c>
      <c r="E164" s="38" t="s">
        <v>90</v>
      </c>
      <c r="F164" s="38" t="s">
        <v>84</v>
      </c>
      <c r="G164" s="38" t="s">
        <v>136</v>
      </c>
      <c r="H164" s="38">
        <v>3.50009210018567E14</v>
      </c>
      <c r="I164" s="39" t="s">
        <v>88</v>
      </c>
      <c r="J164" s="29"/>
      <c r="K164" s="38" t="s">
        <v>19</v>
      </c>
      <c r="L164" s="29"/>
      <c r="M164" s="29"/>
      <c r="N164" s="29"/>
      <c r="O164" s="43"/>
      <c r="P164" s="29"/>
      <c r="Q164" s="29"/>
      <c r="R164" s="29"/>
      <c r="S164" s="38" t="s">
        <v>116</v>
      </c>
      <c r="T164" s="29"/>
      <c r="U164" s="31"/>
    </row>
    <row r="165">
      <c r="A165" s="31"/>
      <c r="B165" s="44">
        <v>45664.0</v>
      </c>
      <c r="C165" s="33" t="s">
        <v>46</v>
      </c>
      <c r="D165" s="33" t="s">
        <v>31</v>
      </c>
      <c r="E165" s="33" t="s">
        <v>274</v>
      </c>
      <c r="F165" s="33" t="s">
        <v>84</v>
      </c>
      <c r="G165" s="33" t="s">
        <v>120</v>
      </c>
      <c r="H165" s="33">
        <v>3.52722665006105E14</v>
      </c>
      <c r="I165" s="34" t="s">
        <v>296</v>
      </c>
      <c r="J165" s="35"/>
      <c r="K165" s="33" t="s">
        <v>19</v>
      </c>
      <c r="L165" s="35"/>
      <c r="M165" s="35"/>
      <c r="N165" s="35"/>
      <c r="O165" s="42"/>
      <c r="P165" s="35"/>
      <c r="Q165" s="35"/>
      <c r="R165" s="35"/>
      <c r="S165" s="33" t="s">
        <v>116</v>
      </c>
      <c r="T165" s="35"/>
      <c r="U165" s="31"/>
    </row>
    <row r="166">
      <c r="A166" s="31"/>
      <c r="B166" s="44">
        <v>45664.0</v>
      </c>
      <c r="C166" s="38" t="s">
        <v>46</v>
      </c>
      <c r="D166" s="38" t="s">
        <v>31</v>
      </c>
      <c r="E166" s="38" t="s">
        <v>274</v>
      </c>
      <c r="F166" s="38" t="s">
        <v>84</v>
      </c>
      <c r="G166" s="38" t="s">
        <v>122</v>
      </c>
      <c r="H166" s="38">
        <v>3.52722665041466E14</v>
      </c>
      <c r="I166" s="41" t="s">
        <v>296</v>
      </c>
      <c r="J166" s="29"/>
      <c r="K166" s="38" t="s">
        <v>19</v>
      </c>
      <c r="L166" s="29"/>
      <c r="M166" s="29"/>
      <c r="N166" s="29"/>
      <c r="O166" s="43"/>
      <c r="P166" s="29"/>
      <c r="Q166" s="29"/>
      <c r="R166" s="29"/>
      <c r="S166" s="38" t="s">
        <v>116</v>
      </c>
      <c r="T166" s="29"/>
      <c r="U166" s="31"/>
    </row>
    <row r="167">
      <c r="A167" s="31"/>
      <c r="B167" s="44">
        <v>45664.0</v>
      </c>
      <c r="C167" s="33" t="s">
        <v>46</v>
      </c>
      <c r="D167" s="33" t="s">
        <v>31</v>
      </c>
      <c r="E167" s="33" t="s">
        <v>274</v>
      </c>
      <c r="F167" s="33" t="s">
        <v>293</v>
      </c>
      <c r="G167" s="33" t="s">
        <v>124</v>
      </c>
      <c r="H167" s="33">
        <v>3.53892182010341E14</v>
      </c>
      <c r="I167" s="34" t="s">
        <v>296</v>
      </c>
      <c r="J167" s="35"/>
      <c r="K167" s="33" t="s">
        <v>19</v>
      </c>
      <c r="L167" s="35"/>
      <c r="M167" s="35"/>
      <c r="N167" s="35"/>
      <c r="O167" s="42"/>
      <c r="P167" s="35"/>
      <c r="Q167" s="35"/>
      <c r="R167" s="35"/>
      <c r="S167" s="33" t="s">
        <v>116</v>
      </c>
      <c r="T167" s="35"/>
      <c r="U167" s="31"/>
    </row>
    <row r="168">
      <c r="A168" s="31"/>
      <c r="B168" s="37">
        <v>45664.0</v>
      </c>
      <c r="C168" s="38" t="s">
        <v>46</v>
      </c>
      <c r="D168" s="38" t="s">
        <v>31</v>
      </c>
      <c r="E168" s="38" t="s">
        <v>274</v>
      </c>
      <c r="F168" s="38" t="s">
        <v>293</v>
      </c>
      <c r="G168" s="38" t="s">
        <v>122</v>
      </c>
      <c r="H168" s="38">
        <v>3.53892182042898E14</v>
      </c>
      <c r="I168" s="41" t="s">
        <v>78</v>
      </c>
      <c r="J168" s="29"/>
      <c r="K168" s="38" t="s">
        <v>19</v>
      </c>
      <c r="L168" s="29"/>
      <c r="M168" s="29"/>
      <c r="N168" s="29"/>
      <c r="O168" s="43"/>
      <c r="P168" s="29"/>
      <c r="Q168" s="29"/>
      <c r="R168" s="29"/>
      <c r="S168" s="38" t="s">
        <v>116</v>
      </c>
      <c r="T168" s="29"/>
      <c r="U168" s="31"/>
    </row>
    <row r="169">
      <c r="A169" s="31"/>
      <c r="B169" s="44">
        <v>45664.0</v>
      </c>
      <c r="C169" s="33" t="s">
        <v>50</v>
      </c>
      <c r="D169" s="33" t="s">
        <v>31</v>
      </c>
      <c r="E169" s="33" t="s">
        <v>282</v>
      </c>
      <c r="F169" s="33" t="s">
        <v>76</v>
      </c>
      <c r="G169" s="33" t="s">
        <v>118</v>
      </c>
      <c r="H169" s="33">
        <v>3.55735480013889E14</v>
      </c>
      <c r="I169" s="34" t="s">
        <v>78</v>
      </c>
      <c r="J169" s="35"/>
      <c r="K169" s="35"/>
      <c r="L169" s="35"/>
      <c r="M169" s="35"/>
      <c r="N169" s="35"/>
      <c r="O169" s="42"/>
      <c r="P169" s="35"/>
      <c r="Q169" s="35"/>
      <c r="R169" s="35"/>
      <c r="S169" s="33" t="s">
        <v>116</v>
      </c>
      <c r="T169" s="35"/>
      <c r="U169" s="31"/>
    </row>
    <row r="170">
      <c r="A170" s="31"/>
      <c r="B170" s="37">
        <v>45664.0</v>
      </c>
      <c r="C170" s="38" t="s">
        <v>50</v>
      </c>
      <c r="D170" s="38" t="s">
        <v>31</v>
      </c>
      <c r="E170" s="38" t="s">
        <v>297</v>
      </c>
      <c r="F170" s="38" t="s">
        <v>84</v>
      </c>
      <c r="G170" s="38" t="s">
        <v>298</v>
      </c>
      <c r="H170" s="38">
        <v>3.59890570287368E14</v>
      </c>
      <c r="I170" s="41" t="s">
        <v>78</v>
      </c>
      <c r="J170" s="29"/>
      <c r="K170" s="38" t="s">
        <v>19</v>
      </c>
      <c r="L170" s="29"/>
      <c r="M170" s="29"/>
      <c r="N170" s="29"/>
      <c r="O170" s="43"/>
      <c r="P170" s="29"/>
      <c r="Q170" s="29"/>
      <c r="R170" s="29"/>
      <c r="S170" s="38" t="s">
        <v>116</v>
      </c>
      <c r="T170" s="29"/>
      <c r="U170" s="31"/>
    </row>
    <row r="171">
      <c r="A171" s="31"/>
      <c r="B171" s="32">
        <v>45664.0</v>
      </c>
      <c r="C171" s="33" t="s">
        <v>49</v>
      </c>
      <c r="D171" s="33" t="s">
        <v>31</v>
      </c>
      <c r="E171" s="33" t="s">
        <v>279</v>
      </c>
      <c r="F171" s="33" t="s">
        <v>262</v>
      </c>
      <c r="G171" s="33" t="s">
        <v>176</v>
      </c>
      <c r="H171" s="33">
        <v>3.52978780008166E14</v>
      </c>
      <c r="I171" s="34" t="s">
        <v>78</v>
      </c>
      <c r="J171" s="35"/>
      <c r="K171" s="35"/>
      <c r="L171" s="35"/>
      <c r="M171" s="35"/>
      <c r="N171" s="35"/>
      <c r="O171" s="42"/>
      <c r="P171" s="35"/>
      <c r="Q171" s="35"/>
      <c r="R171" s="35"/>
      <c r="S171" s="33" t="s">
        <v>116</v>
      </c>
      <c r="T171" s="35"/>
      <c r="U171" s="31"/>
    </row>
    <row r="172">
      <c r="A172" s="31"/>
      <c r="B172" s="37">
        <v>45664.0</v>
      </c>
      <c r="C172" s="38" t="s">
        <v>49</v>
      </c>
      <c r="D172" s="38" t="s">
        <v>31</v>
      </c>
      <c r="E172" s="38" t="s">
        <v>279</v>
      </c>
      <c r="F172" s="38" t="s">
        <v>262</v>
      </c>
      <c r="G172" s="38" t="s">
        <v>176</v>
      </c>
      <c r="H172" s="38">
        <v>3.5297878001079E14</v>
      </c>
      <c r="I172" s="41" t="s">
        <v>78</v>
      </c>
      <c r="J172" s="29"/>
      <c r="K172" s="29"/>
      <c r="L172" s="29"/>
      <c r="M172" s="29"/>
      <c r="N172" s="29"/>
      <c r="O172" s="43"/>
      <c r="P172" s="29"/>
      <c r="Q172" s="29"/>
      <c r="R172" s="29"/>
      <c r="S172" s="38" t="s">
        <v>116</v>
      </c>
      <c r="T172" s="29"/>
      <c r="U172" s="31"/>
    </row>
    <row r="173">
      <c r="A173" s="31"/>
      <c r="B173" s="32">
        <v>45664.0</v>
      </c>
      <c r="C173" s="33" t="s">
        <v>49</v>
      </c>
      <c r="D173" s="33" t="s">
        <v>31</v>
      </c>
      <c r="E173" s="33" t="s">
        <v>279</v>
      </c>
      <c r="F173" s="33" t="s">
        <v>262</v>
      </c>
      <c r="G173" s="33" t="s">
        <v>176</v>
      </c>
      <c r="H173" s="33">
        <v>3.5297878000428E14</v>
      </c>
      <c r="I173" s="34" t="s">
        <v>78</v>
      </c>
      <c r="J173" s="35"/>
      <c r="K173" s="35"/>
      <c r="L173" s="35"/>
      <c r="M173" s="35"/>
      <c r="N173" s="35"/>
      <c r="O173" s="42"/>
      <c r="P173" s="35"/>
      <c r="Q173" s="35"/>
      <c r="R173" s="35"/>
      <c r="S173" s="33" t="s">
        <v>116</v>
      </c>
      <c r="T173" s="35"/>
      <c r="U173" s="31"/>
    </row>
    <row r="174">
      <c r="A174" s="31"/>
      <c r="B174" s="37">
        <v>45664.0</v>
      </c>
      <c r="C174" s="38" t="s">
        <v>43</v>
      </c>
      <c r="D174" s="38" t="s">
        <v>42</v>
      </c>
      <c r="E174" s="38" t="s">
        <v>148</v>
      </c>
      <c r="F174" s="38" t="s">
        <v>152</v>
      </c>
      <c r="G174" s="38" t="s">
        <v>149</v>
      </c>
      <c r="H174" s="38" t="s">
        <v>150</v>
      </c>
      <c r="I174" s="41" t="s">
        <v>296</v>
      </c>
      <c r="J174" s="29"/>
      <c r="K174" s="38" t="s">
        <v>19</v>
      </c>
      <c r="L174" s="29"/>
      <c r="M174" s="29"/>
      <c r="N174" s="29"/>
      <c r="O174" s="43"/>
      <c r="P174" s="29"/>
      <c r="Q174" s="29"/>
      <c r="R174" s="29"/>
      <c r="S174" s="38" t="s">
        <v>116</v>
      </c>
      <c r="T174" s="29"/>
      <c r="U174" s="31"/>
    </row>
    <row r="175">
      <c r="A175" s="31"/>
      <c r="B175" s="32">
        <v>45664.0</v>
      </c>
      <c r="C175" s="33" t="s">
        <v>43</v>
      </c>
      <c r="D175" s="33" t="s">
        <v>17</v>
      </c>
      <c r="E175" s="33" t="s">
        <v>159</v>
      </c>
      <c r="F175" s="33" t="s">
        <v>262</v>
      </c>
      <c r="G175" s="33" t="s">
        <v>262</v>
      </c>
      <c r="H175" s="33" t="s">
        <v>161</v>
      </c>
      <c r="I175" s="34" t="s">
        <v>78</v>
      </c>
      <c r="J175" s="35"/>
      <c r="K175" s="33" t="s">
        <v>11</v>
      </c>
      <c r="L175" s="35"/>
      <c r="M175" s="35"/>
      <c r="N175" s="35"/>
      <c r="O175" s="42"/>
      <c r="P175" s="35"/>
      <c r="Q175" s="35"/>
      <c r="R175" s="35"/>
      <c r="S175" s="33" t="s">
        <v>116</v>
      </c>
      <c r="T175" s="35"/>
      <c r="U175" s="31"/>
    </row>
    <row r="176">
      <c r="A176" s="31"/>
      <c r="B176" s="37">
        <v>45664.0</v>
      </c>
      <c r="C176" s="29"/>
      <c r="D176" s="38" t="s">
        <v>17</v>
      </c>
      <c r="E176" s="38" t="s">
        <v>299</v>
      </c>
      <c r="F176" s="38" t="s">
        <v>262</v>
      </c>
      <c r="G176" s="38" t="s">
        <v>262</v>
      </c>
      <c r="H176" s="38" t="s">
        <v>300</v>
      </c>
      <c r="I176" s="41" t="s">
        <v>86</v>
      </c>
      <c r="J176" s="38" t="s">
        <v>301</v>
      </c>
      <c r="K176" s="38" t="s">
        <v>19</v>
      </c>
      <c r="L176" s="29"/>
      <c r="M176" s="29"/>
      <c r="N176" s="29"/>
      <c r="O176" s="43"/>
      <c r="P176" s="29"/>
      <c r="Q176" s="29"/>
      <c r="R176" s="29"/>
      <c r="S176" s="38" t="s">
        <v>116</v>
      </c>
      <c r="T176" s="29"/>
      <c r="U176" s="31"/>
    </row>
    <row r="177">
      <c r="A177" s="31"/>
      <c r="B177" s="32">
        <v>45664.0</v>
      </c>
      <c r="C177" s="35"/>
      <c r="D177" s="33" t="s">
        <v>17</v>
      </c>
      <c r="E177" s="33" t="s">
        <v>299</v>
      </c>
      <c r="F177" s="33" t="s">
        <v>262</v>
      </c>
      <c r="G177" s="33" t="s">
        <v>262</v>
      </c>
      <c r="H177" s="33" t="s">
        <v>302</v>
      </c>
      <c r="I177" s="34" t="s">
        <v>78</v>
      </c>
      <c r="J177" s="33" t="s">
        <v>236</v>
      </c>
      <c r="K177" s="33" t="s">
        <v>19</v>
      </c>
      <c r="L177" s="35"/>
      <c r="M177" s="35"/>
      <c r="N177" s="35"/>
      <c r="O177" s="42"/>
      <c r="P177" s="35"/>
      <c r="Q177" s="35"/>
      <c r="R177" s="35"/>
      <c r="S177" s="33" t="s">
        <v>116</v>
      </c>
      <c r="T177" s="35"/>
      <c r="U177" s="31"/>
    </row>
    <row r="178">
      <c r="A178" s="31"/>
      <c r="B178" s="37">
        <v>45664.0</v>
      </c>
      <c r="C178" s="29"/>
      <c r="D178" s="38" t="s">
        <v>17</v>
      </c>
      <c r="E178" s="38" t="s">
        <v>299</v>
      </c>
      <c r="F178" s="38" t="s">
        <v>262</v>
      </c>
      <c r="G178" s="38" t="s">
        <v>262</v>
      </c>
      <c r="H178" s="38" t="s">
        <v>303</v>
      </c>
      <c r="I178" s="41" t="s">
        <v>86</v>
      </c>
      <c r="J178" s="38" t="s">
        <v>304</v>
      </c>
      <c r="K178" s="38" t="s">
        <v>19</v>
      </c>
      <c r="L178" s="29"/>
      <c r="M178" s="29"/>
      <c r="N178" s="29"/>
      <c r="O178" s="43"/>
      <c r="P178" s="29"/>
      <c r="Q178" s="29"/>
      <c r="R178" s="29"/>
      <c r="S178" s="38" t="s">
        <v>116</v>
      </c>
      <c r="T178" s="29"/>
      <c r="U178" s="31"/>
    </row>
    <row r="179">
      <c r="A179" s="31"/>
      <c r="B179" s="32">
        <v>45664.0</v>
      </c>
      <c r="C179" s="35"/>
      <c r="D179" s="33" t="s">
        <v>17</v>
      </c>
      <c r="E179" s="33" t="s">
        <v>182</v>
      </c>
      <c r="F179" s="33" t="s">
        <v>262</v>
      </c>
      <c r="G179" s="33" t="s">
        <v>262</v>
      </c>
      <c r="H179" s="33" t="s">
        <v>305</v>
      </c>
      <c r="I179" s="34" t="s">
        <v>78</v>
      </c>
      <c r="J179" s="35"/>
      <c r="K179" s="33" t="s">
        <v>19</v>
      </c>
      <c r="L179" s="35"/>
      <c r="M179" s="35"/>
      <c r="N179" s="35"/>
      <c r="O179" s="42"/>
      <c r="P179" s="35"/>
      <c r="Q179" s="35"/>
      <c r="R179" s="35"/>
      <c r="S179" s="33" t="s">
        <v>116</v>
      </c>
      <c r="T179" s="35"/>
      <c r="U179" s="31"/>
    </row>
    <row r="180">
      <c r="A180" s="31"/>
      <c r="B180" s="37">
        <v>45664.0</v>
      </c>
      <c r="C180" s="29"/>
      <c r="D180" s="38" t="s">
        <v>17</v>
      </c>
      <c r="E180" s="38" t="s">
        <v>182</v>
      </c>
      <c r="F180" s="38" t="s">
        <v>262</v>
      </c>
      <c r="G180" s="38" t="s">
        <v>262</v>
      </c>
      <c r="H180" s="38" t="s">
        <v>306</v>
      </c>
      <c r="I180" s="41" t="s">
        <v>78</v>
      </c>
      <c r="J180" s="29"/>
      <c r="K180" s="38" t="s">
        <v>19</v>
      </c>
      <c r="L180" s="29"/>
      <c r="M180" s="29"/>
      <c r="N180" s="29"/>
      <c r="O180" s="43"/>
      <c r="P180" s="29"/>
      <c r="Q180" s="29"/>
      <c r="R180" s="29"/>
      <c r="S180" s="38" t="s">
        <v>116</v>
      </c>
      <c r="T180" s="29"/>
      <c r="U180" s="31"/>
    </row>
    <row r="181">
      <c r="A181" s="31"/>
      <c r="B181" s="32">
        <v>45664.0</v>
      </c>
      <c r="C181" s="35"/>
      <c r="D181" s="33" t="s">
        <v>17</v>
      </c>
      <c r="E181" s="33" t="s">
        <v>307</v>
      </c>
      <c r="F181" s="33" t="s">
        <v>262</v>
      </c>
      <c r="G181" s="33" t="s">
        <v>103</v>
      </c>
      <c r="H181" s="33" t="s">
        <v>202</v>
      </c>
      <c r="I181" s="34" t="s">
        <v>78</v>
      </c>
      <c r="J181" s="35"/>
      <c r="K181" s="33" t="s">
        <v>19</v>
      </c>
      <c r="L181" s="35"/>
      <c r="M181" s="35"/>
      <c r="N181" s="35"/>
      <c r="O181" s="42"/>
      <c r="P181" s="35"/>
      <c r="Q181" s="35"/>
      <c r="R181" s="35"/>
      <c r="S181" s="33" t="s">
        <v>116</v>
      </c>
      <c r="T181" s="35"/>
      <c r="U181" s="31"/>
    </row>
    <row r="182">
      <c r="A182" s="31"/>
      <c r="B182" s="37">
        <v>45664.0</v>
      </c>
      <c r="C182" s="29"/>
      <c r="D182" s="38" t="s">
        <v>17</v>
      </c>
      <c r="E182" s="38" t="s">
        <v>308</v>
      </c>
      <c r="F182" s="38" t="s">
        <v>262</v>
      </c>
      <c r="G182" s="38" t="s">
        <v>262</v>
      </c>
      <c r="H182" s="38" t="s">
        <v>309</v>
      </c>
      <c r="I182" s="41" t="s">
        <v>78</v>
      </c>
      <c r="J182" s="29"/>
      <c r="K182" s="38" t="s">
        <v>19</v>
      </c>
      <c r="L182" s="29"/>
      <c r="M182" s="29"/>
      <c r="N182" s="29"/>
      <c r="O182" s="43"/>
      <c r="P182" s="29"/>
      <c r="Q182" s="29"/>
      <c r="R182" s="29"/>
      <c r="S182" s="38" t="s">
        <v>116</v>
      </c>
      <c r="T182" s="29"/>
      <c r="U182" s="31"/>
    </row>
    <row r="183">
      <c r="A183" s="31"/>
      <c r="B183" s="32">
        <v>45664.0</v>
      </c>
      <c r="C183" s="35"/>
      <c r="D183" s="33" t="s">
        <v>17</v>
      </c>
      <c r="E183" s="33" t="s">
        <v>308</v>
      </c>
      <c r="F183" s="33" t="s">
        <v>262</v>
      </c>
      <c r="G183" s="33" t="s">
        <v>262</v>
      </c>
      <c r="H183" s="33" t="s">
        <v>310</v>
      </c>
      <c r="I183" s="34" t="s">
        <v>78</v>
      </c>
      <c r="J183" s="35"/>
      <c r="K183" s="33" t="s">
        <v>19</v>
      </c>
      <c r="L183" s="35"/>
      <c r="M183" s="35"/>
      <c r="N183" s="35"/>
      <c r="O183" s="42"/>
      <c r="P183" s="35"/>
      <c r="Q183" s="35"/>
      <c r="R183" s="35"/>
      <c r="S183" s="33" t="s">
        <v>116</v>
      </c>
      <c r="T183" s="35"/>
      <c r="U183" s="31"/>
    </row>
    <row r="184">
      <c r="A184" s="31"/>
      <c r="B184" s="37">
        <v>45664.0</v>
      </c>
      <c r="C184" s="29"/>
      <c r="D184" s="38" t="s">
        <v>17</v>
      </c>
      <c r="E184" s="38" t="s">
        <v>308</v>
      </c>
      <c r="F184" s="38" t="s">
        <v>262</v>
      </c>
      <c r="G184" s="38" t="s">
        <v>262</v>
      </c>
      <c r="H184" s="38" t="s">
        <v>311</v>
      </c>
      <c r="I184" s="41" t="s">
        <v>78</v>
      </c>
      <c r="J184" s="29"/>
      <c r="K184" s="38" t="s">
        <v>19</v>
      </c>
      <c r="L184" s="29"/>
      <c r="M184" s="29"/>
      <c r="N184" s="29"/>
      <c r="O184" s="43"/>
      <c r="P184" s="29"/>
      <c r="Q184" s="29"/>
      <c r="R184" s="29"/>
      <c r="S184" s="38" t="s">
        <v>116</v>
      </c>
      <c r="T184" s="29"/>
      <c r="U184" s="31"/>
    </row>
    <row r="185">
      <c r="A185" s="31"/>
      <c r="B185" s="32">
        <v>45664.0</v>
      </c>
      <c r="C185" s="35"/>
      <c r="D185" s="33" t="s">
        <v>17</v>
      </c>
      <c r="E185" s="33" t="s">
        <v>308</v>
      </c>
      <c r="F185" s="33" t="s">
        <v>262</v>
      </c>
      <c r="G185" s="33" t="s">
        <v>262</v>
      </c>
      <c r="H185" s="33" t="s">
        <v>312</v>
      </c>
      <c r="I185" s="34" t="s">
        <v>78</v>
      </c>
      <c r="J185" s="35"/>
      <c r="K185" s="33" t="s">
        <v>19</v>
      </c>
      <c r="L185" s="35"/>
      <c r="M185" s="35"/>
      <c r="N185" s="35"/>
      <c r="O185" s="42"/>
      <c r="P185" s="35"/>
      <c r="Q185" s="35"/>
      <c r="R185" s="35"/>
      <c r="S185" s="33" t="s">
        <v>116</v>
      </c>
      <c r="T185" s="35"/>
      <c r="U185" s="31"/>
    </row>
    <row r="186">
      <c r="A186" s="31"/>
      <c r="B186" s="37">
        <v>45664.0</v>
      </c>
      <c r="C186" s="29"/>
      <c r="D186" s="38" t="s">
        <v>17</v>
      </c>
      <c r="E186" s="38" t="s">
        <v>185</v>
      </c>
      <c r="F186" s="38" t="s">
        <v>262</v>
      </c>
      <c r="G186" s="38" t="s">
        <v>262</v>
      </c>
      <c r="H186" s="38">
        <v>8.800240238179E12</v>
      </c>
      <c r="I186" s="41" t="s">
        <v>78</v>
      </c>
      <c r="J186" s="29"/>
      <c r="K186" s="38" t="s">
        <v>19</v>
      </c>
      <c r="L186" s="29"/>
      <c r="M186" s="29"/>
      <c r="N186" s="29"/>
      <c r="O186" s="43"/>
      <c r="P186" s="29"/>
      <c r="Q186" s="29"/>
      <c r="R186" s="29"/>
      <c r="S186" s="38" t="s">
        <v>116</v>
      </c>
      <c r="T186" s="29"/>
      <c r="U186" s="31"/>
    </row>
    <row r="187">
      <c r="A187" s="31"/>
      <c r="B187" s="32">
        <v>45664.0</v>
      </c>
      <c r="C187" s="35"/>
      <c r="D187" s="33" t="s">
        <v>17</v>
      </c>
      <c r="E187" s="33" t="s">
        <v>198</v>
      </c>
      <c r="F187" s="33" t="s">
        <v>262</v>
      </c>
      <c r="G187" s="33" t="s">
        <v>169</v>
      </c>
      <c r="H187" s="33" t="s">
        <v>199</v>
      </c>
      <c r="I187" s="34" t="s">
        <v>86</v>
      </c>
      <c r="J187" s="33" t="s">
        <v>313</v>
      </c>
      <c r="K187" s="33" t="s">
        <v>19</v>
      </c>
      <c r="L187" s="35"/>
      <c r="M187" s="35"/>
      <c r="N187" s="35"/>
      <c r="O187" s="42"/>
      <c r="P187" s="35"/>
      <c r="Q187" s="35"/>
      <c r="R187" s="35"/>
      <c r="S187" s="33" t="s">
        <v>116</v>
      </c>
      <c r="T187" s="35"/>
      <c r="U187" s="31"/>
    </row>
    <row r="188">
      <c r="A188" s="31"/>
      <c r="B188" s="37">
        <v>45664.0</v>
      </c>
      <c r="C188" s="38" t="s">
        <v>128</v>
      </c>
      <c r="D188" s="38" t="s">
        <v>314</v>
      </c>
      <c r="E188" s="38" t="s">
        <v>260</v>
      </c>
      <c r="F188" s="38" t="s">
        <v>262</v>
      </c>
      <c r="G188" s="38" t="s">
        <v>262</v>
      </c>
      <c r="H188" s="38" t="s">
        <v>315</v>
      </c>
      <c r="I188" s="39" t="s">
        <v>88</v>
      </c>
      <c r="J188" s="29"/>
      <c r="K188" s="29"/>
      <c r="L188" s="37">
        <v>45664.0</v>
      </c>
      <c r="M188" s="29"/>
      <c r="N188" s="29"/>
      <c r="O188" s="43"/>
      <c r="P188" s="37">
        <v>45667.0</v>
      </c>
      <c r="Q188" s="38" t="s">
        <v>131</v>
      </c>
      <c r="R188" s="38" t="s">
        <v>95</v>
      </c>
      <c r="S188" s="38" t="s">
        <v>116</v>
      </c>
      <c r="T188" s="29"/>
      <c r="U188" s="31"/>
    </row>
    <row r="189">
      <c r="A189" s="31"/>
      <c r="B189" s="32">
        <v>45664.0</v>
      </c>
      <c r="C189" s="33" t="s">
        <v>128</v>
      </c>
      <c r="D189" s="33" t="s">
        <v>314</v>
      </c>
      <c r="E189" s="33" t="s">
        <v>260</v>
      </c>
      <c r="F189" s="33" t="s">
        <v>262</v>
      </c>
      <c r="G189" s="33" t="s">
        <v>262</v>
      </c>
      <c r="H189" s="33" t="s">
        <v>316</v>
      </c>
      <c r="I189" s="39" t="s">
        <v>88</v>
      </c>
      <c r="J189" s="35"/>
      <c r="K189" s="35"/>
      <c r="L189" s="32">
        <v>45664.0</v>
      </c>
      <c r="M189" s="35"/>
      <c r="N189" s="35"/>
      <c r="O189" s="42"/>
      <c r="P189" s="35"/>
      <c r="Q189" s="35"/>
      <c r="R189" s="35"/>
      <c r="S189" s="33" t="s">
        <v>116</v>
      </c>
      <c r="T189" s="35"/>
      <c r="U189" s="31"/>
    </row>
    <row r="190">
      <c r="A190" s="31"/>
      <c r="B190" s="37">
        <v>45677.0</v>
      </c>
      <c r="C190" s="29"/>
      <c r="D190" s="38" t="s">
        <v>31</v>
      </c>
      <c r="E190" s="38" t="s">
        <v>317</v>
      </c>
      <c r="F190" s="38" t="s">
        <v>318</v>
      </c>
      <c r="G190" s="38" t="s">
        <v>284</v>
      </c>
      <c r="H190" s="38">
        <v>3.51182450132809E14</v>
      </c>
      <c r="I190" s="39" t="s">
        <v>88</v>
      </c>
      <c r="J190" s="29"/>
      <c r="K190" s="29"/>
      <c r="L190" s="29"/>
      <c r="M190" s="29"/>
      <c r="N190" s="38" t="s">
        <v>81</v>
      </c>
      <c r="O190" s="43"/>
      <c r="P190" s="37">
        <v>45677.0</v>
      </c>
      <c r="Q190" s="29"/>
      <c r="R190" s="38" t="s">
        <v>80</v>
      </c>
      <c r="S190" s="29"/>
      <c r="T190" s="29"/>
      <c r="U190" s="31"/>
    </row>
    <row r="191">
      <c r="A191" s="31"/>
      <c r="B191" s="32">
        <v>45677.0</v>
      </c>
      <c r="C191" s="35"/>
      <c r="D191" s="33" t="s">
        <v>31</v>
      </c>
      <c r="E191" s="33" t="s">
        <v>317</v>
      </c>
      <c r="F191" s="33" t="s">
        <v>318</v>
      </c>
      <c r="G191" s="33" t="s">
        <v>319</v>
      </c>
      <c r="H191" s="33">
        <v>3.51182450349619E14</v>
      </c>
      <c r="I191" s="39" t="s">
        <v>88</v>
      </c>
      <c r="J191" s="35"/>
      <c r="K191" s="35"/>
      <c r="L191" s="35"/>
      <c r="M191" s="35"/>
      <c r="N191" s="33" t="s">
        <v>81</v>
      </c>
      <c r="O191" s="42"/>
      <c r="P191" s="32">
        <v>45677.0</v>
      </c>
      <c r="Q191" s="35"/>
      <c r="R191" s="33" t="s">
        <v>80</v>
      </c>
      <c r="S191" s="35"/>
      <c r="T191" s="35"/>
      <c r="U191" s="31"/>
    </row>
    <row r="192">
      <c r="A192" s="31"/>
      <c r="B192" s="37">
        <v>45677.0</v>
      </c>
      <c r="C192" s="29"/>
      <c r="D192" s="38" t="s">
        <v>31</v>
      </c>
      <c r="E192" s="38" t="s">
        <v>317</v>
      </c>
      <c r="F192" s="38" t="s">
        <v>318</v>
      </c>
      <c r="G192" s="38" t="s">
        <v>284</v>
      </c>
      <c r="H192" s="38">
        <v>3.51182450132825E14</v>
      </c>
      <c r="I192" s="39" t="s">
        <v>88</v>
      </c>
      <c r="J192" s="29"/>
      <c r="K192" s="29"/>
      <c r="L192" s="29"/>
      <c r="M192" s="29"/>
      <c r="N192" s="38" t="s">
        <v>81</v>
      </c>
      <c r="O192" s="43"/>
      <c r="P192" s="37">
        <v>45677.0</v>
      </c>
      <c r="Q192" s="29"/>
      <c r="R192" s="38" t="s">
        <v>80</v>
      </c>
      <c r="S192" s="29"/>
      <c r="T192" s="29"/>
      <c r="U192" s="31"/>
    </row>
    <row r="193">
      <c r="A193" s="31"/>
      <c r="B193" s="32">
        <v>45680.0</v>
      </c>
      <c r="C193" s="35"/>
      <c r="D193" s="33" t="s">
        <v>31</v>
      </c>
      <c r="E193" s="33" t="s">
        <v>278</v>
      </c>
      <c r="F193" s="33" t="s">
        <v>318</v>
      </c>
      <c r="G193" s="33" t="s">
        <v>129</v>
      </c>
      <c r="H193" s="33">
        <v>3.54267935002714E14</v>
      </c>
      <c r="I193" s="39" t="s">
        <v>88</v>
      </c>
      <c r="J193" s="35"/>
      <c r="K193" s="35"/>
      <c r="L193" s="35"/>
      <c r="M193" s="35"/>
      <c r="N193" s="33" t="s">
        <v>81</v>
      </c>
      <c r="O193" s="42"/>
      <c r="P193" s="35"/>
      <c r="Q193" s="35"/>
      <c r="R193" s="35"/>
      <c r="S193" s="35"/>
      <c r="T193" s="35"/>
      <c r="U193" s="31"/>
    </row>
    <row r="194">
      <c r="A194" s="31"/>
      <c r="B194" s="37">
        <v>45645.0</v>
      </c>
      <c r="C194" s="38" t="s">
        <v>50</v>
      </c>
      <c r="D194" s="38" t="s">
        <v>31</v>
      </c>
      <c r="E194" s="38" t="s">
        <v>320</v>
      </c>
      <c r="F194" s="38" t="s">
        <v>84</v>
      </c>
      <c r="G194" s="38" t="s">
        <v>77</v>
      </c>
      <c r="H194" s="47">
        <v>3.58899540109223E14</v>
      </c>
      <c r="I194" s="41" t="s">
        <v>78</v>
      </c>
      <c r="J194" s="29"/>
      <c r="K194" s="38" t="s">
        <v>79</v>
      </c>
      <c r="L194" s="29"/>
      <c r="M194" s="29"/>
      <c r="N194" s="29"/>
      <c r="O194" s="43"/>
      <c r="P194" s="29"/>
      <c r="Q194" s="29"/>
      <c r="R194" s="38" t="e">
        <v>#VALUE!</v>
      </c>
      <c r="S194" s="29"/>
      <c r="T194" s="29"/>
      <c r="U194" s="31"/>
    </row>
    <row r="195">
      <c r="A195" s="31"/>
      <c r="B195" s="32">
        <v>45645.0</v>
      </c>
      <c r="C195" s="33" t="s">
        <v>50</v>
      </c>
      <c r="D195" s="33" t="s">
        <v>31</v>
      </c>
      <c r="E195" s="33" t="s">
        <v>320</v>
      </c>
      <c r="F195" s="33" t="s">
        <v>84</v>
      </c>
      <c r="G195" s="33" t="s">
        <v>321</v>
      </c>
      <c r="H195" s="33">
        <v>3.55735480015728E14</v>
      </c>
      <c r="I195" s="34" t="s">
        <v>78</v>
      </c>
      <c r="J195" s="35"/>
      <c r="K195" s="33" t="s">
        <v>79</v>
      </c>
      <c r="L195" s="35"/>
      <c r="M195" s="35"/>
      <c r="N195" s="35"/>
      <c r="O195" s="42"/>
      <c r="P195" s="35"/>
      <c r="Q195" s="35"/>
      <c r="R195" s="33" t="e">
        <v>#VALUE!</v>
      </c>
      <c r="S195" s="35"/>
      <c r="T195" s="35"/>
      <c r="U195" s="31"/>
    </row>
    <row r="196">
      <c r="A196" s="31"/>
      <c r="B196" s="37">
        <v>45645.0</v>
      </c>
      <c r="C196" s="38" t="s">
        <v>50</v>
      </c>
      <c r="D196" s="38" t="s">
        <v>31</v>
      </c>
      <c r="E196" s="38" t="s">
        <v>320</v>
      </c>
      <c r="F196" s="38" t="s">
        <v>84</v>
      </c>
      <c r="G196" s="38" t="s">
        <v>77</v>
      </c>
      <c r="H196" s="47">
        <v>3.58899540110999E14</v>
      </c>
      <c r="I196" s="41" t="s">
        <v>78</v>
      </c>
      <c r="J196" s="29"/>
      <c r="K196" s="38" t="s">
        <v>79</v>
      </c>
      <c r="L196" s="29"/>
      <c r="M196" s="29"/>
      <c r="N196" s="29"/>
      <c r="O196" s="43"/>
      <c r="P196" s="29"/>
      <c r="Q196" s="29"/>
      <c r="R196" s="38" t="e">
        <v>#VALUE!</v>
      </c>
      <c r="S196" s="29"/>
      <c r="T196" s="29"/>
      <c r="U196" s="31"/>
    </row>
    <row r="197">
      <c r="A197" s="31"/>
      <c r="B197" s="32">
        <v>45645.0</v>
      </c>
      <c r="C197" s="33" t="s">
        <v>50</v>
      </c>
      <c r="D197" s="33" t="s">
        <v>31</v>
      </c>
      <c r="E197" s="33" t="s">
        <v>320</v>
      </c>
      <c r="F197" s="33" t="s">
        <v>84</v>
      </c>
      <c r="G197" s="33" t="s">
        <v>322</v>
      </c>
      <c r="H197" s="33">
        <v>3.58899540124396E14</v>
      </c>
      <c r="I197" s="34" t="s">
        <v>78</v>
      </c>
      <c r="J197" s="35"/>
      <c r="K197" s="33" t="s">
        <v>79</v>
      </c>
      <c r="L197" s="35"/>
      <c r="M197" s="35"/>
      <c r="N197" s="35"/>
      <c r="O197" s="42"/>
      <c r="P197" s="35"/>
      <c r="Q197" s="35"/>
      <c r="R197" s="33" t="e">
        <v>#VALUE!</v>
      </c>
      <c r="S197" s="35"/>
      <c r="T197" s="35"/>
      <c r="U197" s="31"/>
    </row>
    <row r="198">
      <c r="A198" s="31"/>
      <c r="B198" s="37">
        <v>45645.0</v>
      </c>
      <c r="C198" s="38" t="s">
        <v>50</v>
      </c>
      <c r="D198" s="38" t="s">
        <v>31</v>
      </c>
      <c r="E198" s="38" t="s">
        <v>320</v>
      </c>
      <c r="F198" s="38" t="s">
        <v>84</v>
      </c>
      <c r="G198" s="38" t="s">
        <v>323</v>
      </c>
      <c r="H198" s="38">
        <v>3.58899540126888E14</v>
      </c>
      <c r="I198" s="41" t="s">
        <v>78</v>
      </c>
      <c r="J198" s="29"/>
      <c r="K198" s="38" t="s">
        <v>79</v>
      </c>
      <c r="L198" s="29"/>
      <c r="M198" s="29"/>
      <c r="N198" s="29"/>
      <c r="O198" s="43"/>
      <c r="P198" s="29"/>
      <c r="Q198" s="29"/>
      <c r="R198" s="38" t="e">
        <v>#VALUE!</v>
      </c>
      <c r="S198" s="29"/>
      <c r="T198" s="29"/>
      <c r="U198" s="31"/>
    </row>
    <row r="199">
      <c r="A199" s="31"/>
      <c r="B199" s="32">
        <v>45650.0</v>
      </c>
      <c r="C199" s="33" t="s">
        <v>128</v>
      </c>
      <c r="D199" s="33" t="s">
        <v>314</v>
      </c>
      <c r="E199" s="33" t="s">
        <v>324</v>
      </c>
      <c r="F199" s="33" t="s">
        <v>262</v>
      </c>
      <c r="G199" s="33" t="s">
        <v>325</v>
      </c>
      <c r="H199" s="33" t="s">
        <v>326</v>
      </c>
      <c r="I199" s="34" t="s">
        <v>78</v>
      </c>
      <c r="J199" s="35"/>
      <c r="K199" s="33" t="s">
        <v>327</v>
      </c>
      <c r="L199" s="35"/>
      <c r="M199" s="35"/>
      <c r="N199" s="35"/>
      <c r="O199" s="42"/>
      <c r="P199" s="35"/>
      <c r="Q199" s="35"/>
      <c r="R199" s="33" t="e">
        <v>#VALUE!</v>
      </c>
      <c r="S199" s="35"/>
      <c r="T199" s="35"/>
      <c r="U199" s="31"/>
    </row>
    <row r="200">
      <c r="A200" s="31"/>
      <c r="B200" s="37">
        <v>45650.0</v>
      </c>
      <c r="C200" s="38" t="s">
        <v>128</v>
      </c>
      <c r="D200" s="38" t="s">
        <v>314</v>
      </c>
      <c r="E200" s="38" t="s">
        <v>324</v>
      </c>
      <c r="F200" s="38" t="s">
        <v>262</v>
      </c>
      <c r="G200" s="38" t="s">
        <v>328</v>
      </c>
      <c r="H200" s="38" t="s">
        <v>329</v>
      </c>
      <c r="I200" s="41" t="s">
        <v>78</v>
      </c>
      <c r="J200" s="29"/>
      <c r="K200" s="38" t="s">
        <v>327</v>
      </c>
      <c r="L200" s="29"/>
      <c r="M200" s="29"/>
      <c r="N200" s="29"/>
      <c r="O200" s="43"/>
      <c r="P200" s="29"/>
      <c r="Q200" s="29"/>
      <c r="R200" s="38" t="e">
        <v>#VALUE!</v>
      </c>
      <c r="S200" s="29"/>
      <c r="T200" s="29"/>
      <c r="U200" s="31"/>
    </row>
    <row r="201">
      <c r="A201" s="31"/>
      <c r="B201" s="32">
        <v>45650.0</v>
      </c>
      <c r="C201" s="33" t="s">
        <v>128</v>
      </c>
      <c r="D201" s="33" t="s">
        <v>314</v>
      </c>
      <c r="E201" s="33" t="s">
        <v>324</v>
      </c>
      <c r="F201" s="33" t="s">
        <v>262</v>
      </c>
      <c r="G201" s="33" t="s">
        <v>328</v>
      </c>
      <c r="H201" s="33" t="s">
        <v>330</v>
      </c>
      <c r="I201" s="34" t="s">
        <v>78</v>
      </c>
      <c r="J201" s="35"/>
      <c r="K201" s="33" t="s">
        <v>327</v>
      </c>
      <c r="L201" s="35"/>
      <c r="M201" s="35"/>
      <c r="N201" s="35"/>
      <c r="O201" s="42"/>
      <c r="P201" s="35"/>
      <c r="Q201" s="35"/>
      <c r="R201" s="33" t="e">
        <v>#VALUE!</v>
      </c>
      <c r="S201" s="35"/>
      <c r="T201" s="35"/>
      <c r="U201" s="31"/>
    </row>
    <row r="202">
      <c r="A202" s="31"/>
      <c r="B202" s="37">
        <v>45650.0</v>
      </c>
      <c r="C202" s="38" t="s">
        <v>128</v>
      </c>
      <c r="D202" s="38" t="s">
        <v>314</v>
      </c>
      <c r="E202" s="38" t="s">
        <v>324</v>
      </c>
      <c r="F202" s="38" t="s">
        <v>262</v>
      </c>
      <c r="G202" s="38" t="s">
        <v>328</v>
      </c>
      <c r="H202" s="38" t="s">
        <v>331</v>
      </c>
      <c r="I202" s="41" t="s">
        <v>86</v>
      </c>
      <c r="J202" s="38" t="s">
        <v>332</v>
      </c>
      <c r="K202" s="38" t="s">
        <v>327</v>
      </c>
      <c r="L202" s="29"/>
      <c r="M202" s="29"/>
      <c r="N202" s="29"/>
      <c r="O202" s="43"/>
      <c r="P202" s="29"/>
      <c r="Q202" s="29"/>
      <c r="R202" s="38" t="e">
        <v>#VALUE!</v>
      </c>
      <c r="S202" s="29"/>
      <c r="T202" s="29"/>
      <c r="U202" s="31"/>
    </row>
    <row r="203">
      <c r="A203" s="31"/>
      <c r="B203" s="32">
        <v>45650.0</v>
      </c>
      <c r="C203" s="33" t="s">
        <v>128</v>
      </c>
      <c r="D203" s="33" t="s">
        <v>314</v>
      </c>
      <c r="E203" s="33" t="s">
        <v>324</v>
      </c>
      <c r="F203" s="33" t="s">
        <v>262</v>
      </c>
      <c r="G203" s="33" t="s">
        <v>328</v>
      </c>
      <c r="H203" s="33" t="s">
        <v>333</v>
      </c>
      <c r="I203" s="34" t="s">
        <v>88</v>
      </c>
      <c r="J203" s="35"/>
      <c r="K203" s="33" t="s">
        <v>327</v>
      </c>
      <c r="L203" s="35"/>
      <c r="M203" s="35"/>
      <c r="N203" s="35"/>
      <c r="O203" s="42"/>
      <c r="P203" s="35"/>
      <c r="Q203" s="35"/>
      <c r="R203" s="33" t="e">
        <v>#VALUE!</v>
      </c>
      <c r="S203" s="35"/>
      <c r="T203" s="35"/>
      <c r="U203" s="31"/>
    </row>
    <row r="204">
      <c r="A204" s="31"/>
      <c r="B204" s="37">
        <v>45650.0</v>
      </c>
      <c r="C204" s="38" t="s">
        <v>128</v>
      </c>
      <c r="D204" s="38" t="s">
        <v>314</v>
      </c>
      <c r="E204" s="38" t="s">
        <v>324</v>
      </c>
      <c r="F204" s="38" t="s">
        <v>262</v>
      </c>
      <c r="G204" s="38" t="s">
        <v>334</v>
      </c>
      <c r="H204" s="38" t="s">
        <v>335</v>
      </c>
      <c r="I204" s="41" t="s">
        <v>86</v>
      </c>
      <c r="J204" s="38" t="s">
        <v>336</v>
      </c>
      <c r="K204" s="38" t="s">
        <v>327</v>
      </c>
      <c r="L204" s="29"/>
      <c r="M204" s="29"/>
      <c r="N204" s="29"/>
      <c r="O204" s="43"/>
      <c r="P204" s="29"/>
      <c r="Q204" s="29"/>
      <c r="R204" s="38" t="e">
        <v>#VALUE!</v>
      </c>
      <c r="S204" s="29"/>
      <c r="T204" s="29"/>
      <c r="U204" s="31"/>
    </row>
    <row r="205">
      <c r="A205" s="31"/>
      <c r="B205" s="32">
        <v>45663.0</v>
      </c>
      <c r="C205" s="33" t="s">
        <v>128</v>
      </c>
      <c r="D205" s="33" t="s">
        <v>314</v>
      </c>
      <c r="E205" s="33" t="s">
        <v>324</v>
      </c>
      <c r="F205" s="33" t="s">
        <v>262</v>
      </c>
      <c r="G205" s="33" t="s">
        <v>334</v>
      </c>
      <c r="H205" s="33" t="s">
        <v>337</v>
      </c>
      <c r="I205" s="34" t="s">
        <v>86</v>
      </c>
      <c r="J205" s="33" t="s">
        <v>338</v>
      </c>
      <c r="K205" s="33" t="s">
        <v>327</v>
      </c>
      <c r="L205" s="35"/>
      <c r="M205" s="35"/>
      <c r="N205" s="35"/>
      <c r="O205" s="42"/>
      <c r="P205" s="35"/>
      <c r="Q205" s="35"/>
      <c r="R205" s="33" t="e">
        <v>#VALUE!</v>
      </c>
      <c r="S205" s="35"/>
      <c r="T205" s="35"/>
      <c r="U205" s="31"/>
    </row>
    <row r="206">
      <c r="A206" s="31"/>
      <c r="B206" s="37">
        <v>45677.0</v>
      </c>
      <c r="C206" s="38" t="s">
        <v>46</v>
      </c>
      <c r="D206" s="38" t="s">
        <v>31</v>
      </c>
      <c r="E206" s="38" t="s">
        <v>339</v>
      </c>
      <c r="F206" s="38" t="s">
        <v>318</v>
      </c>
      <c r="G206" s="38" t="s">
        <v>340</v>
      </c>
      <c r="H206" s="38">
        <v>3.54166470023004E14</v>
      </c>
      <c r="I206" s="41" t="s">
        <v>86</v>
      </c>
      <c r="J206" s="38" t="s">
        <v>341</v>
      </c>
      <c r="K206" s="38" t="s">
        <v>79</v>
      </c>
      <c r="L206" s="29"/>
      <c r="M206" s="29"/>
      <c r="N206" s="29"/>
      <c r="O206" s="43"/>
      <c r="P206" s="29"/>
      <c r="Q206" s="29"/>
      <c r="R206" s="38" t="e">
        <v>#VALUE!</v>
      </c>
      <c r="S206" s="29"/>
      <c r="T206" s="29"/>
      <c r="U206" s="31"/>
    </row>
    <row r="207">
      <c r="A207" s="31"/>
      <c r="B207" s="32">
        <v>45677.0</v>
      </c>
      <c r="C207" s="33" t="s">
        <v>46</v>
      </c>
      <c r="D207" s="33" t="s">
        <v>31</v>
      </c>
      <c r="E207" s="33" t="s">
        <v>339</v>
      </c>
      <c r="F207" s="33" t="s">
        <v>318</v>
      </c>
      <c r="G207" s="33" t="s">
        <v>280</v>
      </c>
      <c r="H207" s="33">
        <v>3.54166470002651E14</v>
      </c>
      <c r="I207" s="34" t="s">
        <v>86</v>
      </c>
      <c r="J207" s="33" t="s">
        <v>342</v>
      </c>
      <c r="K207" s="33" t="s">
        <v>79</v>
      </c>
      <c r="L207" s="35"/>
      <c r="M207" s="35"/>
      <c r="N207" s="35"/>
      <c r="O207" s="42"/>
      <c r="P207" s="35"/>
      <c r="Q207" s="35"/>
      <c r="R207" s="33" t="e">
        <v>#VALUE!</v>
      </c>
      <c r="S207" s="35"/>
      <c r="T207" s="35"/>
      <c r="U207" s="31"/>
    </row>
    <row r="208">
      <c r="A208" s="31"/>
      <c r="B208" s="37">
        <v>45677.0</v>
      </c>
      <c r="C208" s="38" t="s">
        <v>46</v>
      </c>
      <c r="D208" s="38" t="s">
        <v>31</v>
      </c>
      <c r="E208" s="38" t="s">
        <v>339</v>
      </c>
      <c r="F208" s="38" t="s">
        <v>318</v>
      </c>
      <c r="G208" s="38" t="s">
        <v>115</v>
      </c>
      <c r="H208" s="38">
        <v>3.54166470024986E14</v>
      </c>
      <c r="I208" s="41" t="s">
        <v>78</v>
      </c>
      <c r="J208" s="29"/>
      <c r="K208" s="38" t="s">
        <v>79</v>
      </c>
      <c r="L208" s="29"/>
      <c r="M208" s="29"/>
      <c r="N208" s="29"/>
      <c r="O208" s="43"/>
      <c r="P208" s="29"/>
      <c r="Q208" s="29"/>
      <c r="R208" s="38" t="e">
        <v>#VALUE!</v>
      </c>
      <c r="S208" s="29"/>
      <c r="T208" s="29"/>
      <c r="U208" s="31"/>
    </row>
    <row r="209">
      <c r="A209" s="31"/>
      <c r="B209" s="32">
        <v>45677.0</v>
      </c>
      <c r="C209" s="33" t="s">
        <v>46</v>
      </c>
      <c r="D209" s="33" t="s">
        <v>31</v>
      </c>
      <c r="E209" s="33" t="s">
        <v>343</v>
      </c>
      <c r="F209" s="33" t="s">
        <v>318</v>
      </c>
      <c r="G209" s="33" t="s">
        <v>113</v>
      </c>
      <c r="H209" s="33">
        <v>3.52901540031856E14</v>
      </c>
      <c r="I209" s="34" t="s">
        <v>86</v>
      </c>
      <c r="J209" s="33" t="s">
        <v>344</v>
      </c>
      <c r="K209" s="33" t="s">
        <v>79</v>
      </c>
      <c r="L209" s="35"/>
      <c r="M209" s="35"/>
      <c r="N209" s="35"/>
      <c r="O209" s="42"/>
      <c r="P209" s="35"/>
      <c r="Q209" s="35"/>
      <c r="R209" s="33" t="e">
        <v>#VALUE!</v>
      </c>
      <c r="S209" s="35"/>
      <c r="T209" s="35"/>
      <c r="U209" s="31"/>
    </row>
    <row r="210">
      <c r="A210" s="31"/>
      <c r="B210" s="37">
        <v>45677.0</v>
      </c>
      <c r="C210" s="38" t="s">
        <v>46</v>
      </c>
      <c r="D210" s="38" t="s">
        <v>31</v>
      </c>
      <c r="E210" s="38" t="s">
        <v>343</v>
      </c>
      <c r="F210" s="38" t="s">
        <v>318</v>
      </c>
      <c r="G210" s="38" t="s">
        <v>345</v>
      </c>
      <c r="H210" s="38">
        <v>3.52901540032086E14</v>
      </c>
      <c r="I210" s="41" t="s">
        <v>86</v>
      </c>
      <c r="J210" s="38" t="s">
        <v>346</v>
      </c>
      <c r="K210" s="38" t="s">
        <v>79</v>
      </c>
      <c r="L210" s="29"/>
      <c r="M210" s="29"/>
      <c r="N210" s="29"/>
      <c r="O210" s="43"/>
      <c r="P210" s="29"/>
      <c r="Q210" s="29"/>
      <c r="R210" s="38" t="e">
        <v>#VALUE!</v>
      </c>
      <c r="S210" s="29"/>
      <c r="T210" s="29"/>
      <c r="U210" s="31"/>
    </row>
    <row r="211">
      <c r="A211" s="31"/>
      <c r="B211" s="32">
        <v>45677.0</v>
      </c>
      <c r="C211" s="33" t="s">
        <v>46</v>
      </c>
      <c r="D211" s="33" t="s">
        <v>31</v>
      </c>
      <c r="E211" s="33" t="s">
        <v>343</v>
      </c>
      <c r="F211" s="33" t="s">
        <v>318</v>
      </c>
      <c r="G211" s="33" t="s">
        <v>347</v>
      </c>
      <c r="H211" s="33">
        <v>3.56284530003961E14</v>
      </c>
      <c r="I211" s="34" t="s">
        <v>86</v>
      </c>
      <c r="J211" s="33" t="s">
        <v>348</v>
      </c>
      <c r="K211" s="33" t="s">
        <v>79</v>
      </c>
      <c r="L211" s="35"/>
      <c r="M211" s="35"/>
      <c r="N211" s="35"/>
      <c r="O211" s="42"/>
      <c r="P211" s="35"/>
      <c r="Q211" s="35"/>
      <c r="R211" s="33" t="e">
        <v>#VALUE!</v>
      </c>
      <c r="S211" s="35"/>
      <c r="T211" s="35"/>
      <c r="U211" s="31"/>
    </row>
    <row r="212">
      <c r="A212" s="31"/>
      <c r="B212" s="37">
        <v>45677.0</v>
      </c>
      <c r="C212" s="38" t="s">
        <v>46</v>
      </c>
      <c r="D212" s="38" t="s">
        <v>31</v>
      </c>
      <c r="E212" s="38" t="s">
        <v>343</v>
      </c>
      <c r="F212" s="38" t="s">
        <v>318</v>
      </c>
      <c r="G212" s="38" t="s">
        <v>349</v>
      </c>
      <c r="H212" s="38">
        <v>3.56284530002633E14</v>
      </c>
      <c r="I212" s="41" t="s">
        <v>86</v>
      </c>
      <c r="J212" s="38" t="s">
        <v>350</v>
      </c>
      <c r="K212" s="38" t="s">
        <v>79</v>
      </c>
      <c r="L212" s="29"/>
      <c r="M212" s="29"/>
      <c r="N212" s="29"/>
      <c r="O212" s="43"/>
      <c r="P212" s="29"/>
      <c r="Q212" s="29"/>
      <c r="R212" s="38" t="s">
        <v>351</v>
      </c>
      <c r="S212" s="38" t="s">
        <v>352</v>
      </c>
      <c r="T212" s="29"/>
      <c r="U212" s="31"/>
    </row>
    <row r="213">
      <c r="A213" s="31"/>
      <c r="B213" s="32">
        <v>45677.0</v>
      </c>
      <c r="C213" s="33" t="s">
        <v>46</v>
      </c>
      <c r="D213" s="33" t="s">
        <v>31</v>
      </c>
      <c r="E213" s="33" t="s">
        <v>343</v>
      </c>
      <c r="F213" s="33" t="s">
        <v>318</v>
      </c>
      <c r="G213" s="33" t="s">
        <v>353</v>
      </c>
      <c r="H213" s="33">
        <v>3.52901540009068E14</v>
      </c>
      <c r="I213" s="34" t="s">
        <v>78</v>
      </c>
      <c r="J213" s="34" t="s">
        <v>354</v>
      </c>
      <c r="K213" s="33" t="s">
        <v>79</v>
      </c>
      <c r="L213" s="35"/>
      <c r="M213" s="35"/>
      <c r="N213" s="35"/>
      <c r="O213" s="42"/>
      <c r="P213" s="35"/>
      <c r="Q213" s="35"/>
      <c r="R213" s="33" t="e">
        <v>#VALUE!</v>
      </c>
      <c r="S213" s="35"/>
      <c r="T213" s="35"/>
      <c r="U213" s="31"/>
    </row>
    <row r="214">
      <c r="A214" s="31"/>
      <c r="B214" s="37">
        <v>45679.0</v>
      </c>
      <c r="C214" s="38" t="s">
        <v>52</v>
      </c>
      <c r="D214" s="38" t="s">
        <v>17</v>
      </c>
      <c r="E214" s="38" t="s">
        <v>343</v>
      </c>
      <c r="F214" s="29"/>
      <c r="G214" s="29"/>
      <c r="H214" s="38" t="s">
        <v>355</v>
      </c>
      <c r="I214" s="41" t="s">
        <v>78</v>
      </c>
      <c r="J214" s="29"/>
      <c r="K214" s="29"/>
      <c r="L214" s="38" t="s">
        <v>19</v>
      </c>
      <c r="M214" s="29"/>
      <c r="N214" s="29"/>
      <c r="O214" s="43"/>
      <c r="P214" s="29"/>
      <c r="Q214" s="29"/>
      <c r="R214" s="38" t="e">
        <v>#VALUE!</v>
      </c>
      <c r="S214" s="29"/>
      <c r="T214" s="29"/>
      <c r="U214" s="31"/>
    </row>
    <row r="215">
      <c r="A215" s="31"/>
      <c r="B215" s="32">
        <v>45679.0</v>
      </c>
      <c r="C215" s="35"/>
      <c r="D215" s="33" t="s">
        <v>17</v>
      </c>
      <c r="E215" s="33" t="s">
        <v>343</v>
      </c>
      <c r="F215" s="35"/>
      <c r="G215" s="35"/>
      <c r="H215" s="33" t="s">
        <v>356</v>
      </c>
      <c r="I215" s="34" t="s">
        <v>78</v>
      </c>
      <c r="J215" s="35"/>
      <c r="K215" s="35"/>
      <c r="L215" s="33" t="s">
        <v>19</v>
      </c>
      <c r="M215" s="35"/>
      <c r="N215" s="35"/>
      <c r="O215" s="42"/>
      <c r="P215" s="35"/>
      <c r="Q215" s="35"/>
      <c r="R215" s="33" t="e">
        <v>#VALUE!</v>
      </c>
      <c r="S215" s="35"/>
      <c r="T215" s="35"/>
      <c r="U215" s="31"/>
    </row>
    <row r="216">
      <c r="A216" s="31"/>
      <c r="B216" s="37">
        <v>45679.0</v>
      </c>
      <c r="C216" s="29"/>
      <c r="D216" s="38" t="s">
        <v>17</v>
      </c>
      <c r="E216" s="38" t="s">
        <v>339</v>
      </c>
      <c r="F216" s="29"/>
      <c r="G216" s="29"/>
      <c r="H216" s="38" t="s">
        <v>357</v>
      </c>
      <c r="I216" s="41" t="s">
        <v>88</v>
      </c>
      <c r="J216" s="29"/>
      <c r="K216" s="29"/>
      <c r="L216" s="38" t="s">
        <v>19</v>
      </c>
      <c r="M216" s="29"/>
      <c r="N216" s="29"/>
      <c r="O216" s="43"/>
      <c r="P216" s="29"/>
      <c r="Q216" s="29"/>
      <c r="R216" s="38" t="e">
        <v>#VALUE!</v>
      </c>
      <c r="S216" s="29"/>
      <c r="T216" s="29"/>
      <c r="U216" s="31"/>
    </row>
    <row r="217">
      <c r="A217" s="31"/>
      <c r="B217" s="32">
        <v>45679.0</v>
      </c>
      <c r="C217" s="35"/>
      <c r="D217" s="33" t="s">
        <v>17</v>
      </c>
      <c r="E217" s="33" t="s">
        <v>339</v>
      </c>
      <c r="F217" s="35"/>
      <c r="G217" s="35"/>
      <c r="H217" s="33" t="s">
        <v>358</v>
      </c>
      <c r="I217" s="34" t="s">
        <v>88</v>
      </c>
      <c r="J217" s="35"/>
      <c r="K217" s="35"/>
      <c r="L217" s="33" t="s">
        <v>19</v>
      </c>
      <c r="M217" s="35"/>
      <c r="N217" s="35"/>
      <c r="O217" s="42"/>
      <c r="P217" s="35"/>
      <c r="Q217" s="35"/>
      <c r="R217" s="33" t="e">
        <v>#VALUE!</v>
      </c>
      <c r="S217" s="35"/>
      <c r="T217" s="35"/>
      <c r="U217" s="31"/>
    </row>
    <row r="218">
      <c r="A218" s="31"/>
      <c r="B218" s="37">
        <v>45679.0</v>
      </c>
      <c r="C218" s="29"/>
      <c r="D218" s="38" t="s">
        <v>17</v>
      </c>
      <c r="E218" s="38" t="s">
        <v>339</v>
      </c>
      <c r="F218" s="29"/>
      <c r="G218" s="29"/>
      <c r="H218" s="38" t="s">
        <v>359</v>
      </c>
      <c r="I218" s="41" t="s">
        <v>88</v>
      </c>
      <c r="J218" s="29"/>
      <c r="K218" s="29"/>
      <c r="L218" s="38" t="s">
        <v>19</v>
      </c>
      <c r="M218" s="29"/>
      <c r="N218" s="29"/>
      <c r="O218" s="43"/>
      <c r="P218" s="29"/>
      <c r="Q218" s="29"/>
      <c r="R218" s="38" t="e">
        <v>#VALUE!</v>
      </c>
      <c r="S218" s="29"/>
      <c r="T218" s="29"/>
      <c r="U218" s="31"/>
    </row>
    <row r="219">
      <c r="A219" s="31"/>
      <c r="B219" s="32">
        <v>45679.0</v>
      </c>
      <c r="C219" s="35"/>
      <c r="D219" s="33" t="s">
        <v>17</v>
      </c>
      <c r="E219" s="33" t="s">
        <v>339</v>
      </c>
      <c r="F219" s="35"/>
      <c r="G219" s="35"/>
      <c r="H219" s="33" t="s">
        <v>360</v>
      </c>
      <c r="I219" s="34" t="s">
        <v>88</v>
      </c>
      <c r="J219" s="35"/>
      <c r="K219" s="35"/>
      <c r="L219" s="33" t="s">
        <v>19</v>
      </c>
      <c r="M219" s="35"/>
      <c r="N219" s="35"/>
      <c r="O219" s="42"/>
      <c r="P219" s="35"/>
      <c r="Q219" s="35"/>
      <c r="R219" s="33" t="e">
        <v>#VALUE!</v>
      </c>
      <c r="S219" s="35"/>
      <c r="T219" s="35"/>
      <c r="U219" s="31"/>
    </row>
    <row r="220">
      <c r="A220" s="31"/>
      <c r="B220" s="37">
        <v>45679.0</v>
      </c>
      <c r="C220" s="29"/>
      <c r="D220" s="38" t="s">
        <v>17</v>
      </c>
      <c r="E220" s="38" t="s">
        <v>339</v>
      </c>
      <c r="F220" s="29"/>
      <c r="G220" s="29"/>
      <c r="H220" s="38" t="s">
        <v>361</v>
      </c>
      <c r="I220" s="41" t="s">
        <v>88</v>
      </c>
      <c r="J220" s="29"/>
      <c r="K220" s="29"/>
      <c r="L220" s="38" t="s">
        <v>19</v>
      </c>
      <c r="M220" s="29"/>
      <c r="N220" s="29"/>
      <c r="O220" s="43"/>
      <c r="P220" s="29"/>
      <c r="Q220" s="29"/>
      <c r="R220" s="38" t="e">
        <v>#VALUE!</v>
      </c>
      <c r="S220" s="29"/>
      <c r="T220" s="29"/>
      <c r="U220" s="31"/>
    </row>
    <row r="221">
      <c r="A221" s="31"/>
      <c r="B221" s="32">
        <v>45679.0</v>
      </c>
      <c r="C221" s="35"/>
      <c r="D221" s="33" t="s">
        <v>17</v>
      </c>
      <c r="E221" s="33" t="s">
        <v>339</v>
      </c>
      <c r="F221" s="35"/>
      <c r="G221" s="35"/>
      <c r="H221" s="33" t="s">
        <v>362</v>
      </c>
      <c r="I221" s="34" t="s">
        <v>88</v>
      </c>
      <c r="J221" s="35"/>
      <c r="K221" s="35"/>
      <c r="L221" s="33" t="s">
        <v>19</v>
      </c>
      <c r="M221" s="35"/>
      <c r="N221" s="35"/>
      <c r="O221" s="42"/>
      <c r="P221" s="35"/>
      <c r="Q221" s="35"/>
      <c r="R221" s="33" t="e">
        <v>#VALUE!</v>
      </c>
      <c r="S221" s="35"/>
      <c r="T221" s="35"/>
      <c r="U221" s="31"/>
    </row>
    <row r="222">
      <c r="A222" s="31"/>
      <c r="B222" s="37">
        <v>45679.0</v>
      </c>
      <c r="C222" s="29"/>
      <c r="D222" s="38" t="s">
        <v>31</v>
      </c>
      <c r="E222" s="38" t="s">
        <v>363</v>
      </c>
      <c r="F222" s="38" t="s">
        <v>84</v>
      </c>
      <c r="G222" s="38" t="s">
        <v>111</v>
      </c>
      <c r="H222" s="38">
        <v>3.58410185002598E14</v>
      </c>
      <c r="I222" s="41" t="s">
        <v>78</v>
      </c>
      <c r="J222" s="29"/>
      <c r="K222" s="38" t="s">
        <v>79</v>
      </c>
      <c r="L222" s="29"/>
      <c r="M222" s="29"/>
      <c r="N222" s="29"/>
      <c r="O222" s="43"/>
      <c r="P222" s="29"/>
      <c r="Q222" s="29"/>
      <c r="R222" s="38" t="s">
        <v>351</v>
      </c>
      <c r="S222" s="38" t="s">
        <v>352</v>
      </c>
      <c r="T222" s="29"/>
      <c r="U222" s="31"/>
    </row>
    <row r="223">
      <c r="A223" s="31"/>
      <c r="B223" s="32">
        <v>45679.0</v>
      </c>
      <c r="C223" s="35"/>
      <c r="D223" s="33" t="s">
        <v>31</v>
      </c>
      <c r="E223" s="33" t="s">
        <v>363</v>
      </c>
      <c r="F223" s="33" t="s">
        <v>84</v>
      </c>
      <c r="G223" s="33" t="s">
        <v>280</v>
      </c>
      <c r="H223" s="33">
        <v>3.58410185027116E14</v>
      </c>
      <c r="I223" s="34" t="s">
        <v>78</v>
      </c>
      <c r="J223" s="35"/>
      <c r="K223" s="33" t="s">
        <v>79</v>
      </c>
      <c r="L223" s="35"/>
      <c r="M223" s="35"/>
      <c r="N223" s="35"/>
      <c r="O223" s="42"/>
      <c r="P223" s="35"/>
      <c r="Q223" s="35"/>
      <c r="R223" s="33" t="s">
        <v>351</v>
      </c>
      <c r="S223" s="33" t="s">
        <v>352</v>
      </c>
      <c r="T223" s="35"/>
      <c r="U223" s="31"/>
    </row>
    <row r="224">
      <c r="A224" s="31"/>
      <c r="B224" s="37">
        <v>45679.0</v>
      </c>
      <c r="C224" s="29"/>
      <c r="D224" s="38" t="s">
        <v>31</v>
      </c>
      <c r="E224" s="38" t="s">
        <v>363</v>
      </c>
      <c r="F224" s="38" t="s">
        <v>84</v>
      </c>
      <c r="G224" s="38" t="s">
        <v>364</v>
      </c>
      <c r="H224" s="38">
        <v>3.58410185008793E14</v>
      </c>
      <c r="I224" s="41" t="s">
        <v>86</v>
      </c>
      <c r="J224" s="38" t="s">
        <v>365</v>
      </c>
      <c r="K224" s="38" t="s">
        <v>79</v>
      </c>
      <c r="L224" s="29"/>
      <c r="M224" s="29"/>
      <c r="N224" s="29"/>
      <c r="O224" s="43"/>
      <c r="P224" s="29"/>
      <c r="Q224" s="29"/>
      <c r="R224" s="38" t="s">
        <v>351</v>
      </c>
      <c r="S224" s="38" t="s">
        <v>352</v>
      </c>
      <c r="T224" s="29"/>
      <c r="U224" s="31"/>
    </row>
    <row r="225">
      <c r="A225" s="31"/>
      <c r="B225" s="32">
        <v>45679.0</v>
      </c>
      <c r="C225" s="35"/>
      <c r="D225" s="33" t="s">
        <v>31</v>
      </c>
      <c r="E225" s="33" t="s">
        <v>363</v>
      </c>
      <c r="F225" s="33" t="s">
        <v>84</v>
      </c>
      <c r="G225" s="33" t="s">
        <v>284</v>
      </c>
      <c r="H225" s="33">
        <v>3.5841018500545E14</v>
      </c>
      <c r="I225" s="34" t="s">
        <v>78</v>
      </c>
      <c r="J225" s="35"/>
      <c r="K225" s="33" t="s">
        <v>79</v>
      </c>
      <c r="L225" s="35"/>
      <c r="M225" s="35"/>
      <c r="N225" s="35"/>
      <c r="O225" s="42"/>
      <c r="P225" s="35"/>
      <c r="Q225" s="35"/>
      <c r="R225" s="33" t="s">
        <v>351</v>
      </c>
      <c r="S225" s="33" t="s">
        <v>352</v>
      </c>
      <c r="T225" s="35"/>
      <c r="U225" s="31"/>
    </row>
    <row r="226">
      <c r="A226" s="31"/>
      <c r="B226" s="37">
        <v>45679.0</v>
      </c>
      <c r="C226" s="29"/>
      <c r="D226" s="38" t="s">
        <v>31</v>
      </c>
      <c r="E226" s="38" t="s">
        <v>363</v>
      </c>
      <c r="F226" s="38" t="s">
        <v>84</v>
      </c>
      <c r="G226" s="38" t="s">
        <v>323</v>
      </c>
      <c r="H226" s="38">
        <v>3.58410185007993E14</v>
      </c>
      <c r="I226" s="41" t="s">
        <v>78</v>
      </c>
      <c r="J226" s="29"/>
      <c r="K226" s="38" t="s">
        <v>79</v>
      </c>
      <c r="L226" s="29"/>
      <c r="M226" s="29"/>
      <c r="N226" s="29"/>
      <c r="O226" s="43"/>
      <c r="P226" s="29"/>
      <c r="Q226" s="29"/>
      <c r="R226" s="38" t="s">
        <v>351</v>
      </c>
      <c r="S226" s="38" t="s">
        <v>352</v>
      </c>
      <c r="T226" s="29"/>
      <c r="U226" s="31"/>
    </row>
    <row r="227">
      <c r="A227" s="31"/>
      <c r="B227" s="32">
        <v>45679.0</v>
      </c>
      <c r="C227" s="35"/>
      <c r="D227" s="33" t="s">
        <v>31</v>
      </c>
      <c r="E227" s="33" t="s">
        <v>363</v>
      </c>
      <c r="F227" s="33" t="s">
        <v>84</v>
      </c>
      <c r="G227" s="33" t="s">
        <v>323</v>
      </c>
      <c r="H227" s="33">
        <v>3.58410185006995E14</v>
      </c>
      <c r="I227" s="34" t="s">
        <v>78</v>
      </c>
      <c r="J227" s="33" t="s">
        <v>366</v>
      </c>
      <c r="K227" s="33" t="s">
        <v>79</v>
      </c>
      <c r="L227" s="35"/>
      <c r="M227" s="35"/>
      <c r="N227" s="35"/>
      <c r="O227" s="42"/>
      <c r="P227" s="35"/>
      <c r="Q227" s="35"/>
      <c r="R227" s="33" t="e">
        <v>#VALUE!</v>
      </c>
      <c r="S227" s="35"/>
      <c r="T227" s="35"/>
      <c r="U227" s="31"/>
    </row>
    <row r="228">
      <c r="A228" s="31"/>
      <c r="B228" s="37">
        <v>45679.0</v>
      </c>
      <c r="C228" s="29"/>
      <c r="D228" s="38" t="s">
        <v>31</v>
      </c>
      <c r="E228" s="38" t="s">
        <v>363</v>
      </c>
      <c r="F228" s="38" t="s">
        <v>84</v>
      </c>
      <c r="G228" s="38" t="s">
        <v>323</v>
      </c>
      <c r="H228" s="38">
        <v>3.58410185007423E14</v>
      </c>
      <c r="I228" s="41" t="s">
        <v>78</v>
      </c>
      <c r="J228" s="29"/>
      <c r="K228" s="38" t="s">
        <v>79</v>
      </c>
      <c r="L228" s="29"/>
      <c r="M228" s="29"/>
      <c r="N228" s="29"/>
      <c r="O228" s="43"/>
      <c r="P228" s="29"/>
      <c r="Q228" s="29"/>
      <c r="R228" s="38" t="s">
        <v>351</v>
      </c>
      <c r="S228" s="38" t="s">
        <v>352</v>
      </c>
      <c r="T228" s="29"/>
      <c r="U228" s="31"/>
    </row>
    <row r="229">
      <c r="A229" s="31"/>
      <c r="B229" s="32">
        <v>45680.0</v>
      </c>
      <c r="C229" s="35"/>
      <c r="D229" s="33" t="s">
        <v>31</v>
      </c>
      <c r="E229" s="33" t="s">
        <v>343</v>
      </c>
      <c r="F229" s="33" t="s">
        <v>76</v>
      </c>
      <c r="G229" s="33" t="s">
        <v>367</v>
      </c>
      <c r="H229" s="33">
        <v>3.56284530003961E14</v>
      </c>
      <c r="I229" s="34" t="s">
        <v>86</v>
      </c>
      <c r="J229" s="33" t="s">
        <v>368</v>
      </c>
      <c r="K229" s="33" t="s">
        <v>79</v>
      </c>
      <c r="L229" s="35"/>
      <c r="M229" s="35"/>
      <c r="N229" s="35"/>
      <c r="O229" s="42"/>
      <c r="P229" s="35"/>
      <c r="Q229" s="35"/>
      <c r="R229" s="33" t="e">
        <v>#VALUE!</v>
      </c>
      <c r="S229" s="35"/>
      <c r="T229" s="35"/>
      <c r="U229" s="31"/>
    </row>
    <row r="230">
      <c r="A230" s="31"/>
      <c r="B230" s="37">
        <v>45680.0</v>
      </c>
      <c r="C230" s="38" t="s">
        <v>16</v>
      </c>
      <c r="D230" s="38" t="s">
        <v>31</v>
      </c>
      <c r="E230" s="38" t="s">
        <v>363</v>
      </c>
      <c r="F230" s="38" t="s">
        <v>84</v>
      </c>
      <c r="G230" s="38" t="s">
        <v>115</v>
      </c>
      <c r="H230" s="38">
        <v>3.58410185007993E14</v>
      </c>
      <c r="I230" s="41" t="s">
        <v>78</v>
      </c>
      <c r="J230" s="38" t="s">
        <v>107</v>
      </c>
      <c r="K230" s="38" t="s">
        <v>79</v>
      </c>
      <c r="L230" s="29"/>
      <c r="M230" s="29"/>
      <c r="N230" s="29"/>
      <c r="O230" s="43"/>
      <c r="P230" s="29"/>
      <c r="Q230" s="29"/>
      <c r="R230" s="38" t="e">
        <v>#VALUE!</v>
      </c>
      <c r="S230" s="29"/>
      <c r="T230" s="29"/>
      <c r="U230" s="31"/>
    </row>
    <row r="231">
      <c r="A231" s="31"/>
      <c r="B231" s="32">
        <v>45680.0</v>
      </c>
      <c r="C231" s="33" t="s">
        <v>16</v>
      </c>
      <c r="D231" s="33" t="s">
        <v>31</v>
      </c>
      <c r="E231" s="33" t="s">
        <v>363</v>
      </c>
      <c r="F231" s="33" t="s">
        <v>84</v>
      </c>
      <c r="G231" s="33" t="s">
        <v>111</v>
      </c>
      <c r="H231" s="33">
        <v>3.58410185002598E14</v>
      </c>
      <c r="I231" s="34" t="s">
        <v>78</v>
      </c>
      <c r="J231" s="33" t="s">
        <v>107</v>
      </c>
      <c r="K231" s="33" t="s">
        <v>79</v>
      </c>
      <c r="L231" s="35"/>
      <c r="M231" s="35"/>
      <c r="N231" s="35"/>
      <c r="O231" s="42"/>
      <c r="P231" s="35"/>
      <c r="Q231" s="35"/>
      <c r="R231" s="33" t="e">
        <v>#VALUE!</v>
      </c>
      <c r="S231" s="35"/>
      <c r="T231" s="35"/>
      <c r="U231" s="31"/>
    </row>
    <row r="232">
      <c r="A232" s="31"/>
      <c r="B232" s="37">
        <v>45680.0</v>
      </c>
      <c r="C232" s="38" t="s">
        <v>16</v>
      </c>
      <c r="D232" s="38" t="s">
        <v>31</v>
      </c>
      <c r="E232" s="38" t="s">
        <v>363</v>
      </c>
      <c r="F232" s="38" t="s">
        <v>84</v>
      </c>
      <c r="G232" s="38" t="s">
        <v>364</v>
      </c>
      <c r="H232" s="38">
        <v>3.58410185027116E14</v>
      </c>
      <c r="I232" s="41" t="s">
        <v>78</v>
      </c>
      <c r="J232" s="38" t="s">
        <v>107</v>
      </c>
      <c r="K232" s="38" t="s">
        <v>79</v>
      </c>
      <c r="L232" s="29"/>
      <c r="M232" s="29"/>
      <c r="N232" s="29"/>
      <c r="O232" s="43"/>
      <c r="P232" s="29"/>
      <c r="Q232" s="29"/>
      <c r="R232" s="38" t="e">
        <v>#VALUE!</v>
      </c>
      <c r="S232" s="29"/>
      <c r="T232" s="29"/>
      <c r="U232" s="31"/>
    </row>
    <row r="233">
      <c r="A233" s="31"/>
      <c r="B233" s="32">
        <v>45680.0</v>
      </c>
      <c r="C233" s="33" t="s">
        <v>16</v>
      </c>
      <c r="D233" s="33" t="s">
        <v>31</v>
      </c>
      <c r="E233" s="33" t="s">
        <v>343</v>
      </c>
      <c r="F233" s="33" t="s">
        <v>76</v>
      </c>
      <c r="G233" s="33" t="s">
        <v>367</v>
      </c>
      <c r="H233" s="33">
        <v>3.56284530003433E14</v>
      </c>
      <c r="I233" s="34" t="s">
        <v>78</v>
      </c>
      <c r="J233" s="35"/>
      <c r="K233" s="33" t="s">
        <v>79</v>
      </c>
      <c r="L233" s="35"/>
      <c r="M233" s="35"/>
      <c r="N233" s="35"/>
      <c r="O233" s="42"/>
      <c r="P233" s="35"/>
      <c r="Q233" s="35"/>
      <c r="R233" s="33" t="s">
        <v>351</v>
      </c>
      <c r="S233" s="33" t="s">
        <v>352</v>
      </c>
      <c r="T233" s="35"/>
      <c r="U233" s="31"/>
    </row>
    <row r="234">
      <c r="A234" s="31"/>
      <c r="B234" s="37">
        <v>45680.0</v>
      </c>
      <c r="C234" s="38" t="s">
        <v>46</v>
      </c>
      <c r="D234" s="38" t="s">
        <v>31</v>
      </c>
      <c r="E234" s="38" t="s">
        <v>343</v>
      </c>
      <c r="F234" s="38" t="s">
        <v>76</v>
      </c>
      <c r="G234" s="38" t="s">
        <v>367</v>
      </c>
      <c r="H234" s="38">
        <v>3.56284530004126E14</v>
      </c>
      <c r="I234" s="41" t="s">
        <v>86</v>
      </c>
      <c r="J234" s="38" t="s">
        <v>369</v>
      </c>
      <c r="K234" s="38" t="s">
        <v>79</v>
      </c>
      <c r="L234" s="29"/>
      <c r="M234" s="29"/>
      <c r="N234" s="29"/>
      <c r="O234" s="43"/>
      <c r="P234" s="29"/>
      <c r="Q234" s="29"/>
      <c r="R234" s="38" t="s">
        <v>351</v>
      </c>
      <c r="S234" s="38" t="s">
        <v>352</v>
      </c>
      <c r="T234" s="29"/>
      <c r="U234" s="31"/>
    </row>
    <row r="235">
      <c r="A235" s="31"/>
      <c r="B235" s="32">
        <v>45680.0</v>
      </c>
      <c r="C235" s="35"/>
      <c r="D235" s="33" t="s">
        <v>31</v>
      </c>
      <c r="E235" s="33" t="s">
        <v>339</v>
      </c>
      <c r="F235" s="33" t="s">
        <v>76</v>
      </c>
      <c r="G235" s="33" t="s">
        <v>370</v>
      </c>
      <c r="H235" s="33">
        <v>3.54629200025466E14</v>
      </c>
      <c r="I235" s="34" t="s">
        <v>86</v>
      </c>
      <c r="J235" s="33" t="s">
        <v>371</v>
      </c>
      <c r="K235" s="33" t="s">
        <v>79</v>
      </c>
      <c r="L235" s="35"/>
      <c r="M235" s="35"/>
      <c r="N235" s="35"/>
      <c r="O235" s="42"/>
      <c r="P235" s="35"/>
      <c r="Q235" s="35"/>
      <c r="R235" s="33" t="e">
        <v>#VALUE!</v>
      </c>
      <c r="S235" s="35"/>
      <c r="T235" s="35"/>
      <c r="U235" s="31"/>
    </row>
    <row r="236">
      <c r="A236" s="31"/>
      <c r="B236" s="37">
        <v>45680.0</v>
      </c>
      <c r="C236" s="29"/>
      <c r="D236" s="38" t="s">
        <v>31</v>
      </c>
      <c r="E236" s="38" t="s">
        <v>339</v>
      </c>
      <c r="F236" s="38" t="s">
        <v>76</v>
      </c>
      <c r="G236" s="38" t="s">
        <v>111</v>
      </c>
      <c r="H236" s="38">
        <v>3.54629200036596E14</v>
      </c>
      <c r="I236" s="41" t="s">
        <v>78</v>
      </c>
      <c r="J236" s="29"/>
      <c r="K236" s="38" t="s">
        <v>79</v>
      </c>
      <c r="L236" s="29"/>
      <c r="M236" s="29"/>
      <c r="N236" s="29"/>
      <c r="O236" s="43"/>
      <c r="P236" s="29"/>
      <c r="Q236" s="29"/>
      <c r="R236" s="38" t="s">
        <v>351</v>
      </c>
      <c r="S236" s="38" t="s">
        <v>352</v>
      </c>
      <c r="T236" s="29"/>
      <c r="U236" s="31"/>
    </row>
    <row r="237">
      <c r="A237" s="31"/>
      <c r="B237" s="32">
        <v>45680.0</v>
      </c>
      <c r="C237" s="35"/>
      <c r="D237" s="33" t="s">
        <v>31</v>
      </c>
      <c r="E237" s="33" t="s">
        <v>339</v>
      </c>
      <c r="F237" s="33" t="s">
        <v>76</v>
      </c>
      <c r="G237" s="33" t="s">
        <v>370</v>
      </c>
      <c r="H237" s="33">
        <v>3.54629200025904E14</v>
      </c>
      <c r="I237" s="34" t="s">
        <v>86</v>
      </c>
      <c r="J237" s="33" t="s">
        <v>372</v>
      </c>
      <c r="K237" s="33" t="s">
        <v>79</v>
      </c>
      <c r="L237" s="35"/>
      <c r="M237" s="35"/>
      <c r="N237" s="35"/>
      <c r="O237" s="42"/>
      <c r="P237" s="35"/>
      <c r="Q237" s="35"/>
      <c r="R237" s="33" t="s">
        <v>351</v>
      </c>
      <c r="S237" s="33" t="s">
        <v>352</v>
      </c>
      <c r="T237" s="35"/>
      <c r="U237" s="31"/>
    </row>
    <row r="238">
      <c r="A238" s="31"/>
      <c r="B238" s="37">
        <v>45680.0</v>
      </c>
      <c r="C238" s="29"/>
      <c r="D238" s="38" t="s">
        <v>31</v>
      </c>
      <c r="E238" s="38" t="s">
        <v>339</v>
      </c>
      <c r="F238" s="38" t="s">
        <v>76</v>
      </c>
      <c r="G238" s="38" t="s">
        <v>319</v>
      </c>
      <c r="H238" s="38">
        <v>3.54629200028296E14</v>
      </c>
      <c r="I238" s="41" t="s">
        <v>78</v>
      </c>
      <c r="J238" s="29"/>
      <c r="K238" s="38" t="s">
        <v>79</v>
      </c>
      <c r="L238" s="29"/>
      <c r="M238" s="29"/>
      <c r="N238" s="29"/>
      <c r="O238" s="43"/>
      <c r="P238" s="29"/>
      <c r="Q238" s="29"/>
      <c r="R238" s="38" t="s">
        <v>351</v>
      </c>
      <c r="S238" s="38" t="s">
        <v>352</v>
      </c>
      <c r="T238" s="29"/>
      <c r="U238" s="31"/>
    </row>
    <row r="239">
      <c r="A239" s="31"/>
      <c r="B239" s="32">
        <v>45680.0</v>
      </c>
      <c r="C239" s="35"/>
      <c r="D239" s="33" t="s">
        <v>31</v>
      </c>
      <c r="E239" s="33" t="s">
        <v>339</v>
      </c>
      <c r="F239" s="33" t="s">
        <v>76</v>
      </c>
      <c r="G239" s="33" t="s">
        <v>319</v>
      </c>
      <c r="H239" s="33">
        <v>3.54629200027942E14</v>
      </c>
      <c r="I239" s="34" t="s">
        <v>78</v>
      </c>
      <c r="J239" s="35"/>
      <c r="K239" s="33" t="s">
        <v>79</v>
      </c>
      <c r="L239" s="35"/>
      <c r="M239" s="35"/>
      <c r="N239" s="35"/>
      <c r="O239" s="42"/>
      <c r="P239" s="35"/>
      <c r="Q239" s="35"/>
      <c r="R239" s="33" t="s">
        <v>351</v>
      </c>
      <c r="S239" s="33" t="s">
        <v>352</v>
      </c>
      <c r="T239" s="35"/>
      <c r="U239" s="31"/>
    </row>
    <row r="240">
      <c r="A240" s="31"/>
      <c r="B240" s="44">
        <v>45680.0</v>
      </c>
      <c r="C240" s="29"/>
      <c r="D240" s="38" t="s">
        <v>31</v>
      </c>
      <c r="E240" s="38" t="s">
        <v>363</v>
      </c>
      <c r="F240" s="38" t="s">
        <v>76</v>
      </c>
      <c r="G240" s="38" t="s">
        <v>319</v>
      </c>
      <c r="H240" s="38">
        <v>3.58833525003762E14</v>
      </c>
      <c r="I240" s="41" t="s">
        <v>78</v>
      </c>
      <c r="J240" s="29"/>
      <c r="K240" s="38" t="s">
        <v>79</v>
      </c>
      <c r="L240" s="29"/>
      <c r="M240" s="29"/>
      <c r="N240" s="29"/>
      <c r="O240" s="43"/>
      <c r="P240" s="29"/>
      <c r="Q240" s="29"/>
      <c r="R240" s="38" t="s">
        <v>351</v>
      </c>
      <c r="S240" s="38" t="s">
        <v>352</v>
      </c>
      <c r="T240" s="29"/>
      <c r="U240" s="31"/>
    </row>
    <row r="241">
      <c r="A241" s="31"/>
      <c r="B241" s="32">
        <v>45680.0</v>
      </c>
      <c r="C241" s="35"/>
      <c r="D241" s="33" t="s">
        <v>31</v>
      </c>
      <c r="E241" s="33" t="s">
        <v>363</v>
      </c>
      <c r="F241" s="33" t="s">
        <v>76</v>
      </c>
      <c r="G241" s="33" t="s">
        <v>319</v>
      </c>
      <c r="H241" s="33">
        <v>3.58833525003945E14</v>
      </c>
      <c r="I241" s="34" t="s">
        <v>86</v>
      </c>
      <c r="J241" s="33" t="s">
        <v>373</v>
      </c>
      <c r="K241" s="33" t="s">
        <v>79</v>
      </c>
      <c r="L241" s="35"/>
      <c r="M241" s="35"/>
      <c r="N241" s="35"/>
      <c r="O241" s="42"/>
      <c r="P241" s="35"/>
      <c r="Q241" s="35"/>
      <c r="R241" s="33" t="s">
        <v>351</v>
      </c>
      <c r="S241" s="33" t="s">
        <v>352</v>
      </c>
      <c r="T241" s="35"/>
      <c r="U241" s="31"/>
    </row>
    <row r="242">
      <c r="A242" s="31"/>
      <c r="B242" s="37">
        <v>45680.0</v>
      </c>
      <c r="C242" s="29"/>
      <c r="D242" s="38" t="s">
        <v>31</v>
      </c>
      <c r="E242" s="38" t="s">
        <v>363</v>
      </c>
      <c r="F242" s="38" t="s">
        <v>76</v>
      </c>
      <c r="G242" s="38" t="s">
        <v>111</v>
      </c>
      <c r="H242" s="38">
        <v>3.588335250305E14</v>
      </c>
      <c r="I242" s="41" t="s">
        <v>78</v>
      </c>
      <c r="J242" s="29"/>
      <c r="K242" s="38" t="s">
        <v>79</v>
      </c>
      <c r="L242" s="29"/>
      <c r="M242" s="29"/>
      <c r="N242" s="29"/>
      <c r="O242" s="43"/>
      <c r="P242" s="29"/>
      <c r="Q242" s="29"/>
      <c r="R242" s="38" t="s">
        <v>351</v>
      </c>
      <c r="S242" s="38" t="s">
        <v>352</v>
      </c>
      <c r="T242" s="29"/>
      <c r="U242" s="31"/>
    </row>
    <row r="243">
      <c r="A243" s="31"/>
      <c r="B243" s="32">
        <v>45680.0</v>
      </c>
      <c r="C243" s="35"/>
      <c r="D243" s="33" t="s">
        <v>31</v>
      </c>
      <c r="E243" s="33" t="s">
        <v>363</v>
      </c>
      <c r="F243" s="33" t="s">
        <v>76</v>
      </c>
      <c r="G243" s="33" t="s">
        <v>364</v>
      </c>
      <c r="H243" s="33">
        <v>3.58833525026441E14</v>
      </c>
      <c r="I243" s="34" t="s">
        <v>78</v>
      </c>
      <c r="J243" s="35"/>
      <c r="K243" s="33" t="s">
        <v>79</v>
      </c>
      <c r="L243" s="35"/>
      <c r="M243" s="35"/>
      <c r="N243" s="35"/>
      <c r="O243" s="42"/>
      <c r="P243" s="35"/>
      <c r="Q243" s="35"/>
      <c r="R243" s="33" t="s">
        <v>351</v>
      </c>
      <c r="S243" s="33" t="s">
        <v>352</v>
      </c>
      <c r="T243" s="35"/>
      <c r="U243" s="31"/>
    </row>
    <row r="244">
      <c r="A244" s="31"/>
      <c r="B244" s="37">
        <v>45681.0</v>
      </c>
      <c r="C244" s="38" t="s">
        <v>46</v>
      </c>
      <c r="D244" s="38" t="s">
        <v>31</v>
      </c>
      <c r="E244" s="38" t="s">
        <v>339</v>
      </c>
      <c r="F244" s="38" t="s">
        <v>84</v>
      </c>
      <c r="G244" s="38" t="s">
        <v>364</v>
      </c>
      <c r="H244" s="38">
        <v>3.54166470015356E14</v>
      </c>
      <c r="I244" s="41" t="s">
        <v>86</v>
      </c>
      <c r="J244" s="38" t="s">
        <v>374</v>
      </c>
      <c r="K244" s="38" t="s">
        <v>375</v>
      </c>
      <c r="L244" s="29"/>
      <c r="M244" s="29"/>
      <c r="N244" s="29"/>
      <c r="O244" s="43"/>
      <c r="P244" s="29"/>
      <c r="Q244" s="29"/>
      <c r="R244" s="38" t="e">
        <v>#VALUE!</v>
      </c>
      <c r="S244" s="29"/>
      <c r="T244" s="29"/>
      <c r="U244" s="31"/>
    </row>
    <row r="245">
      <c r="A245" s="31"/>
      <c r="B245" s="32">
        <v>45681.0</v>
      </c>
      <c r="C245" s="33" t="s">
        <v>46</v>
      </c>
      <c r="D245" s="33" t="s">
        <v>31</v>
      </c>
      <c r="E245" s="33" t="s">
        <v>363</v>
      </c>
      <c r="F245" s="33" t="s">
        <v>76</v>
      </c>
      <c r="G245" s="33" t="s">
        <v>376</v>
      </c>
      <c r="H245" s="33">
        <v>3.5883352500202E14</v>
      </c>
      <c r="I245" s="34" t="s">
        <v>86</v>
      </c>
      <c r="J245" s="33" t="s">
        <v>377</v>
      </c>
      <c r="K245" s="33" t="s">
        <v>375</v>
      </c>
      <c r="L245" s="35"/>
      <c r="M245" s="35"/>
      <c r="N245" s="35"/>
      <c r="O245" s="42"/>
      <c r="P245" s="35"/>
      <c r="Q245" s="35"/>
      <c r="R245" s="33" t="e">
        <v>#VALUE!</v>
      </c>
      <c r="S245" s="35"/>
      <c r="T245" s="35"/>
      <c r="U245" s="31"/>
    </row>
    <row r="246">
      <c r="A246" s="31"/>
      <c r="B246" s="37">
        <v>45681.0</v>
      </c>
      <c r="C246" s="38" t="s">
        <v>46</v>
      </c>
      <c r="D246" s="38" t="s">
        <v>31</v>
      </c>
      <c r="E246" s="38" t="s">
        <v>363</v>
      </c>
      <c r="F246" s="38" t="s">
        <v>76</v>
      </c>
      <c r="G246" s="38" t="s">
        <v>378</v>
      </c>
      <c r="H246" s="38">
        <v>3.58833525003671E14</v>
      </c>
      <c r="I246" s="41" t="s">
        <v>78</v>
      </c>
      <c r="J246" s="29"/>
      <c r="K246" s="38" t="s">
        <v>375</v>
      </c>
      <c r="L246" s="29"/>
      <c r="M246" s="29"/>
      <c r="N246" s="29"/>
      <c r="O246" s="43"/>
      <c r="P246" s="29"/>
      <c r="Q246" s="29"/>
      <c r="R246" s="38" t="s">
        <v>379</v>
      </c>
      <c r="S246" s="38" t="s">
        <v>352</v>
      </c>
      <c r="T246" s="29"/>
      <c r="U246" s="31"/>
    </row>
    <row r="247">
      <c r="A247" s="31"/>
      <c r="B247" s="32">
        <v>45681.0</v>
      </c>
      <c r="C247" s="33" t="s">
        <v>46</v>
      </c>
      <c r="D247" s="33" t="s">
        <v>31</v>
      </c>
      <c r="E247" s="33" t="s">
        <v>363</v>
      </c>
      <c r="F247" s="33" t="s">
        <v>84</v>
      </c>
      <c r="G247" s="33" t="s">
        <v>111</v>
      </c>
      <c r="H247" s="33">
        <v>3.58410185003638E14</v>
      </c>
      <c r="I247" s="34" t="s">
        <v>78</v>
      </c>
      <c r="J247" s="35"/>
      <c r="K247" s="33" t="s">
        <v>375</v>
      </c>
      <c r="L247" s="35"/>
      <c r="M247" s="35"/>
      <c r="N247" s="35"/>
      <c r="O247" s="42"/>
      <c r="P247" s="35"/>
      <c r="Q247" s="35"/>
      <c r="R247" s="33" t="s">
        <v>379</v>
      </c>
      <c r="S247" s="33" t="s">
        <v>352</v>
      </c>
      <c r="T247" s="35"/>
      <c r="U247" s="31"/>
    </row>
    <row r="248">
      <c r="A248" s="31"/>
      <c r="B248" s="37">
        <v>45681.0</v>
      </c>
      <c r="C248" s="38" t="s">
        <v>46</v>
      </c>
      <c r="D248" s="38" t="s">
        <v>31</v>
      </c>
      <c r="E248" s="38" t="s">
        <v>363</v>
      </c>
      <c r="F248" s="38" t="s">
        <v>84</v>
      </c>
      <c r="G248" s="38" t="s">
        <v>364</v>
      </c>
      <c r="H248" s="38">
        <v>3.5841018502691E14</v>
      </c>
      <c r="I248" s="41" t="s">
        <v>86</v>
      </c>
      <c r="J248" s="38" t="s">
        <v>380</v>
      </c>
      <c r="K248" s="38" t="s">
        <v>375</v>
      </c>
      <c r="L248" s="29"/>
      <c r="M248" s="29"/>
      <c r="N248" s="29"/>
      <c r="O248" s="43"/>
      <c r="P248" s="29"/>
      <c r="Q248" s="29"/>
      <c r="R248" s="38" t="s">
        <v>379</v>
      </c>
      <c r="S248" s="38" t="s">
        <v>352</v>
      </c>
      <c r="T248" s="29"/>
      <c r="U248" s="31"/>
    </row>
    <row r="249">
      <c r="A249" s="31"/>
      <c r="B249" s="32">
        <v>45681.0</v>
      </c>
      <c r="C249" s="33" t="s">
        <v>46</v>
      </c>
      <c r="D249" s="33" t="s">
        <v>31</v>
      </c>
      <c r="E249" s="33" t="s">
        <v>363</v>
      </c>
      <c r="F249" s="33" t="s">
        <v>84</v>
      </c>
      <c r="G249" s="33" t="s">
        <v>364</v>
      </c>
      <c r="H249" s="33">
        <v>3.58410185013843E14</v>
      </c>
      <c r="I249" s="34" t="s">
        <v>86</v>
      </c>
      <c r="J249" s="33" t="s">
        <v>381</v>
      </c>
      <c r="K249" s="33" t="s">
        <v>375</v>
      </c>
      <c r="L249" s="35"/>
      <c r="M249" s="35"/>
      <c r="N249" s="35"/>
      <c r="O249" s="42"/>
      <c r="P249" s="35"/>
      <c r="Q249" s="35"/>
      <c r="R249" s="33" t="e">
        <v>#VALUE!</v>
      </c>
      <c r="S249" s="35"/>
      <c r="T249" s="35"/>
      <c r="U249" s="31"/>
    </row>
    <row r="250">
      <c r="A250" s="31"/>
      <c r="B250" s="37">
        <v>45681.0</v>
      </c>
      <c r="C250" s="38" t="s">
        <v>46</v>
      </c>
      <c r="D250" s="38" t="s">
        <v>31</v>
      </c>
      <c r="E250" s="38" t="s">
        <v>343</v>
      </c>
      <c r="F250" s="38" t="s">
        <v>84</v>
      </c>
      <c r="G250" s="38" t="s">
        <v>382</v>
      </c>
      <c r="H250" s="38">
        <v>3.52901540024133E14</v>
      </c>
      <c r="I250" s="41" t="s">
        <v>86</v>
      </c>
      <c r="J250" s="38" t="s">
        <v>383</v>
      </c>
      <c r="K250" s="38" t="s">
        <v>375</v>
      </c>
      <c r="L250" s="29"/>
      <c r="M250" s="29"/>
      <c r="N250" s="29"/>
      <c r="O250" s="43"/>
      <c r="P250" s="29"/>
      <c r="Q250" s="29"/>
      <c r="R250" s="38" t="e">
        <v>#VALUE!</v>
      </c>
      <c r="S250" s="29"/>
      <c r="T250" s="29"/>
      <c r="U250" s="31"/>
    </row>
    <row r="251">
      <c r="A251" s="31"/>
      <c r="B251" s="32">
        <v>45681.0</v>
      </c>
      <c r="C251" s="33" t="s">
        <v>46</v>
      </c>
      <c r="D251" s="33" t="s">
        <v>31</v>
      </c>
      <c r="E251" s="33" t="s">
        <v>343</v>
      </c>
      <c r="F251" s="33" t="s">
        <v>76</v>
      </c>
      <c r="G251" s="33" t="s">
        <v>384</v>
      </c>
      <c r="H251" s="33">
        <v>3.56284530112143E14</v>
      </c>
      <c r="I251" s="34" t="s">
        <v>86</v>
      </c>
      <c r="J251" s="33" t="s">
        <v>385</v>
      </c>
      <c r="K251" s="33" t="s">
        <v>375</v>
      </c>
      <c r="L251" s="35"/>
      <c r="M251" s="35"/>
      <c r="N251" s="35"/>
      <c r="O251" s="42"/>
      <c r="P251" s="35"/>
      <c r="Q251" s="35"/>
      <c r="R251" s="33" t="s">
        <v>379</v>
      </c>
      <c r="S251" s="33" t="s">
        <v>352</v>
      </c>
      <c r="T251" s="35"/>
      <c r="U251" s="31"/>
    </row>
    <row r="252">
      <c r="A252" s="31"/>
      <c r="B252" s="37">
        <v>45681.0</v>
      </c>
      <c r="C252" s="38" t="s">
        <v>46</v>
      </c>
      <c r="D252" s="38" t="s">
        <v>31</v>
      </c>
      <c r="E252" s="38" t="s">
        <v>343</v>
      </c>
      <c r="F252" s="38" t="s">
        <v>84</v>
      </c>
      <c r="G252" s="38" t="s">
        <v>382</v>
      </c>
      <c r="H252" s="38">
        <v>3.52901540032516E14</v>
      </c>
      <c r="I252" s="41" t="s">
        <v>78</v>
      </c>
      <c r="J252" s="29"/>
      <c r="K252" s="38" t="s">
        <v>375</v>
      </c>
      <c r="L252" s="29"/>
      <c r="M252" s="29"/>
      <c r="N252" s="29"/>
      <c r="O252" s="43"/>
      <c r="P252" s="29"/>
      <c r="Q252" s="29"/>
      <c r="R252" s="38" t="s">
        <v>379</v>
      </c>
      <c r="S252" s="38" t="s">
        <v>352</v>
      </c>
      <c r="T252" s="29"/>
      <c r="U252" s="31"/>
    </row>
    <row r="253">
      <c r="A253" s="31"/>
      <c r="B253" s="32">
        <v>45681.0</v>
      </c>
      <c r="C253" s="33" t="s">
        <v>46</v>
      </c>
      <c r="D253" s="33" t="s">
        <v>31</v>
      </c>
      <c r="E253" s="33" t="s">
        <v>343</v>
      </c>
      <c r="F253" s="33" t="s">
        <v>76</v>
      </c>
      <c r="G253" s="33" t="s">
        <v>120</v>
      </c>
      <c r="H253" s="33">
        <v>3.56284530101575E14</v>
      </c>
      <c r="I253" s="34" t="s">
        <v>86</v>
      </c>
      <c r="J253" s="33" t="s">
        <v>106</v>
      </c>
      <c r="K253" s="33" t="s">
        <v>375</v>
      </c>
      <c r="L253" s="35"/>
      <c r="M253" s="35"/>
      <c r="N253" s="35"/>
      <c r="O253" s="42"/>
      <c r="P253" s="35"/>
      <c r="Q253" s="35"/>
      <c r="R253" s="33" t="e">
        <v>#VALUE!</v>
      </c>
      <c r="S253" s="35"/>
      <c r="T253" s="35"/>
      <c r="U253" s="31"/>
    </row>
    <row r="254">
      <c r="A254" s="31"/>
      <c r="B254" s="37">
        <v>45681.0</v>
      </c>
      <c r="C254" s="38" t="s">
        <v>46</v>
      </c>
      <c r="D254" s="38" t="s">
        <v>31</v>
      </c>
      <c r="E254" s="38" t="s">
        <v>343</v>
      </c>
      <c r="F254" s="38" t="s">
        <v>84</v>
      </c>
      <c r="G254" s="38" t="s">
        <v>124</v>
      </c>
      <c r="H254" s="38">
        <v>3.52901540009134E14</v>
      </c>
      <c r="I254" s="41" t="s">
        <v>78</v>
      </c>
      <c r="J254" s="29"/>
      <c r="K254" s="38" t="s">
        <v>375</v>
      </c>
      <c r="L254" s="29"/>
      <c r="M254" s="29"/>
      <c r="N254" s="29"/>
      <c r="O254" s="43"/>
      <c r="P254" s="29"/>
      <c r="Q254" s="29"/>
      <c r="R254" s="38" t="s">
        <v>379</v>
      </c>
      <c r="S254" s="38" t="s">
        <v>352</v>
      </c>
      <c r="T254" s="29"/>
      <c r="U254" s="31"/>
    </row>
    <row r="255">
      <c r="A255" s="31"/>
      <c r="B255" s="32">
        <v>45681.0</v>
      </c>
      <c r="C255" s="33" t="s">
        <v>46</v>
      </c>
      <c r="D255" s="33" t="s">
        <v>31</v>
      </c>
      <c r="E255" s="33" t="s">
        <v>343</v>
      </c>
      <c r="F255" s="33" t="s">
        <v>84</v>
      </c>
      <c r="G255" s="33" t="s">
        <v>120</v>
      </c>
      <c r="H255" s="33">
        <v>3.52901540003855E14</v>
      </c>
      <c r="I255" s="34" t="s">
        <v>78</v>
      </c>
      <c r="J255" s="35"/>
      <c r="K255" s="33" t="s">
        <v>375</v>
      </c>
      <c r="L255" s="35"/>
      <c r="M255" s="35"/>
      <c r="N255" s="35"/>
      <c r="O255" s="42"/>
      <c r="P255" s="35"/>
      <c r="Q255" s="35"/>
      <c r="R255" s="33" t="s">
        <v>379</v>
      </c>
      <c r="S255" s="33" t="s">
        <v>352</v>
      </c>
      <c r="T255" s="35"/>
      <c r="U255" s="31"/>
    </row>
    <row r="256">
      <c r="A256" s="31"/>
      <c r="B256" s="37">
        <v>45681.0</v>
      </c>
      <c r="C256" s="38" t="s">
        <v>46</v>
      </c>
      <c r="D256" s="38" t="s">
        <v>31</v>
      </c>
      <c r="E256" s="38" t="s">
        <v>343</v>
      </c>
      <c r="F256" s="38" t="s">
        <v>76</v>
      </c>
      <c r="G256" s="38" t="s">
        <v>384</v>
      </c>
      <c r="H256" s="38">
        <v>3.56284530106673E14</v>
      </c>
      <c r="I256" s="41" t="s">
        <v>86</v>
      </c>
      <c r="J256" s="38" t="s">
        <v>386</v>
      </c>
      <c r="K256" s="38" t="s">
        <v>375</v>
      </c>
      <c r="L256" s="29"/>
      <c r="M256" s="29"/>
      <c r="N256" s="29"/>
      <c r="O256" s="43"/>
      <c r="P256" s="29"/>
      <c r="Q256" s="29"/>
      <c r="R256" s="38" t="e">
        <v>#VALUE!</v>
      </c>
      <c r="S256" s="29"/>
      <c r="T256" s="29"/>
      <c r="U256" s="31"/>
    </row>
    <row r="257">
      <c r="A257" s="31"/>
      <c r="B257" s="32">
        <v>45681.0</v>
      </c>
      <c r="C257" s="33" t="s">
        <v>46</v>
      </c>
      <c r="D257" s="33" t="s">
        <v>31</v>
      </c>
      <c r="E257" s="33" t="s">
        <v>343</v>
      </c>
      <c r="F257" s="33" t="s">
        <v>84</v>
      </c>
      <c r="G257" s="33" t="s">
        <v>384</v>
      </c>
      <c r="H257" s="33">
        <v>3.52901540007476E14</v>
      </c>
      <c r="I257" s="34" t="s">
        <v>86</v>
      </c>
      <c r="J257" s="33" t="s">
        <v>387</v>
      </c>
      <c r="K257" s="33" t="s">
        <v>375</v>
      </c>
      <c r="L257" s="35"/>
      <c r="M257" s="35"/>
      <c r="N257" s="35"/>
      <c r="O257" s="42"/>
      <c r="P257" s="35"/>
      <c r="Q257" s="35"/>
      <c r="R257" s="33" t="s">
        <v>379</v>
      </c>
      <c r="S257" s="33" t="s">
        <v>352</v>
      </c>
      <c r="T257" s="35"/>
      <c r="U257" s="31"/>
    </row>
    <row r="258">
      <c r="A258" s="31"/>
      <c r="B258" s="37">
        <v>45681.0</v>
      </c>
      <c r="C258" s="38" t="s">
        <v>46</v>
      </c>
      <c r="D258" s="38" t="s">
        <v>31</v>
      </c>
      <c r="E258" s="38" t="s">
        <v>343</v>
      </c>
      <c r="F258" s="38" t="s">
        <v>84</v>
      </c>
      <c r="G258" s="38" t="s">
        <v>384</v>
      </c>
      <c r="H258" s="38">
        <v>3.52901540005538E14</v>
      </c>
      <c r="I258" s="41" t="s">
        <v>78</v>
      </c>
      <c r="J258" s="29"/>
      <c r="K258" s="38" t="s">
        <v>375</v>
      </c>
      <c r="L258" s="29"/>
      <c r="M258" s="29"/>
      <c r="N258" s="29"/>
      <c r="O258" s="43"/>
      <c r="P258" s="29"/>
      <c r="Q258" s="29"/>
      <c r="R258" s="38" t="s">
        <v>379</v>
      </c>
      <c r="S258" s="38" t="s">
        <v>352</v>
      </c>
      <c r="T258" s="29"/>
      <c r="U258" s="31"/>
    </row>
    <row r="259">
      <c r="A259" s="31"/>
      <c r="B259" s="32">
        <v>45681.0</v>
      </c>
      <c r="C259" s="33" t="s">
        <v>46</v>
      </c>
      <c r="D259" s="33" t="s">
        <v>31</v>
      </c>
      <c r="E259" s="33" t="s">
        <v>343</v>
      </c>
      <c r="F259" s="33" t="s">
        <v>84</v>
      </c>
      <c r="G259" s="33" t="s">
        <v>382</v>
      </c>
      <c r="H259" s="33">
        <v>3.52901540038E14</v>
      </c>
      <c r="I259" s="34" t="s">
        <v>78</v>
      </c>
      <c r="J259" s="35"/>
      <c r="K259" s="33" t="s">
        <v>375</v>
      </c>
      <c r="L259" s="35"/>
      <c r="M259" s="35"/>
      <c r="N259" s="35"/>
      <c r="O259" s="42"/>
      <c r="P259" s="35"/>
      <c r="Q259" s="35"/>
      <c r="R259" s="33" t="s">
        <v>379</v>
      </c>
      <c r="S259" s="33" t="s">
        <v>352</v>
      </c>
      <c r="T259" s="35"/>
      <c r="U259" s="31"/>
    </row>
    <row r="260">
      <c r="A260" s="31"/>
      <c r="B260" s="37">
        <v>45681.0</v>
      </c>
      <c r="C260" s="38" t="s">
        <v>46</v>
      </c>
      <c r="D260" s="38" t="s">
        <v>31</v>
      </c>
      <c r="E260" s="38" t="s">
        <v>343</v>
      </c>
      <c r="F260" s="38" t="s">
        <v>84</v>
      </c>
      <c r="G260" s="38" t="s">
        <v>382</v>
      </c>
      <c r="H260" s="38">
        <v>3.52901540033696E14</v>
      </c>
      <c r="I260" s="41" t="s">
        <v>86</v>
      </c>
      <c r="J260" s="38" t="s">
        <v>388</v>
      </c>
      <c r="K260" s="38" t="s">
        <v>375</v>
      </c>
      <c r="L260" s="29"/>
      <c r="M260" s="29"/>
      <c r="N260" s="29"/>
      <c r="O260" s="43"/>
      <c r="P260" s="29"/>
      <c r="Q260" s="29"/>
      <c r="R260" s="38" t="s">
        <v>379</v>
      </c>
      <c r="S260" s="38" t="s">
        <v>352</v>
      </c>
      <c r="T260" s="29"/>
      <c r="U260" s="31"/>
    </row>
    <row r="261">
      <c r="A261" s="31"/>
      <c r="B261" s="32">
        <v>45681.0</v>
      </c>
      <c r="C261" s="33" t="s">
        <v>46</v>
      </c>
      <c r="D261" s="33" t="s">
        <v>31</v>
      </c>
      <c r="E261" s="33" t="s">
        <v>343</v>
      </c>
      <c r="F261" s="33" t="s">
        <v>84</v>
      </c>
      <c r="G261" s="33" t="s">
        <v>382</v>
      </c>
      <c r="H261" s="33">
        <v>3.52901540022673E14</v>
      </c>
      <c r="I261" s="34" t="s">
        <v>86</v>
      </c>
      <c r="J261" s="33" t="s">
        <v>389</v>
      </c>
      <c r="K261" s="33" t="s">
        <v>375</v>
      </c>
      <c r="L261" s="35"/>
      <c r="M261" s="35"/>
      <c r="N261" s="35"/>
      <c r="O261" s="42"/>
      <c r="P261" s="35"/>
      <c r="Q261" s="35"/>
      <c r="R261" s="33" t="s">
        <v>379</v>
      </c>
      <c r="S261" s="33" t="s">
        <v>352</v>
      </c>
      <c r="T261" s="35"/>
      <c r="U261" s="31"/>
    </row>
    <row r="262">
      <c r="A262" s="31"/>
      <c r="B262" s="37">
        <v>45681.0</v>
      </c>
      <c r="C262" s="38" t="s">
        <v>46</v>
      </c>
      <c r="D262" s="38" t="s">
        <v>31</v>
      </c>
      <c r="E262" s="38" t="s">
        <v>343</v>
      </c>
      <c r="F262" s="38" t="s">
        <v>76</v>
      </c>
      <c r="G262" s="38" t="s">
        <v>384</v>
      </c>
      <c r="H262" s="38">
        <v>3.56284530106012E14</v>
      </c>
      <c r="I262" s="41" t="s">
        <v>78</v>
      </c>
      <c r="J262" s="38" t="s">
        <v>390</v>
      </c>
      <c r="K262" s="38" t="s">
        <v>375</v>
      </c>
      <c r="L262" s="29"/>
      <c r="M262" s="29"/>
      <c r="N262" s="29"/>
      <c r="O262" s="43"/>
      <c r="P262" s="29"/>
      <c r="Q262" s="29"/>
      <c r="R262" s="38" t="e">
        <v>#VALUE!</v>
      </c>
      <c r="S262" s="29"/>
      <c r="T262" s="29"/>
      <c r="U262" s="31"/>
    </row>
    <row r="263">
      <c r="A263" s="31"/>
      <c r="B263" s="32">
        <v>45681.0</v>
      </c>
      <c r="C263" s="33" t="s">
        <v>46</v>
      </c>
      <c r="D263" s="33" t="s">
        <v>31</v>
      </c>
      <c r="E263" s="33" t="s">
        <v>343</v>
      </c>
      <c r="F263" s="33" t="s">
        <v>84</v>
      </c>
      <c r="G263" s="33" t="s">
        <v>384</v>
      </c>
      <c r="H263" s="33">
        <v>3.52901540006692E14</v>
      </c>
      <c r="I263" s="34" t="s">
        <v>86</v>
      </c>
      <c r="J263" s="33" t="s">
        <v>391</v>
      </c>
      <c r="K263" s="33" t="s">
        <v>375</v>
      </c>
      <c r="L263" s="35"/>
      <c r="M263" s="35"/>
      <c r="N263" s="35"/>
      <c r="O263" s="42"/>
      <c r="P263" s="35"/>
      <c r="Q263" s="35"/>
      <c r="R263" s="33" t="e">
        <v>#VALUE!</v>
      </c>
      <c r="S263" s="35"/>
      <c r="T263" s="35"/>
      <c r="U263" s="31"/>
    </row>
    <row r="264">
      <c r="A264" s="31"/>
      <c r="B264" s="37">
        <v>45681.0</v>
      </c>
      <c r="C264" s="38" t="s">
        <v>46</v>
      </c>
      <c r="D264" s="38" t="s">
        <v>31</v>
      </c>
      <c r="E264" s="38" t="s">
        <v>343</v>
      </c>
      <c r="F264" s="38" t="s">
        <v>84</v>
      </c>
      <c r="G264" s="38" t="s">
        <v>384</v>
      </c>
      <c r="H264" s="38">
        <v>3.52901540004887E14</v>
      </c>
      <c r="I264" s="41" t="s">
        <v>86</v>
      </c>
      <c r="J264" s="29"/>
      <c r="K264" s="38" t="s">
        <v>375</v>
      </c>
      <c r="L264" s="29"/>
      <c r="M264" s="29"/>
      <c r="N264" s="29"/>
      <c r="O264" s="43"/>
      <c r="P264" s="29"/>
      <c r="Q264" s="29"/>
      <c r="R264" s="38" t="s">
        <v>379</v>
      </c>
      <c r="S264" s="38" t="s">
        <v>352</v>
      </c>
      <c r="T264" s="29"/>
      <c r="U264" s="31"/>
    </row>
    <row r="265">
      <c r="A265" s="31"/>
      <c r="B265" s="32">
        <v>45681.0</v>
      </c>
      <c r="C265" s="33" t="s">
        <v>46</v>
      </c>
      <c r="D265" s="33" t="s">
        <v>31</v>
      </c>
      <c r="E265" s="33" t="s">
        <v>343</v>
      </c>
      <c r="F265" s="33" t="s">
        <v>84</v>
      </c>
      <c r="G265" s="33" t="s">
        <v>120</v>
      </c>
      <c r="H265" s="33">
        <v>3.52901540000364E14</v>
      </c>
      <c r="I265" s="34" t="s">
        <v>86</v>
      </c>
      <c r="J265" s="33" t="s">
        <v>392</v>
      </c>
      <c r="K265" s="33" t="s">
        <v>375</v>
      </c>
      <c r="L265" s="35"/>
      <c r="M265" s="35"/>
      <c r="N265" s="35"/>
      <c r="O265" s="42"/>
      <c r="P265" s="35"/>
      <c r="Q265" s="35"/>
      <c r="R265" s="33" t="e">
        <v>#VALUE!</v>
      </c>
      <c r="S265" s="35"/>
      <c r="T265" s="35"/>
      <c r="U265" s="31"/>
    </row>
    <row r="266">
      <c r="A266" s="31"/>
      <c r="B266" s="37">
        <v>45681.0</v>
      </c>
      <c r="C266" s="38" t="s">
        <v>46</v>
      </c>
      <c r="D266" s="38" t="s">
        <v>31</v>
      </c>
      <c r="E266" s="38" t="s">
        <v>343</v>
      </c>
      <c r="F266" s="38" t="s">
        <v>84</v>
      </c>
      <c r="G266" s="38" t="s">
        <v>120</v>
      </c>
      <c r="H266" s="38">
        <v>3.52901540002865E14</v>
      </c>
      <c r="I266" s="41" t="s">
        <v>86</v>
      </c>
      <c r="J266" s="38" t="s">
        <v>391</v>
      </c>
      <c r="K266" s="38" t="s">
        <v>375</v>
      </c>
      <c r="L266" s="29"/>
      <c r="M266" s="29"/>
      <c r="N266" s="29"/>
      <c r="O266" s="43"/>
      <c r="P266" s="29"/>
      <c r="Q266" s="29"/>
      <c r="R266" s="38" t="e">
        <v>#VALUE!</v>
      </c>
      <c r="S266" s="29"/>
      <c r="T266" s="29"/>
      <c r="U266" s="31"/>
    </row>
    <row r="267">
      <c r="A267" s="31"/>
      <c r="B267" s="32">
        <v>45681.0</v>
      </c>
      <c r="C267" s="33" t="s">
        <v>46</v>
      </c>
      <c r="D267" s="33" t="s">
        <v>31</v>
      </c>
      <c r="E267" s="33" t="s">
        <v>343</v>
      </c>
      <c r="F267" s="33" t="s">
        <v>84</v>
      </c>
      <c r="G267" s="33" t="s">
        <v>120</v>
      </c>
      <c r="H267" s="33">
        <v>3.52901540000034E14</v>
      </c>
      <c r="I267" s="34" t="s">
        <v>86</v>
      </c>
      <c r="J267" s="33" t="s">
        <v>393</v>
      </c>
      <c r="K267" s="33" t="s">
        <v>375</v>
      </c>
      <c r="L267" s="35"/>
      <c r="M267" s="35"/>
      <c r="N267" s="35"/>
      <c r="O267" s="42"/>
      <c r="P267" s="35"/>
      <c r="Q267" s="35"/>
      <c r="R267" s="33" t="e">
        <v>#VALUE!</v>
      </c>
      <c r="S267" s="35"/>
      <c r="T267" s="35"/>
      <c r="U267" s="31"/>
    </row>
    <row r="268">
      <c r="A268" s="31"/>
      <c r="B268" s="37">
        <v>45681.0</v>
      </c>
      <c r="C268" s="38" t="s">
        <v>46</v>
      </c>
      <c r="D268" s="38" t="s">
        <v>31</v>
      </c>
      <c r="E268" s="38" t="s">
        <v>343</v>
      </c>
      <c r="F268" s="38" t="s">
        <v>76</v>
      </c>
      <c r="G268" s="38" t="s">
        <v>384</v>
      </c>
      <c r="H268" s="38">
        <v>3.56284530106731E14</v>
      </c>
      <c r="I268" s="41" t="s">
        <v>86</v>
      </c>
      <c r="J268" s="38" t="s">
        <v>394</v>
      </c>
      <c r="K268" s="38" t="s">
        <v>375</v>
      </c>
      <c r="L268" s="29"/>
      <c r="M268" s="29"/>
      <c r="N268" s="29"/>
      <c r="O268" s="43"/>
      <c r="P268" s="29"/>
      <c r="Q268" s="29"/>
      <c r="R268" s="38" t="e">
        <v>#VALUE!</v>
      </c>
      <c r="S268" s="29"/>
      <c r="T268" s="29"/>
      <c r="U268" s="31"/>
    </row>
    <row r="269">
      <c r="A269" s="31"/>
      <c r="B269" s="32">
        <v>45687.0</v>
      </c>
      <c r="C269" s="33" t="s">
        <v>49</v>
      </c>
      <c r="D269" s="33" t="s">
        <v>31</v>
      </c>
      <c r="E269" s="33" t="s">
        <v>395</v>
      </c>
      <c r="F269" s="33" t="s">
        <v>396</v>
      </c>
      <c r="G269" s="33" t="s">
        <v>136</v>
      </c>
      <c r="H269" s="33">
        <v>3.57582380237095E14</v>
      </c>
      <c r="I269" s="39" t="s">
        <v>88</v>
      </c>
      <c r="J269" s="35"/>
      <c r="K269" s="33" t="s">
        <v>397</v>
      </c>
      <c r="L269" s="35"/>
      <c r="M269" s="33" t="s">
        <v>80</v>
      </c>
      <c r="N269" s="35"/>
      <c r="O269" s="42"/>
      <c r="P269" s="35"/>
      <c r="Q269" s="35"/>
      <c r="R269" s="33" t="e">
        <v>#VALUE!</v>
      </c>
      <c r="S269" s="35"/>
      <c r="T269" s="35"/>
      <c r="U269" s="31"/>
    </row>
    <row r="270">
      <c r="A270" s="31"/>
      <c r="B270" s="37">
        <v>45687.0</v>
      </c>
      <c r="C270" s="38" t="s">
        <v>49</v>
      </c>
      <c r="D270" s="38" t="s">
        <v>31</v>
      </c>
      <c r="E270" s="38" t="s">
        <v>398</v>
      </c>
      <c r="F270" s="38" t="s">
        <v>84</v>
      </c>
      <c r="G270" s="38" t="s">
        <v>284</v>
      </c>
      <c r="H270" s="38">
        <v>3.51182450137642E14</v>
      </c>
      <c r="I270" s="39" t="s">
        <v>88</v>
      </c>
      <c r="J270" s="29"/>
      <c r="K270" s="38" t="s">
        <v>397</v>
      </c>
      <c r="L270" s="29"/>
      <c r="M270" s="38" t="s">
        <v>80</v>
      </c>
      <c r="N270" s="29"/>
      <c r="O270" s="43"/>
      <c r="P270" s="29"/>
      <c r="Q270" s="29"/>
      <c r="R270" s="38" t="e">
        <v>#VALUE!</v>
      </c>
      <c r="S270" s="29"/>
      <c r="T270" s="29"/>
      <c r="U270" s="31"/>
    </row>
    <row r="271">
      <c r="A271" s="31"/>
      <c r="B271" s="32">
        <v>45687.0</v>
      </c>
      <c r="C271" s="33" t="s">
        <v>49</v>
      </c>
      <c r="D271" s="33" t="s">
        <v>31</v>
      </c>
      <c r="E271" s="33" t="s">
        <v>398</v>
      </c>
      <c r="F271" s="33" t="s">
        <v>84</v>
      </c>
      <c r="G271" s="33" t="s">
        <v>176</v>
      </c>
      <c r="H271" s="33">
        <v>3.51182450356168E14</v>
      </c>
      <c r="I271" s="39" t="s">
        <v>88</v>
      </c>
      <c r="J271" s="35"/>
      <c r="K271" s="33" t="s">
        <v>397</v>
      </c>
      <c r="L271" s="35"/>
      <c r="M271" s="33" t="s">
        <v>80</v>
      </c>
      <c r="N271" s="35"/>
      <c r="O271" s="42"/>
      <c r="P271" s="35"/>
      <c r="Q271" s="35"/>
      <c r="R271" s="33" t="e">
        <v>#VALUE!</v>
      </c>
      <c r="S271" s="35"/>
      <c r="T271" s="35"/>
      <c r="U271" s="31"/>
    </row>
    <row r="272">
      <c r="A272" s="31"/>
      <c r="B272" s="37">
        <v>45687.0</v>
      </c>
      <c r="C272" s="38" t="s">
        <v>49</v>
      </c>
      <c r="D272" s="38" t="s">
        <v>31</v>
      </c>
      <c r="E272" s="38" t="s">
        <v>398</v>
      </c>
      <c r="F272" s="38" t="s">
        <v>84</v>
      </c>
      <c r="G272" s="38" t="s">
        <v>114</v>
      </c>
      <c r="H272" s="38">
        <v>3.51182450157541E14</v>
      </c>
      <c r="I272" s="41" t="s">
        <v>78</v>
      </c>
      <c r="J272" s="29"/>
      <c r="K272" s="38" t="s">
        <v>105</v>
      </c>
      <c r="L272" s="29"/>
      <c r="M272" s="29"/>
      <c r="N272" s="29"/>
      <c r="O272" s="43"/>
      <c r="P272" s="29"/>
      <c r="Q272" s="29"/>
      <c r="R272" s="38" t="e">
        <v>#VALUE!</v>
      </c>
      <c r="S272" s="29"/>
      <c r="T272" s="29"/>
      <c r="U272" s="31"/>
    </row>
    <row r="273">
      <c r="A273" s="31"/>
      <c r="B273" s="44">
        <v>45687.0</v>
      </c>
      <c r="C273" s="33" t="s">
        <v>49</v>
      </c>
      <c r="D273" s="33" t="s">
        <v>31</v>
      </c>
      <c r="E273" s="33" t="s">
        <v>398</v>
      </c>
      <c r="F273" s="33" t="s">
        <v>84</v>
      </c>
      <c r="G273" s="33" t="s">
        <v>319</v>
      </c>
      <c r="H273" s="33">
        <v>3.51182450353603E14</v>
      </c>
      <c r="I273" s="34" t="s">
        <v>78</v>
      </c>
      <c r="J273" s="35"/>
      <c r="K273" s="33" t="s">
        <v>105</v>
      </c>
      <c r="L273" s="35"/>
      <c r="M273" s="35"/>
      <c r="N273" s="35"/>
      <c r="O273" s="42"/>
      <c r="P273" s="35"/>
      <c r="Q273" s="35"/>
      <c r="R273" s="33" t="e">
        <v>#VALUE!</v>
      </c>
      <c r="S273" s="35"/>
      <c r="T273" s="35"/>
      <c r="U273" s="31"/>
    </row>
    <row r="274">
      <c r="A274" s="31"/>
      <c r="B274" s="37">
        <v>45687.0</v>
      </c>
      <c r="C274" s="38" t="s">
        <v>49</v>
      </c>
      <c r="D274" s="38" t="s">
        <v>31</v>
      </c>
      <c r="E274" s="38" t="s">
        <v>398</v>
      </c>
      <c r="F274" s="38" t="s">
        <v>84</v>
      </c>
      <c r="G274" s="38" t="s">
        <v>266</v>
      </c>
      <c r="H274" s="38">
        <v>3.51182450175378E14</v>
      </c>
      <c r="I274" s="39" t="s">
        <v>88</v>
      </c>
      <c r="J274" s="29"/>
      <c r="K274" s="38" t="s">
        <v>109</v>
      </c>
      <c r="L274" s="29"/>
      <c r="M274" s="38" t="s">
        <v>80</v>
      </c>
      <c r="N274" s="29"/>
      <c r="O274" s="43"/>
      <c r="P274" s="29"/>
      <c r="Q274" s="29"/>
      <c r="R274" s="38" t="e">
        <v>#VALUE!</v>
      </c>
      <c r="S274" s="29"/>
      <c r="T274" s="29"/>
      <c r="U274" s="31"/>
    </row>
    <row r="275">
      <c r="A275" s="31"/>
      <c r="B275" s="32">
        <v>45687.0</v>
      </c>
      <c r="C275" s="33" t="s">
        <v>16</v>
      </c>
      <c r="D275" s="33" t="s">
        <v>31</v>
      </c>
      <c r="E275" s="33" t="s">
        <v>399</v>
      </c>
      <c r="F275" s="33" t="s">
        <v>152</v>
      </c>
      <c r="G275" s="33" t="s">
        <v>284</v>
      </c>
      <c r="H275" s="48">
        <v>3.57052330000472E14</v>
      </c>
      <c r="I275" s="34" t="s">
        <v>88</v>
      </c>
      <c r="J275" s="42"/>
      <c r="K275" s="33" t="s">
        <v>79</v>
      </c>
      <c r="L275" s="35"/>
      <c r="M275" s="33" t="s">
        <v>80</v>
      </c>
      <c r="N275" s="35"/>
      <c r="O275" s="42"/>
      <c r="P275" s="35"/>
      <c r="Q275" s="35"/>
      <c r="R275" s="33" t="e">
        <v>#VALUE!</v>
      </c>
      <c r="S275" s="35"/>
      <c r="T275" s="35"/>
      <c r="U275" s="31"/>
    </row>
    <row r="276">
      <c r="A276" s="31"/>
      <c r="B276" s="37">
        <v>45687.0</v>
      </c>
      <c r="C276" s="38" t="s">
        <v>16</v>
      </c>
      <c r="D276" s="38" t="s">
        <v>31</v>
      </c>
      <c r="E276" s="38" t="s">
        <v>399</v>
      </c>
      <c r="F276" s="38" t="s">
        <v>152</v>
      </c>
      <c r="G276" s="38" t="s">
        <v>284</v>
      </c>
      <c r="H276" s="48">
        <v>3.57052330000423E14</v>
      </c>
      <c r="I276" s="41" t="s">
        <v>88</v>
      </c>
      <c r="J276" s="43"/>
      <c r="K276" s="38" t="s">
        <v>79</v>
      </c>
      <c r="L276" s="29"/>
      <c r="M276" s="38" t="s">
        <v>80</v>
      </c>
      <c r="N276" s="29"/>
      <c r="O276" s="43"/>
      <c r="P276" s="29"/>
      <c r="Q276" s="29"/>
      <c r="R276" s="38" t="e">
        <v>#VALUE!</v>
      </c>
      <c r="S276" s="29"/>
      <c r="T276" s="29"/>
      <c r="U276" s="31"/>
    </row>
    <row r="277">
      <c r="A277" s="31"/>
      <c r="B277" s="44">
        <v>45687.0</v>
      </c>
      <c r="C277" s="33" t="s">
        <v>16</v>
      </c>
      <c r="D277" s="33" t="s">
        <v>31</v>
      </c>
      <c r="E277" s="33" t="s">
        <v>399</v>
      </c>
      <c r="F277" s="33" t="s">
        <v>152</v>
      </c>
      <c r="G277" s="33" t="s">
        <v>284</v>
      </c>
      <c r="H277" s="48">
        <v>3.57052330000282E14</v>
      </c>
      <c r="I277" s="34" t="s">
        <v>88</v>
      </c>
      <c r="J277" s="42"/>
      <c r="K277" s="33" t="s">
        <v>79</v>
      </c>
      <c r="L277" s="35"/>
      <c r="M277" s="33" t="s">
        <v>80</v>
      </c>
      <c r="N277" s="35"/>
      <c r="O277" s="42"/>
      <c r="P277" s="35"/>
      <c r="Q277" s="35"/>
      <c r="R277" s="33" t="e">
        <v>#VALUE!</v>
      </c>
      <c r="S277" s="35"/>
      <c r="T277" s="35"/>
      <c r="U277" s="31"/>
    </row>
    <row r="278">
      <c r="A278" s="31"/>
      <c r="B278" s="44">
        <v>45687.0</v>
      </c>
      <c r="C278" s="38" t="s">
        <v>16</v>
      </c>
      <c r="D278" s="38" t="s">
        <v>31</v>
      </c>
      <c r="E278" s="38" t="s">
        <v>399</v>
      </c>
      <c r="F278" s="38" t="s">
        <v>152</v>
      </c>
      <c r="G278" s="38" t="s">
        <v>284</v>
      </c>
      <c r="H278" s="48">
        <v>3.57052330000514E14</v>
      </c>
      <c r="I278" s="41" t="s">
        <v>88</v>
      </c>
      <c r="J278" s="43"/>
      <c r="K278" s="38" t="s">
        <v>79</v>
      </c>
      <c r="L278" s="29"/>
      <c r="M278" s="38" t="s">
        <v>80</v>
      </c>
      <c r="N278" s="29"/>
      <c r="O278" s="43"/>
      <c r="P278" s="29"/>
      <c r="Q278" s="29"/>
      <c r="R278" s="38" t="e">
        <v>#VALUE!</v>
      </c>
      <c r="S278" s="29"/>
      <c r="T278" s="29"/>
      <c r="U278" s="31"/>
    </row>
    <row r="279">
      <c r="A279" s="31"/>
      <c r="B279" s="32">
        <v>45687.0</v>
      </c>
      <c r="C279" s="33" t="s">
        <v>16</v>
      </c>
      <c r="D279" s="33" t="s">
        <v>31</v>
      </c>
      <c r="E279" s="33" t="s">
        <v>399</v>
      </c>
      <c r="F279" s="33" t="s">
        <v>152</v>
      </c>
      <c r="G279" s="33" t="s">
        <v>284</v>
      </c>
      <c r="H279" s="33">
        <v>3.52978784412109E14</v>
      </c>
      <c r="I279" s="34" t="s">
        <v>88</v>
      </c>
      <c r="J279" s="42"/>
      <c r="K279" s="33" t="s">
        <v>79</v>
      </c>
      <c r="L279" s="35"/>
      <c r="M279" s="33" t="s">
        <v>80</v>
      </c>
      <c r="N279" s="35"/>
      <c r="O279" s="42"/>
      <c r="P279" s="35"/>
      <c r="Q279" s="35"/>
      <c r="R279" s="33" t="e">
        <v>#VALUE!</v>
      </c>
      <c r="S279" s="35"/>
      <c r="T279" s="35"/>
      <c r="U279" s="31"/>
    </row>
    <row r="280">
      <c r="A280" s="31"/>
      <c r="B280" s="44">
        <v>45687.0</v>
      </c>
      <c r="C280" s="38" t="s">
        <v>16</v>
      </c>
      <c r="D280" s="38" t="s">
        <v>31</v>
      </c>
      <c r="E280" s="38" t="s">
        <v>399</v>
      </c>
      <c r="F280" s="38" t="s">
        <v>152</v>
      </c>
      <c r="G280" s="38" t="s">
        <v>284</v>
      </c>
      <c r="H280" s="48">
        <v>3.57052330000357E14</v>
      </c>
      <c r="I280" s="41" t="s">
        <v>88</v>
      </c>
      <c r="J280" s="43"/>
      <c r="K280" s="38" t="s">
        <v>79</v>
      </c>
      <c r="L280" s="29"/>
      <c r="M280" s="38" t="s">
        <v>80</v>
      </c>
      <c r="N280" s="29"/>
      <c r="O280" s="43"/>
      <c r="P280" s="29"/>
      <c r="Q280" s="29"/>
      <c r="R280" s="38" t="e">
        <v>#VALUE!</v>
      </c>
      <c r="S280" s="29"/>
      <c r="T280" s="29"/>
      <c r="U280" s="31"/>
    </row>
    <row r="281">
      <c r="A281" s="31"/>
      <c r="B281" s="44">
        <v>45687.0</v>
      </c>
      <c r="C281" s="33" t="s">
        <v>16</v>
      </c>
      <c r="D281" s="33" t="s">
        <v>31</v>
      </c>
      <c r="E281" s="33" t="s">
        <v>399</v>
      </c>
      <c r="F281" s="33" t="s">
        <v>152</v>
      </c>
      <c r="G281" s="33" t="s">
        <v>284</v>
      </c>
      <c r="H281" s="48">
        <v>3.57052330000506E14</v>
      </c>
      <c r="I281" s="34" t="s">
        <v>78</v>
      </c>
      <c r="J281" s="33" t="s">
        <v>400</v>
      </c>
      <c r="K281" s="33" t="s">
        <v>79</v>
      </c>
      <c r="L281" s="35"/>
      <c r="M281" s="33" t="s">
        <v>80</v>
      </c>
      <c r="N281" s="35"/>
      <c r="O281" s="42"/>
      <c r="P281" s="35"/>
      <c r="Q281" s="35"/>
      <c r="R281" s="33" t="e">
        <v>#VALUE!</v>
      </c>
      <c r="S281" s="35"/>
      <c r="T281" s="35"/>
      <c r="U281" s="31"/>
    </row>
    <row r="282">
      <c r="A282" s="31"/>
      <c r="B282" s="37">
        <v>45687.0</v>
      </c>
      <c r="C282" s="29"/>
      <c r="D282" s="38" t="s">
        <v>31</v>
      </c>
      <c r="E282" s="38" t="s">
        <v>90</v>
      </c>
      <c r="F282" s="38" t="s">
        <v>318</v>
      </c>
      <c r="G282" s="38" t="s">
        <v>136</v>
      </c>
      <c r="H282" s="38">
        <v>3.50009210016348E14</v>
      </c>
      <c r="I282" s="39" t="s">
        <v>88</v>
      </c>
      <c r="J282" s="29"/>
      <c r="K282" s="38" t="s">
        <v>79</v>
      </c>
      <c r="L282" s="29"/>
      <c r="M282" s="38" t="s">
        <v>80</v>
      </c>
      <c r="N282" s="29"/>
      <c r="O282" s="43"/>
      <c r="P282" s="29"/>
      <c r="Q282" s="29"/>
      <c r="R282" s="38" t="e">
        <v>#VALUE!</v>
      </c>
      <c r="S282" s="29"/>
      <c r="T282" s="29"/>
      <c r="U282" s="31"/>
    </row>
    <row r="283">
      <c r="A283" s="31"/>
      <c r="B283" s="32">
        <v>45688.0</v>
      </c>
      <c r="C283" s="33" t="s">
        <v>46</v>
      </c>
      <c r="D283" s="33" t="s">
        <v>31</v>
      </c>
      <c r="E283" s="33" t="s">
        <v>343</v>
      </c>
      <c r="F283" s="33" t="s">
        <v>76</v>
      </c>
      <c r="G283" s="33" t="s">
        <v>349</v>
      </c>
      <c r="H283" s="33">
        <v>3.56284530002989E14</v>
      </c>
      <c r="I283" s="34" t="s">
        <v>86</v>
      </c>
      <c r="J283" s="33" t="s">
        <v>332</v>
      </c>
      <c r="K283" s="33" t="s">
        <v>375</v>
      </c>
      <c r="L283" s="35"/>
      <c r="M283" s="35"/>
      <c r="N283" s="35"/>
      <c r="O283" s="42"/>
      <c r="P283" s="35"/>
      <c r="Q283" s="35"/>
      <c r="R283" s="33" t="e">
        <v>#VALUE!</v>
      </c>
      <c r="S283" s="35"/>
      <c r="T283" s="35"/>
      <c r="U283" s="31"/>
    </row>
    <row r="284">
      <c r="A284" s="31"/>
      <c r="B284" s="37">
        <v>45688.0</v>
      </c>
      <c r="C284" s="38" t="s">
        <v>46</v>
      </c>
      <c r="D284" s="38" t="s">
        <v>31</v>
      </c>
      <c r="E284" s="38" t="s">
        <v>343</v>
      </c>
      <c r="F284" s="38" t="s">
        <v>76</v>
      </c>
      <c r="G284" s="38" t="s">
        <v>401</v>
      </c>
      <c r="H284" s="38">
        <v>3.56284530003854E14</v>
      </c>
      <c r="I284" s="41" t="s">
        <v>86</v>
      </c>
      <c r="J284" s="38" t="s">
        <v>348</v>
      </c>
      <c r="K284" s="38" t="s">
        <v>375</v>
      </c>
      <c r="L284" s="29"/>
      <c r="M284" s="29"/>
      <c r="N284" s="29"/>
      <c r="O284" s="43"/>
      <c r="P284" s="29"/>
      <c r="Q284" s="29"/>
      <c r="R284" s="38" t="e">
        <v>#VALUE!</v>
      </c>
      <c r="S284" s="29"/>
      <c r="T284" s="29"/>
      <c r="U284" s="31"/>
    </row>
    <row r="285">
      <c r="A285" s="31"/>
      <c r="B285" s="44">
        <v>45695.0</v>
      </c>
      <c r="C285" s="33" t="s">
        <v>50</v>
      </c>
      <c r="D285" s="33" t="s">
        <v>31</v>
      </c>
      <c r="E285" s="33" t="s">
        <v>402</v>
      </c>
      <c r="F285" s="33" t="s">
        <v>84</v>
      </c>
      <c r="G285" s="33" t="s">
        <v>134</v>
      </c>
      <c r="H285" s="33">
        <v>3.5000921000167E14</v>
      </c>
      <c r="I285" s="34" t="s">
        <v>78</v>
      </c>
      <c r="J285" s="35"/>
      <c r="K285" s="33" t="s">
        <v>375</v>
      </c>
      <c r="L285" s="35"/>
      <c r="M285" s="35"/>
      <c r="N285" s="35"/>
      <c r="O285" s="42"/>
      <c r="P285" s="35"/>
      <c r="Q285" s="35"/>
      <c r="R285" s="35"/>
      <c r="S285" s="35"/>
      <c r="T285" s="35"/>
      <c r="U285" s="31"/>
    </row>
    <row r="286">
      <c r="A286" s="31"/>
      <c r="B286" s="44">
        <v>45695.0</v>
      </c>
      <c r="C286" s="38" t="s">
        <v>16</v>
      </c>
      <c r="D286" s="38" t="s">
        <v>31</v>
      </c>
      <c r="E286" s="38" t="s">
        <v>90</v>
      </c>
      <c r="F286" s="38" t="s">
        <v>84</v>
      </c>
      <c r="G286" s="38" t="s">
        <v>113</v>
      </c>
      <c r="H286" s="38">
        <v>3.50009210003734E14</v>
      </c>
      <c r="I286" s="41" t="s">
        <v>78</v>
      </c>
      <c r="J286" s="29"/>
      <c r="K286" s="29"/>
      <c r="L286" s="29"/>
      <c r="M286" s="29"/>
      <c r="N286" s="29"/>
      <c r="O286" s="43"/>
      <c r="P286" s="29"/>
      <c r="Q286" s="29"/>
      <c r="R286" s="38" t="e">
        <v>#VALUE!</v>
      </c>
      <c r="S286" s="29"/>
      <c r="T286" s="29"/>
      <c r="U286" s="31"/>
    </row>
    <row r="287">
      <c r="A287" s="31"/>
      <c r="B287" s="44">
        <v>45695.0</v>
      </c>
      <c r="C287" s="33" t="s">
        <v>16</v>
      </c>
      <c r="D287" s="33" t="s">
        <v>31</v>
      </c>
      <c r="E287" s="33" t="s">
        <v>90</v>
      </c>
      <c r="F287" s="33" t="s">
        <v>84</v>
      </c>
      <c r="G287" s="33" t="s">
        <v>136</v>
      </c>
      <c r="H287" s="33">
        <v>3.50009210020514E14</v>
      </c>
      <c r="I287" s="34" t="s">
        <v>78</v>
      </c>
      <c r="J287" s="35"/>
      <c r="K287" s="35"/>
      <c r="L287" s="35"/>
      <c r="M287" s="35"/>
      <c r="N287" s="35"/>
      <c r="O287" s="42"/>
      <c r="P287" s="35"/>
      <c r="Q287" s="35"/>
      <c r="R287" s="33" t="e">
        <v>#VALUE!</v>
      </c>
      <c r="S287" s="35"/>
      <c r="T287" s="35"/>
      <c r="U287" s="31"/>
    </row>
    <row r="288">
      <c r="A288" s="31"/>
      <c r="B288" s="37">
        <v>45699.0</v>
      </c>
      <c r="C288" s="38" t="s">
        <v>49</v>
      </c>
      <c r="D288" s="38" t="s">
        <v>31</v>
      </c>
      <c r="E288" s="38" t="s">
        <v>274</v>
      </c>
      <c r="F288" s="38" t="s">
        <v>84</v>
      </c>
      <c r="G288" s="38" t="s">
        <v>120</v>
      </c>
      <c r="H288" s="38">
        <v>3.5272266500636E14</v>
      </c>
      <c r="I288" s="39" t="s">
        <v>88</v>
      </c>
      <c r="J288" s="29"/>
      <c r="K288" s="38" t="s">
        <v>79</v>
      </c>
      <c r="L288" s="29"/>
      <c r="M288" s="29"/>
      <c r="N288" s="29"/>
      <c r="O288" s="43"/>
      <c r="P288" s="29"/>
      <c r="Q288" s="29"/>
      <c r="R288" s="38" t="e">
        <v>#VALUE!</v>
      </c>
      <c r="S288" s="29"/>
      <c r="T288" s="29"/>
      <c r="U288" s="31"/>
    </row>
    <row r="289">
      <c r="A289" s="31"/>
      <c r="B289" s="32">
        <v>45699.0</v>
      </c>
      <c r="C289" s="33" t="s">
        <v>49</v>
      </c>
      <c r="D289" s="33" t="s">
        <v>31</v>
      </c>
      <c r="E289" s="33" t="s">
        <v>112</v>
      </c>
      <c r="F289" s="33" t="s">
        <v>76</v>
      </c>
      <c r="G289" s="33" t="s">
        <v>118</v>
      </c>
      <c r="H289" s="33">
        <v>3.55735480019092E14</v>
      </c>
      <c r="I289" s="39" t="s">
        <v>88</v>
      </c>
      <c r="J289" s="35"/>
      <c r="K289" s="33" t="s">
        <v>79</v>
      </c>
      <c r="L289" s="35"/>
      <c r="M289" s="35"/>
      <c r="N289" s="35"/>
      <c r="O289" s="42"/>
      <c r="P289" s="35"/>
      <c r="Q289" s="35"/>
      <c r="R289" s="33" t="e">
        <v>#VALUE!</v>
      </c>
      <c r="S289" s="35"/>
      <c r="T289" s="35"/>
      <c r="U289" s="31"/>
    </row>
    <row r="290">
      <c r="A290" s="31"/>
      <c r="B290" s="37">
        <v>45699.0</v>
      </c>
      <c r="C290" s="38" t="s">
        <v>49</v>
      </c>
      <c r="D290" s="38" t="s">
        <v>31</v>
      </c>
      <c r="E290" s="38" t="s">
        <v>112</v>
      </c>
      <c r="F290" s="38" t="s">
        <v>84</v>
      </c>
      <c r="G290" s="38" t="s">
        <v>114</v>
      </c>
      <c r="H290" s="38">
        <v>3.55541740156926E14</v>
      </c>
      <c r="I290" s="39" t="s">
        <v>88</v>
      </c>
      <c r="J290" s="29"/>
      <c r="K290" s="38" t="s">
        <v>79</v>
      </c>
      <c r="L290" s="29"/>
      <c r="M290" s="29"/>
      <c r="N290" s="29"/>
      <c r="O290" s="43"/>
      <c r="P290" s="29"/>
      <c r="Q290" s="29"/>
      <c r="R290" s="38" t="e">
        <v>#VALUE!</v>
      </c>
      <c r="S290" s="29"/>
      <c r="T290" s="29"/>
      <c r="U290" s="31"/>
    </row>
    <row r="291">
      <c r="A291" s="31"/>
      <c r="B291" s="32">
        <v>45699.0</v>
      </c>
      <c r="C291" s="33" t="s">
        <v>49</v>
      </c>
      <c r="D291" s="33" t="s">
        <v>285</v>
      </c>
      <c r="E291" s="33" t="s">
        <v>403</v>
      </c>
      <c r="F291" s="35"/>
      <c r="G291" s="33" t="s">
        <v>176</v>
      </c>
      <c r="H291" s="33" t="s">
        <v>404</v>
      </c>
      <c r="I291" s="39" t="s">
        <v>88</v>
      </c>
      <c r="J291" s="35"/>
      <c r="K291" s="35"/>
      <c r="L291" s="35"/>
      <c r="M291" s="35"/>
      <c r="N291" s="35"/>
      <c r="O291" s="42"/>
      <c r="P291" s="35"/>
      <c r="Q291" s="35"/>
      <c r="R291" s="33" t="e">
        <v>#VALUE!</v>
      </c>
      <c r="S291" s="35"/>
      <c r="T291" s="35"/>
      <c r="U291" s="31"/>
    </row>
    <row r="292">
      <c r="A292" s="31"/>
      <c r="B292" s="44">
        <v>45699.0</v>
      </c>
      <c r="C292" s="38" t="s">
        <v>49</v>
      </c>
      <c r="D292" s="38" t="s">
        <v>285</v>
      </c>
      <c r="E292" s="38" t="s">
        <v>403</v>
      </c>
      <c r="F292" s="29"/>
      <c r="G292" s="38" t="s">
        <v>242</v>
      </c>
      <c r="H292" s="38" t="s">
        <v>405</v>
      </c>
      <c r="I292" s="39" t="s">
        <v>86</v>
      </c>
      <c r="J292" s="38" t="s">
        <v>406</v>
      </c>
      <c r="K292" s="29"/>
      <c r="L292" s="29"/>
      <c r="M292" s="29"/>
      <c r="N292" s="29"/>
      <c r="O292" s="43"/>
      <c r="P292" s="29"/>
      <c r="Q292" s="29"/>
      <c r="R292" s="38" t="e">
        <v>#VALUE!</v>
      </c>
      <c r="S292" s="29"/>
      <c r="T292" s="29"/>
      <c r="U292" s="31"/>
    </row>
    <row r="293">
      <c r="A293" s="31"/>
      <c r="B293" s="44">
        <v>45699.0</v>
      </c>
      <c r="C293" s="33" t="s">
        <v>49</v>
      </c>
      <c r="D293" s="33" t="s">
        <v>285</v>
      </c>
      <c r="E293" s="33" t="s">
        <v>403</v>
      </c>
      <c r="F293" s="35"/>
      <c r="G293" s="33" t="s">
        <v>169</v>
      </c>
      <c r="H293" s="33" t="s">
        <v>407</v>
      </c>
      <c r="I293" s="39" t="s">
        <v>78</v>
      </c>
      <c r="J293" s="35"/>
      <c r="K293" s="35"/>
      <c r="L293" s="35"/>
      <c r="M293" s="35"/>
      <c r="N293" s="35"/>
      <c r="O293" s="42"/>
      <c r="P293" s="35"/>
      <c r="Q293" s="35"/>
      <c r="R293" s="33" t="e">
        <v>#VALUE!</v>
      </c>
      <c r="S293" s="35"/>
      <c r="T293" s="35"/>
      <c r="U293" s="31"/>
    </row>
    <row r="294">
      <c r="A294" s="31"/>
      <c r="B294" s="37">
        <v>45699.0</v>
      </c>
      <c r="C294" s="38" t="s">
        <v>128</v>
      </c>
      <c r="D294" s="38" t="s">
        <v>31</v>
      </c>
      <c r="E294" s="38" t="s">
        <v>408</v>
      </c>
      <c r="F294" s="38" t="s">
        <v>84</v>
      </c>
      <c r="G294" s="38" t="s">
        <v>136</v>
      </c>
      <c r="H294" s="38">
        <v>3.527226650041E14</v>
      </c>
      <c r="I294" s="39" t="s">
        <v>88</v>
      </c>
      <c r="J294" s="29"/>
      <c r="K294" s="38" t="s">
        <v>79</v>
      </c>
      <c r="L294" s="29"/>
      <c r="M294" s="29"/>
      <c r="N294" s="29"/>
      <c r="O294" s="43"/>
      <c r="P294" s="29"/>
      <c r="Q294" s="29"/>
      <c r="R294" s="38" t="e">
        <v>#VALUE!</v>
      </c>
      <c r="S294" s="29"/>
      <c r="T294" s="29"/>
      <c r="U294" s="31"/>
    </row>
    <row r="295">
      <c r="A295" s="31"/>
      <c r="B295" s="32">
        <v>45700.0</v>
      </c>
      <c r="C295" s="35"/>
      <c r="D295" s="33" t="s">
        <v>31</v>
      </c>
      <c r="E295" s="33" t="s">
        <v>409</v>
      </c>
      <c r="F295" s="33" t="s">
        <v>318</v>
      </c>
      <c r="G295" s="33" t="s">
        <v>410</v>
      </c>
      <c r="H295" s="33">
        <v>3.52722665041565E14</v>
      </c>
      <c r="I295" s="39" t="s">
        <v>88</v>
      </c>
      <c r="J295" s="35"/>
      <c r="K295" s="35"/>
      <c r="L295" s="35"/>
      <c r="M295" s="35"/>
      <c r="N295" s="35"/>
      <c r="O295" s="42"/>
      <c r="P295" s="35"/>
      <c r="Q295" s="35"/>
      <c r="R295" s="33" t="e">
        <v>#VALUE!</v>
      </c>
      <c r="S295" s="35"/>
      <c r="T295" s="35"/>
      <c r="U295" s="31"/>
    </row>
    <row r="296">
      <c r="A296" s="31"/>
      <c r="B296" s="44">
        <v>45701.0</v>
      </c>
      <c r="C296" s="38" t="s">
        <v>49</v>
      </c>
      <c r="D296" s="38" t="s">
        <v>285</v>
      </c>
      <c r="E296" s="38" t="s">
        <v>403</v>
      </c>
      <c r="F296" s="29"/>
      <c r="G296" s="38" t="s">
        <v>144</v>
      </c>
      <c r="H296" s="38" t="s">
        <v>411</v>
      </c>
      <c r="I296" s="41" t="s">
        <v>78</v>
      </c>
      <c r="J296" s="29"/>
      <c r="K296" s="29"/>
      <c r="L296" s="29"/>
      <c r="M296" s="29"/>
      <c r="N296" s="29"/>
      <c r="O296" s="43"/>
      <c r="P296" s="29"/>
      <c r="Q296" s="29"/>
      <c r="R296" s="38" t="e">
        <v>#VALUE!</v>
      </c>
      <c r="S296" s="29"/>
      <c r="T296" s="29"/>
      <c r="U296" s="31"/>
    </row>
    <row r="297">
      <c r="A297" s="31"/>
      <c r="B297" s="32">
        <v>45671.0</v>
      </c>
      <c r="C297" s="33" t="s">
        <v>16</v>
      </c>
      <c r="D297" s="33" t="s">
        <v>31</v>
      </c>
      <c r="E297" s="33" t="s">
        <v>412</v>
      </c>
      <c r="F297" s="33" t="s">
        <v>84</v>
      </c>
      <c r="G297" s="33" t="s">
        <v>413</v>
      </c>
      <c r="H297" s="33">
        <v>3.55326624947867E14</v>
      </c>
      <c r="I297" s="34" t="s">
        <v>86</v>
      </c>
      <c r="J297" s="33" t="s">
        <v>414</v>
      </c>
      <c r="K297" s="33" t="s">
        <v>375</v>
      </c>
      <c r="L297" s="35"/>
      <c r="M297" s="35"/>
      <c r="N297" s="35"/>
      <c r="O297" s="42"/>
      <c r="P297" s="35"/>
      <c r="Q297" s="35"/>
      <c r="R297" s="33" t="e">
        <v>#VALUE!</v>
      </c>
      <c r="S297" s="35"/>
      <c r="T297" s="35"/>
      <c r="U297" s="31"/>
    </row>
    <row r="298">
      <c r="A298" s="31"/>
      <c r="B298" s="37">
        <v>45671.0</v>
      </c>
      <c r="C298" s="38" t="s">
        <v>16</v>
      </c>
      <c r="D298" s="38" t="s">
        <v>31</v>
      </c>
      <c r="E298" s="38" t="s">
        <v>412</v>
      </c>
      <c r="F298" s="38" t="s">
        <v>84</v>
      </c>
      <c r="G298" s="38" t="s">
        <v>415</v>
      </c>
      <c r="H298" s="38">
        <v>3.55326620016782E14</v>
      </c>
      <c r="I298" s="41" t="s">
        <v>78</v>
      </c>
      <c r="J298" s="29"/>
      <c r="K298" s="29"/>
      <c r="L298" s="29"/>
      <c r="M298" s="29"/>
      <c r="N298" s="29"/>
      <c r="O298" s="43"/>
      <c r="P298" s="29"/>
      <c r="Q298" s="29"/>
      <c r="R298" s="38" t="e">
        <v>#VALUE!</v>
      </c>
      <c r="S298" s="29"/>
      <c r="T298" s="29"/>
      <c r="U298" s="31"/>
    </row>
    <row r="299">
      <c r="A299" s="31"/>
      <c r="B299" s="32">
        <v>45671.0</v>
      </c>
      <c r="C299" s="33" t="s">
        <v>16</v>
      </c>
      <c r="D299" s="33" t="s">
        <v>31</v>
      </c>
      <c r="E299" s="33" t="s">
        <v>412</v>
      </c>
      <c r="F299" s="33" t="s">
        <v>84</v>
      </c>
      <c r="G299" s="33" t="s">
        <v>416</v>
      </c>
      <c r="H299" s="33">
        <v>3.55326620042895E14</v>
      </c>
      <c r="I299" s="34" t="s">
        <v>86</v>
      </c>
      <c r="J299" s="33" t="s">
        <v>414</v>
      </c>
      <c r="K299" s="35"/>
      <c r="L299" s="35"/>
      <c r="M299" s="35"/>
      <c r="N299" s="35"/>
      <c r="O299" s="42"/>
      <c r="P299" s="35"/>
      <c r="Q299" s="35"/>
      <c r="R299" s="33" t="e">
        <v>#VALUE!</v>
      </c>
      <c r="S299" s="35"/>
      <c r="T299" s="35"/>
      <c r="U299" s="31"/>
    </row>
    <row r="300">
      <c r="A300" s="31"/>
      <c r="B300" s="37">
        <v>45671.0</v>
      </c>
      <c r="C300" s="38" t="s">
        <v>16</v>
      </c>
      <c r="D300" s="38" t="s">
        <v>31</v>
      </c>
      <c r="E300" s="38" t="s">
        <v>412</v>
      </c>
      <c r="F300" s="38" t="s">
        <v>84</v>
      </c>
      <c r="G300" s="38" t="s">
        <v>416</v>
      </c>
      <c r="H300" s="38">
        <v>3.55326620044545E14</v>
      </c>
      <c r="I300" s="41" t="s">
        <v>86</v>
      </c>
      <c r="J300" s="38" t="s">
        <v>417</v>
      </c>
      <c r="K300" s="29"/>
      <c r="L300" s="29"/>
      <c r="M300" s="29"/>
      <c r="N300" s="29"/>
      <c r="O300" s="43"/>
      <c r="P300" s="29"/>
      <c r="Q300" s="29"/>
      <c r="R300" s="38" t="e">
        <v>#VALUE!</v>
      </c>
      <c r="S300" s="29"/>
      <c r="T300" s="29"/>
      <c r="U300" s="31"/>
    </row>
    <row r="301">
      <c r="A301" s="31"/>
      <c r="B301" s="32">
        <v>45671.0</v>
      </c>
      <c r="C301" s="33" t="s">
        <v>16</v>
      </c>
      <c r="D301" s="33" t="s">
        <v>31</v>
      </c>
      <c r="E301" s="33" t="s">
        <v>412</v>
      </c>
      <c r="F301" s="33" t="s">
        <v>84</v>
      </c>
      <c r="G301" s="33" t="s">
        <v>416</v>
      </c>
      <c r="H301" s="33">
        <v>3.55326620047662E14</v>
      </c>
      <c r="I301" s="34" t="s">
        <v>86</v>
      </c>
      <c r="J301" s="33" t="s">
        <v>414</v>
      </c>
      <c r="K301" s="35"/>
      <c r="L301" s="35"/>
      <c r="M301" s="35"/>
      <c r="N301" s="35"/>
      <c r="O301" s="42"/>
      <c r="P301" s="35"/>
      <c r="Q301" s="35"/>
      <c r="R301" s="33" t="e">
        <v>#VALUE!</v>
      </c>
      <c r="S301" s="35"/>
      <c r="T301" s="35"/>
      <c r="U301" s="31"/>
    </row>
    <row r="302">
      <c r="A302" s="31"/>
      <c r="B302" s="37">
        <v>45671.0</v>
      </c>
      <c r="C302" s="38" t="s">
        <v>16</v>
      </c>
      <c r="D302" s="38" t="s">
        <v>31</v>
      </c>
      <c r="E302" s="38" t="s">
        <v>412</v>
      </c>
      <c r="F302" s="38" t="s">
        <v>84</v>
      </c>
      <c r="G302" s="38" t="s">
        <v>416</v>
      </c>
      <c r="H302" s="38">
        <v>3.5532662007252E14</v>
      </c>
      <c r="I302" s="41" t="s">
        <v>86</v>
      </c>
      <c r="J302" s="38" t="s">
        <v>414</v>
      </c>
      <c r="K302" s="29"/>
      <c r="L302" s="29"/>
      <c r="M302" s="29"/>
      <c r="N302" s="29"/>
      <c r="O302" s="43"/>
      <c r="P302" s="29"/>
      <c r="Q302" s="29"/>
      <c r="R302" s="38" t="e">
        <v>#VALUE!</v>
      </c>
      <c r="S302" s="29"/>
      <c r="T302" s="29"/>
      <c r="U302" s="31"/>
    </row>
    <row r="303">
      <c r="A303" s="31"/>
      <c r="B303" s="49">
        <v>45671.0</v>
      </c>
      <c r="C303" s="33" t="s">
        <v>16</v>
      </c>
      <c r="D303" s="33" t="s">
        <v>31</v>
      </c>
      <c r="E303" s="33" t="s">
        <v>412</v>
      </c>
      <c r="F303" s="33" t="s">
        <v>84</v>
      </c>
      <c r="G303" s="33" t="s">
        <v>413</v>
      </c>
      <c r="H303" s="33">
        <v>3.55326624947883E14</v>
      </c>
      <c r="I303" s="34" t="s">
        <v>78</v>
      </c>
      <c r="J303" s="35"/>
      <c r="K303" s="35"/>
      <c r="L303" s="35"/>
      <c r="M303" s="35"/>
      <c r="N303" s="35"/>
      <c r="O303" s="42"/>
      <c r="P303" s="35"/>
      <c r="Q303" s="35"/>
      <c r="R303" s="33" t="e">
        <v>#VALUE!</v>
      </c>
      <c r="S303" s="35"/>
      <c r="T303" s="35"/>
      <c r="U303" s="31"/>
    </row>
    <row r="304">
      <c r="A304" s="31"/>
      <c r="B304" s="37">
        <v>45706.0</v>
      </c>
      <c r="C304" s="38" t="s">
        <v>16</v>
      </c>
      <c r="D304" s="38" t="s">
        <v>31</v>
      </c>
      <c r="E304" s="38" t="s">
        <v>279</v>
      </c>
      <c r="F304" s="38" t="s">
        <v>418</v>
      </c>
      <c r="G304" s="38" t="s">
        <v>133</v>
      </c>
      <c r="H304" s="38">
        <v>3.52978784412109E14</v>
      </c>
      <c r="I304" s="41" t="s">
        <v>86</v>
      </c>
      <c r="J304" s="29"/>
      <c r="K304" s="29"/>
      <c r="L304" s="29"/>
      <c r="M304" s="29"/>
      <c r="N304" s="29"/>
      <c r="O304" s="43"/>
      <c r="P304" s="29"/>
      <c r="Q304" s="29"/>
      <c r="R304" s="38" t="e">
        <v>#VALUE!</v>
      </c>
      <c r="S304" s="29"/>
      <c r="T304" s="29"/>
      <c r="U304" s="31"/>
    </row>
    <row r="305">
      <c r="A305" s="31"/>
      <c r="B305" s="32">
        <v>45706.0</v>
      </c>
      <c r="C305" s="33" t="s">
        <v>16</v>
      </c>
      <c r="D305" s="33" t="s">
        <v>31</v>
      </c>
      <c r="E305" s="33" t="s">
        <v>279</v>
      </c>
      <c r="F305" s="33" t="s">
        <v>396</v>
      </c>
      <c r="G305" s="33" t="s">
        <v>284</v>
      </c>
      <c r="H305" s="33">
        <v>3.57052330000472E14</v>
      </c>
      <c r="I305" s="34" t="s">
        <v>78</v>
      </c>
      <c r="J305" s="35"/>
      <c r="K305" s="35"/>
      <c r="L305" s="35"/>
      <c r="M305" s="35"/>
      <c r="N305" s="35"/>
      <c r="O305" s="42"/>
      <c r="P305" s="35"/>
      <c r="Q305" s="35"/>
      <c r="R305" s="33" t="e">
        <v>#VALUE!</v>
      </c>
      <c r="S305" s="35"/>
      <c r="T305" s="35"/>
      <c r="U305" s="31"/>
    </row>
    <row r="306">
      <c r="A306" s="31"/>
      <c r="B306" s="37">
        <v>45706.0</v>
      </c>
      <c r="C306" s="38" t="s">
        <v>16</v>
      </c>
      <c r="D306" s="38" t="s">
        <v>31</v>
      </c>
      <c r="E306" s="38" t="s">
        <v>279</v>
      </c>
      <c r="F306" s="38" t="s">
        <v>396</v>
      </c>
      <c r="G306" s="38" t="s">
        <v>284</v>
      </c>
      <c r="H306" s="38">
        <v>3.57052330000357E14</v>
      </c>
      <c r="I306" s="41" t="s">
        <v>78</v>
      </c>
      <c r="J306" s="29"/>
      <c r="K306" s="29"/>
      <c r="L306" s="29"/>
      <c r="M306" s="29"/>
      <c r="N306" s="29"/>
      <c r="O306" s="43"/>
      <c r="P306" s="29"/>
      <c r="Q306" s="29"/>
      <c r="R306" s="38" t="e">
        <v>#VALUE!</v>
      </c>
      <c r="S306" s="29"/>
      <c r="T306" s="29"/>
      <c r="U306" s="31"/>
    </row>
    <row r="307">
      <c r="A307" s="31"/>
      <c r="B307" s="32">
        <v>45706.0</v>
      </c>
      <c r="C307" s="33" t="s">
        <v>16</v>
      </c>
      <c r="D307" s="33" t="s">
        <v>31</v>
      </c>
      <c r="E307" s="33" t="s">
        <v>279</v>
      </c>
      <c r="F307" s="33" t="s">
        <v>396</v>
      </c>
      <c r="G307" s="33" t="s">
        <v>284</v>
      </c>
      <c r="H307" s="33">
        <v>3.57052330000282E14</v>
      </c>
      <c r="I307" s="34" t="s">
        <v>78</v>
      </c>
      <c r="J307" s="35"/>
      <c r="K307" s="35"/>
      <c r="L307" s="35"/>
      <c r="M307" s="35"/>
      <c r="N307" s="35"/>
      <c r="O307" s="42"/>
      <c r="P307" s="35"/>
      <c r="Q307" s="35"/>
      <c r="R307" s="33" t="e">
        <v>#VALUE!</v>
      </c>
      <c r="S307" s="35"/>
      <c r="T307" s="35"/>
      <c r="U307" s="31"/>
    </row>
    <row r="308">
      <c r="A308" s="31"/>
      <c r="B308" s="37">
        <v>45706.0</v>
      </c>
      <c r="C308" s="38" t="s">
        <v>16</v>
      </c>
      <c r="D308" s="38" t="s">
        <v>31</v>
      </c>
      <c r="E308" s="38" t="s">
        <v>279</v>
      </c>
      <c r="F308" s="38" t="s">
        <v>396</v>
      </c>
      <c r="G308" s="38" t="s">
        <v>284</v>
      </c>
      <c r="H308" s="38">
        <v>3.57052330000514E14</v>
      </c>
      <c r="I308" s="41" t="s">
        <v>78</v>
      </c>
      <c r="J308" s="29"/>
      <c r="K308" s="29"/>
      <c r="L308" s="29"/>
      <c r="M308" s="29"/>
      <c r="N308" s="29"/>
      <c r="O308" s="43"/>
      <c r="P308" s="29"/>
      <c r="Q308" s="29"/>
      <c r="R308" s="38" t="e">
        <v>#VALUE!</v>
      </c>
      <c r="S308" s="29"/>
      <c r="T308" s="29"/>
      <c r="U308" s="31"/>
    </row>
    <row r="309">
      <c r="A309" s="31"/>
      <c r="B309" s="44">
        <v>45706.0</v>
      </c>
      <c r="C309" s="33" t="s">
        <v>16</v>
      </c>
      <c r="D309" s="33" t="s">
        <v>31</v>
      </c>
      <c r="E309" s="33" t="s">
        <v>279</v>
      </c>
      <c r="F309" s="33" t="s">
        <v>396</v>
      </c>
      <c r="G309" s="33" t="s">
        <v>284</v>
      </c>
      <c r="H309" s="33">
        <v>3.57052330000423E14</v>
      </c>
      <c r="I309" s="34" t="s">
        <v>78</v>
      </c>
      <c r="J309" s="35"/>
      <c r="K309" s="35"/>
      <c r="L309" s="35"/>
      <c r="M309" s="35"/>
      <c r="N309" s="35"/>
      <c r="O309" s="42"/>
      <c r="P309" s="35"/>
      <c r="Q309" s="35"/>
      <c r="R309" s="33" t="e">
        <v>#VALUE!</v>
      </c>
      <c r="S309" s="35"/>
      <c r="T309" s="35"/>
      <c r="U309" s="31"/>
    </row>
    <row r="310">
      <c r="A310" s="31"/>
      <c r="B310" s="37">
        <v>45706.0</v>
      </c>
      <c r="C310" s="38" t="s">
        <v>16</v>
      </c>
      <c r="D310" s="38" t="s">
        <v>31</v>
      </c>
      <c r="E310" s="38" t="s">
        <v>279</v>
      </c>
      <c r="F310" s="38" t="s">
        <v>396</v>
      </c>
      <c r="G310" s="38" t="s">
        <v>284</v>
      </c>
      <c r="H310" s="38">
        <v>3.57052330000506E14</v>
      </c>
      <c r="I310" s="41" t="s">
        <v>78</v>
      </c>
      <c r="J310" s="29"/>
      <c r="K310" s="29"/>
      <c r="L310" s="29"/>
      <c r="M310" s="29"/>
      <c r="N310" s="29"/>
      <c r="O310" s="43"/>
      <c r="P310" s="29"/>
      <c r="Q310" s="29"/>
      <c r="R310" s="38" t="e">
        <v>#VALUE!</v>
      </c>
      <c r="S310" s="29"/>
      <c r="T310" s="29"/>
      <c r="U310" s="31"/>
    </row>
    <row r="311">
      <c r="A311" s="31"/>
      <c r="B311" s="32">
        <v>45706.0</v>
      </c>
      <c r="C311" s="33" t="s">
        <v>16</v>
      </c>
      <c r="D311" s="33" t="s">
        <v>31</v>
      </c>
      <c r="E311" s="33" t="s">
        <v>279</v>
      </c>
      <c r="F311" s="33" t="s">
        <v>418</v>
      </c>
      <c r="G311" s="33" t="s">
        <v>176</v>
      </c>
      <c r="H311" s="33">
        <v>3.5297878001079E14</v>
      </c>
      <c r="I311" s="34" t="s">
        <v>78</v>
      </c>
      <c r="J311" s="35"/>
      <c r="K311" s="35"/>
      <c r="L311" s="35"/>
      <c r="M311" s="35"/>
      <c r="N311" s="35"/>
      <c r="O311" s="42"/>
      <c r="P311" s="35"/>
      <c r="Q311" s="35"/>
      <c r="R311" s="33" t="e">
        <v>#VALUE!</v>
      </c>
      <c r="S311" s="35"/>
      <c r="T311" s="35"/>
      <c r="U311" s="31"/>
    </row>
    <row r="312">
      <c r="A312" s="31"/>
      <c r="B312" s="37">
        <v>45706.0</v>
      </c>
      <c r="C312" s="38" t="s">
        <v>16</v>
      </c>
      <c r="D312" s="38" t="s">
        <v>31</v>
      </c>
      <c r="E312" s="38" t="s">
        <v>279</v>
      </c>
      <c r="F312" s="38" t="s">
        <v>418</v>
      </c>
      <c r="G312" s="38" t="s">
        <v>176</v>
      </c>
      <c r="H312" s="38">
        <v>3.52978780008166E14</v>
      </c>
      <c r="I312" s="41" t="s">
        <v>78</v>
      </c>
      <c r="J312" s="29"/>
      <c r="K312" s="29"/>
      <c r="L312" s="29"/>
      <c r="M312" s="29"/>
      <c r="N312" s="29"/>
      <c r="O312" s="43"/>
      <c r="P312" s="29"/>
      <c r="Q312" s="29"/>
      <c r="R312" s="38" t="e">
        <v>#VALUE!</v>
      </c>
      <c r="S312" s="29"/>
      <c r="T312" s="29"/>
      <c r="U312" s="31"/>
    </row>
    <row r="313">
      <c r="A313" s="31"/>
      <c r="B313" s="32">
        <v>45706.0</v>
      </c>
      <c r="C313" s="33" t="s">
        <v>16</v>
      </c>
      <c r="D313" s="33" t="s">
        <v>31</v>
      </c>
      <c r="E313" s="33" t="s">
        <v>279</v>
      </c>
      <c r="F313" s="33" t="s">
        <v>418</v>
      </c>
      <c r="G313" s="33" t="s">
        <v>176</v>
      </c>
      <c r="H313" s="33">
        <v>3.5297878000428E14</v>
      </c>
      <c r="I313" s="34" t="s">
        <v>78</v>
      </c>
      <c r="J313" s="35"/>
      <c r="K313" s="35"/>
      <c r="L313" s="35"/>
      <c r="M313" s="35"/>
      <c r="N313" s="35"/>
      <c r="O313" s="42"/>
      <c r="P313" s="35"/>
      <c r="Q313" s="35"/>
      <c r="R313" s="33" t="e">
        <v>#VALUE!</v>
      </c>
      <c r="S313" s="35"/>
      <c r="T313" s="35"/>
      <c r="U313" s="31"/>
    </row>
    <row r="314">
      <c r="A314" s="31"/>
      <c r="B314" s="37">
        <v>45706.0</v>
      </c>
      <c r="C314" s="29"/>
      <c r="D314" s="38" t="s">
        <v>31</v>
      </c>
      <c r="E314" s="38" t="s">
        <v>317</v>
      </c>
      <c r="F314" s="38" t="s">
        <v>318</v>
      </c>
      <c r="G314" s="38" t="s">
        <v>419</v>
      </c>
      <c r="H314" s="38">
        <v>3.51182450353603E14</v>
      </c>
      <c r="I314" s="41" t="s">
        <v>78</v>
      </c>
      <c r="J314" s="29"/>
      <c r="K314" s="29"/>
      <c r="L314" s="29"/>
      <c r="M314" s="29"/>
      <c r="N314" s="29"/>
      <c r="O314" s="43"/>
      <c r="P314" s="29"/>
      <c r="Q314" s="29"/>
      <c r="R314" s="38" t="e">
        <v>#VALUE!</v>
      </c>
      <c r="S314" s="29"/>
      <c r="T314" s="29"/>
      <c r="U314" s="31"/>
    </row>
    <row r="315">
      <c r="A315" s="31"/>
      <c r="B315" s="44">
        <v>45706.0</v>
      </c>
      <c r="C315" s="35"/>
      <c r="D315" s="33" t="s">
        <v>31</v>
      </c>
      <c r="E315" s="33" t="s">
        <v>317</v>
      </c>
      <c r="F315" s="33" t="s">
        <v>318</v>
      </c>
      <c r="G315" s="33" t="s">
        <v>114</v>
      </c>
      <c r="H315" s="33">
        <v>3.51182450157541E14</v>
      </c>
      <c r="I315" s="34" t="s">
        <v>78</v>
      </c>
      <c r="J315" s="35"/>
      <c r="K315" s="35"/>
      <c r="L315" s="35"/>
      <c r="M315" s="35"/>
      <c r="N315" s="35"/>
      <c r="O315" s="42"/>
      <c r="P315" s="35"/>
      <c r="Q315" s="35"/>
      <c r="R315" s="33" t="e">
        <v>#VALUE!</v>
      </c>
      <c r="S315" s="35"/>
      <c r="T315" s="35"/>
      <c r="U315" s="31"/>
    </row>
    <row r="316">
      <c r="A316" s="31"/>
      <c r="B316" s="37">
        <v>45706.0</v>
      </c>
      <c r="C316" s="29"/>
      <c r="D316" s="38" t="s">
        <v>314</v>
      </c>
      <c r="E316" s="38" t="s">
        <v>289</v>
      </c>
      <c r="F316" s="38" t="s">
        <v>420</v>
      </c>
      <c r="G316" s="38" t="s">
        <v>176</v>
      </c>
      <c r="H316" s="38" t="s">
        <v>177</v>
      </c>
      <c r="I316" s="39" t="s">
        <v>88</v>
      </c>
      <c r="J316" s="29"/>
      <c r="K316" s="29"/>
      <c r="L316" s="29"/>
      <c r="M316" s="29"/>
      <c r="N316" s="29"/>
      <c r="O316" s="43"/>
      <c r="P316" s="29"/>
      <c r="Q316" s="29"/>
      <c r="R316" s="38" t="e">
        <v>#VALUE!</v>
      </c>
      <c r="S316" s="29"/>
      <c r="T316" s="29"/>
      <c r="U316" s="31"/>
    </row>
    <row r="317">
      <c r="A317" s="31"/>
      <c r="B317" s="32">
        <v>45706.0</v>
      </c>
      <c r="C317" s="35"/>
      <c r="D317" s="33" t="s">
        <v>314</v>
      </c>
      <c r="E317" s="33" t="s">
        <v>289</v>
      </c>
      <c r="F317" s="33" t="s">
        <v>420</v>
      </c>
      <c r="G317" s="33" t="s">
        <v>176</v>
      </c>
      <c r="H317" s="33" t="s">
        <v>290</v>
      </c>
      <c r="I317" s="34" t="s">
        <v>78</v>
      </c>
      <c r="J317" s="35"/>
      <c r="K317" s="35"/>
      <c r="L317" s="35"/>
      <c r="M317" s="35"/>
      <c r="N317" s="35"/>
      <c r="O317" s="42"/>
      <c r="P317" s="35"/>
      <c r="Q317" s="35"/>
      <c r="R317" s="33" t="e">
        <v>#VALUE!</v>
      </c>
      <c r="S317" s="35"/>
      <c r="T317" s="35"/>
      <c r="U317" s="31"/>
    </row>
    <row r="318">
      <c r="A318" s="31"/>
      <c r="B318" s="37">
        <v>45706.0</v>
      </c>
      <c r="C318" s="29"/>
      <c r="D318" s="38" t="s">
        <v>314</v>
      </c>
      <c r="E318" s="38" t="s">
        <v>289</v>
      </c>
      <c r="F318" s="38" t="s">
        <v>420</v>
      </c>
      <c r="G318" s="38" t="s">
        <v>176</v>
      </c>
      <c r="H318" s="38" t="s">
        <v>421</v>
      </c>
      <c r="I318" s="41" t="s">
        <v>78</v>
      </c>
      <c r="J318" s="29"/>
      <c r="K318" s="29"/>
      <c r="L318" s="29"/>
      <c r="M318" s="29"/>
      <c r="N318" s="29"/>
      <c r="O318" s="43"/>
      <c r="P318" s="29"/>
      <c r="Q318" s="29"/>
      <c r="R318" s="38" t="e">
        <v>#VALUE!</v>
      </c>
      <c r="S318" s="29"/>
      <c r="T318" s="29"/>
      <c r="U318" s="31"/>
    </row>
    <row r="319">
      <c r="A319" s="31"/>
      <c r="B319" s="32">
        <v>45706.0</v>
      </c>
      <c r="C319" s="35"/>
      <c r="D319" s="33" t="s">
        <v>314</v>
      </c>
      <c r="E319" s="33" t="s">
        <v>260</v>
      </c>
      <c r="F319" s="33" t="s">
        <v>422</v>
      </c>
      <c r="G319" s="33" t="s">
        <v>120</v>
      </c>
      <c r="H319" s="33" t="s">
        <v>423</v>
      </c>
      <c r="I319" s="34" t="s">
        <v>78</v>
      </c>
      <c r="J319" s="35"/>
      <c r="K319" s="35"/>
      <c r="L319" s="35"/>
      <c r="M319" s="35"/>
      <c r="N319" s="35"/>
      <c r="O319" s="42"/>
      <c r="P319" s="35"/>
      <c r="Q319" s="35"/>
      <c r="R319" s="33" t="e">
        <v>#VALUE!</v>
      </c>
      <c r="S319" s="35"/>
      <c r="T319" s="35"/>
      <c r="U319" s="31"/>
    </row>
    <row r="320">
      <c r="A320" s="31"/>
      <c r="B320" s="37">
        <v>45706.0</v>
      </c>
      <c r="C320" s="29"/>
      <c r="D320" s="38" t="s">
        <v>314</v>
      </c>
      <c r="E320" s="38" t="s">
        <v>260</v>
      </c>
      <c r="F320" s="38" t="s">
        <v>424</v>
      </c>
      <c r="G320" s="38" t="s">
        <v>263</v>
      </c>
      <c r="H320" s="38" t="s">
        <v>333</v>
      </c>
      <c r="I320" s="41" t="s">
        <v>78</v>
      </c>
      <c r="J320" s="29"/>
      <c r="K320" s="29"/>
      <c r="L320" s="29"/>
      <c r="M320" s="29"/>
      <c r="N320" s="29"/>
      <c r="O320" s="43"/>
      <c r="P320" s="29"/>
      <c r="Q320" s="29"/>
      <c r="R320" s="38" t="e">
        <v>#VALUE!</v>
      </c>
      <c r="S320" s="29"/>
      <c r="T320" s="29"/>
      <c r="U320" s="31"/>
    </row>
    <row r="321">
      <c r="A321" s="31"/>
      <c r="B321" s="32">
        <v>45706.0</v>
      </c>
      <c r="C321" s="35"/>
      <c r="D321" s="33" t="s">
        <v>314</v>
      </c>
      <c r="E321" s="33" t="s">
        <v>260</v>
      </c>
      <c r="F321" s="33" t="s">
        <v>425</v>
      </c>
      <c r="G321" s="33" t="s">
        <v>120</v>
      </c>
      <c r="H321" s="33" t="s">
        <v>426</v>
      </c>
      <c r="I321" s="34" t="s">
        <v>88</v>
      </c>
      <c r="J321" s="35"/>
      <c r="K321" s="35"/>
      <c r="L321" s="35"/>
      <c r="M321" s="35"/>
      <c r="N321" s="35"/>
      <c r="O321" s="42"/>
      <c r="P321" s="35"/>
      <c r="Q321" s="35"/>
      <c r="R321" s="33" t="e">
        <v>#VALUE!</v>
      </c>
      <c r="S321" s="35"/>
      <c r="T321" s="35"/>
      <c r="U321" s="31"/>
    </row>
    <row r="322">
      <c r="A322" s="31"/>
      <c r="B322" s="44">
        <v>45706.0</v>
      </c>
      <c r="C322" s="29"/>
      <c r="D322" s="38" t="s">
        <v>31</v>
      </c>
      <c r="E322" s="38" t="s">
        <v>427</v>
      </c>
      <c r="F322" s="38" t="s">
        <v>428</v>
      </c>
      <c r="G322" s="38" t="s">
        <v>429</v>
      </c>
      <c r="H322" s="38">
        <v>3.50716260016271E14</v>
      </c>
      <c r="I322" s="41" t="s">
        <v>78</v>
      </c>
      <c r="J322" s="29"/>
      <c r="K322" s="29"/>
      <c r="L322" s="29"/>
      <c r="M322" s="29"/>
      <c r="N322" s="29"/>
      <c r="O322" s="43"/>
      <c r="P322" s="29"/>
      <c r="Q322" s="29"/>
      <c r="R322" s="38" t="e">
        <v>#VALUE!</v>
      </c>
      <c r="S322" s="29"/>
      <c r="T322" s="29"/>
      <c r="U322" s="31"/>
    </row>
    <row r="323">
      <c r="A323" s="31"/>
      <c r="B323" s="32">
        <v>45706.0</v>
      </c>
      <c r="C323" s="35"/>
      <c r="D323" s="33" t="s">
        <v>31</v>
      </c>
      <c r="E323" s="33" t="s">
        <v>278</v>
      </c>
      <c r="F323" s="33" t="s">
        <v>430</v>
      </c>
      <c r="G323" s="33" t="s">
        <v>431</v>
      </c>
      <c r="H323" s="33">
        <v>3.54730495019162E14</v>
      </c>
      <c r="I323" s="34" t="s">
        <v>78</v>
      </c>
      <c r="J323" s="35"/>
      <c r="K323" s="35"/>
      <c r="L323" s="35"/>
      <c r="M323" s="35"/>
      <c r="N323" s="35"/>
      <c r="O323" s="42"/>
      <c r="P323" s="35"/>
      <c r="Q323" s="35"/>
      <c r="R323" s="33" t="e">
        <v>#VALUE!</v>
      </c>
      <c r="S323" s="35"/>
      <c r="T323" s="35"/>
      <c r="U323" s="31"/>
    </row>
    <row r="324">
      <c r="A324" s="31"/>
      <c r="B324" s="37">
        <v>45706.0</v>
      </c>
      <c r="C324" s="29"/>
      <c r="D324" s="38" t="s">
        <v>31</v>
      </c>
      <c r="E324" s="38" t="s">
        <v>363</v>
      </c>
      <c r="F324" s="38" t="s">
        <v>430</v>
      </c>
      <c r="G324" s="38" t="s">
        <v>111</v>
      </c>
      <c r="H324" s="38">
        <v>3.588335250305E14</v>
      </c>
      <c r="I324" s="41" t="s">
        <v>78</v>
      </c>
      <c r="J324" s="29"/>
      <c r="K324" s="29"/>
      <c r="L324" s="29"/>
      <c r="M324" s="29"/>
      <c r="N324" s="29"/>
      <c r="O324" s="43"/>
      <c r="P324" s="29"/>
      <c r="Q324" s="29"/>
      <c r="R324" s="38" t="e">
        <v>#VALUE!</v>
      </c>
      <c r="S324" s="29"/>
      <c r="T324" s="29"/>
      <c r="U324" s="31"/>
    </row>
    <row r="325">
      <c r="A325" s="31"/>
      <c r="B325" s="32">
        <v>45706.0</v>
      </c>
      <c r="C325" s="33" t="s">
        <v>46</v>
      </c>
      <c r="D325" s="33" t="s">
        <v>31</v>
      </c>
      <c r="E325" s="33" t="s">
        <v>363</v>
      </c>
      <c r="F325" s="33" t="s">
        <v>318</v>
      </c>
      <c r="G325" s="33" t="s">
        <v>115</v>
      </c>
      <c r="H325" s="33">
        <v>3.58410185007993E14</v>
      </c>
      <c r="I325" s="34" t="s">
        <v>78</v>
      </c>
      <c r="J325" s="35"/>
      <c r="K325" s="35"/>
      <c r="L325" s="35"/>
      <c r="M325" s="35"/>
      <c r="N325" s="35"/>
      <c r="O325" s="42"/>
      <c r="P325" s="35"/>
      <c r="Q325" s="35"/>
      <c r="R325" s="33" t="e">
        <v>#VALUE!</v>
      </c>
      <c r="S325" s="35"/>
      <c r="T325" s="35"/>
      <c r="U325" s="31"/>
    </row>
    <row r="326">
      <c r="A326" s="31"/>
      <c r="B326" s="44">
        <v>45706.0</v>
      </c>
      <c r="C326" s="29"/>
      <c r="D326" s="38" t="s">
        <v>31</v>
      </c>
      <c r="E326" s="38" t="s">
        <v>90</v>
      </c>
      <c r="F326" s="38" t="s">
        <v>318</v>
      </c>
      <c r="G326" s="38" t="s">
        <v>429</v>
      </c>
      <c r="H326" s="38">
        <v>3.50009210020381E14</v>
      </c>
      <c r="I326" s="41" t="s">
        <v>78</v>
      </c>
      <c r="J326" s="29"/>
      <c r="K326" s="29"/>
      <c r="L326" s="29"/>
      <c r="M326" s="29"/>
      <c r="N326" s="29"/>
      <c r="O326" s="43"/>
      <c r="P326" s="29"/>
      <c r="Q326" s="29"/>
      <c r="R326" s="38" t="e">
        <v>#VALUE!</v>
      </c>
      <c r="S326" s="29"/>
      <c r="T326" s="29"/>
      <c r="U326" s="31"/>
    </row>
    <row r="327">
      <c r="A327" s="31"/>
      <c r="B327" s="44">
        <v>45706.0</v>
      </c>
      <c r="C327" s="35"/>
      <c r="D327" s="33" t="s">
        <v>31</v>
      </c>
      <c r="E327" s="33" t="s">
        <v>90</v>
      </c>
      <c r="F327" s="33" t="s">
        <v>318</v>
      </c>
      <c r="G327" s="33" t="s">
        <v>134</v>
      </c>
      <c r="H327" s="33">
        <v>3.50009210074339E14</v>
      </c>
      <c r="I327" s="34" t="s">
        <v>78</v>
      </c>
      <c r="J327" s="35"/>
      <c r="K327" s="35"/>
      <c r="L327" s="35"/>
      <c r="M327" s="35"/>
      <c r="N327" s="35"/>
      <c r="O327" s="42"/>
      <c r="P327" s="35"/>
      <c r="Q327" s="35"/>
      <c r="R327" s="33" t="e">
        <v>#VALUE!</v>
      </c>
      <c r="S327" s="35"/>
      <c r="T327" s="35"/>
      <c r="U327" s="31"/>
    </row>
    <row r="328">
      <c r="A328" s="31"/>
      <c r="B328" s="44">
        <v>45706.0</v>
      </c>
      <c r="C328" s="29"/>
      <c r="D328" s="38" t="s">
        <v>31</v>
      </c>
      <c r="E328" s="38" t="s">
        <v>90</v>
      </c>
      <c r="F328" s="38" t="s">
        <v>318</v>
      </c>
      <c r="G328" s="38" t="s">
        <v>429</v>
      </c>
      <c r="H328" s="38">
        <v>3.50009210014939E14</v>
      </c>
      <c r="I328" s="41" t="s">
        <v>78</v>
      </c>
      <c r="J328" s="29"/>
      <c r="K328" s="29"/>
      <c r="L328" s="29"/>
      <c r="M328" s="29"/>
      <c r="N328" s="29"/>
      <c r="O328" s="43"/>
      <c r="P328" s="29"/>
      <c r="Q328" s="29"/>
      <c r="R328" s="38" t="e">
        <v>#VALUE!</v>
      </c>
      <c r="S328" s="29"/>
      <c r="T328" s="29"/>
      <c r="U328" s="31"/>
    </row>
    <row r="329">
      <c r="A329" s="31"/>
      <c r="B329" s="44">
        <v>45706.0</v>
      </c>
      <c r="C329" s="35"/>
      <c r="D329" s="33" t="s">
        <v>31</v>
      </c>
      <c r="E329" s="33" t="s">
        <v>90</v>
      </c>
      <c r="F329" s="33" t="s">
        <v>318</v>
      </c>
      <c r="G329" s="33" t="s">
        <v>429</v>
      </c>
      <c r="H329" s="33">
        <v>3.50009210289044E14</v>
      </c>
      <c r="I329" s="34" t="s">
        <v>78</v>
      </c>
      <c r="J329" s="35"/>
      <c r="K329" s="35"/>
      <c r="L329" s="35"/>
      <c r="M329" s="35"/>
      <c r="N329" s="35"/>
      <c r="O329" s="42"/>
      <c r="P329" s="35"/>
      <c r="Q329" s="35"/>
      <c r="R329" s="33" t="e">
        <v>#VALUE!</v>
      </c>
      <c r="S329" s="35"/>
      <c r="T329" s="35"/>
      <c r="U329" s="31"/>
    </row>
    <row r="330">
      <c r="A330" s="31"/>
      <c r="B330" s="44">
        <v>45706.0</v>
      </c>
      <c r="C330" s="29"/>
      <c r="D330" s="38" t="s">
        <v>31</v>
      </c>
      <c r="E330" s="38" t="s">
        <v>90</v>
      </c>
      <c r="F330" s="38" t="s">
        <v>318</v>
      </c>
      <c r="G330" s="38" t="s">
        <v>429</v>
      </c>
      <c r="H330" s="38">
        <v>3.50009210307945E14</v>
      </c>
      <c r="I330" s="41" t="s">
        <v>78</v>
      </c>
      <c r="J330" s="29"/>
      <c r="K330" s="29"/>
      <c r="L330" s="29"/>
      <c r="M330" s="29"/>
      <c r="N330" s="29"/>
      <c r="O330" s="43"/>
      <c r="P330" s="29"/>
      <c r="Q330" s="29"/>
      <c r="R330" s="38" t="e">
        <v>#VALUE!</v>
      </c>
      <c r="S330" s="29"/>
      <c r="T330" s="29"/>
      <c r="U330" s="31"/>
    </row>
    <row r="331">
      <c r="A331" s="31"/>
      <c r="B331" s="44">
        <v>45706.0</v>
      </c>
      <c r="C331" s="35"/>
      <c r="D331" s="33" t="s">
        <v>31</v>
      </c>
      <c r="E331" s="33" t="s">
        <v>90</v>
      </c>
      <c r="F331" s="33" t="s">
        <v>318</v>
      </c>
      <c r="G331" s="33" t="s">
        <v>429</v>
      </c>
      <c r="H331" s="33">
        <v>3.5000921030862E14</v>
      </c>
      <c r="I331" s="34" t="s">
        <v>78</v>
      </c>
      <c r="J331" s="35"/>
      <c r="K331" s="35"/>
      <c r="L331" s="35"/>
      <c r="M331" s="35"/>
      <c r="N331" s="35"/>
      <c r="O331" s="42"/>
      <c r="P331" s="35"/>
      <c r="Q331" s="35"/>
      <c r="R331" s="33" t="e">
        <v>#VALUE!</v>
      </c>
      <c r="S331" s="35"/>
      <c r="T331" s="35"/>
      <c r="U331" s="31"/>
    </row>
    <row r="332">
      <c r="A332" s="31"/>
      <c r="B332" s="44">
        <v>45706.0</v>
      </c>
      <c r="C332" s="29"/>
      <c r="D332" s="38" t="s">
        <v>31</v>
      </c>
      <c r="E332" s="38" t="s">
        <v>90</v>
      </c>
      <c r="F332" s="38" t="s">
        <v>318</v>
      </c>
      <c r="G332" s="38" t="s">
        <v>429</v>
      </c>
      <c r="H332" s="38">
        <v>3.50009210308232E14</v>
      </c>
      <c r="I332" s="41" t="s">
        <v>78</v>
      </c>
      <c r="J332" s="29"/>
      <c r="K332" s="29"/>
      <c r="L332" s="29"/>
      <c r="M332" s="29"/>
      <c r="N332" s="29"/>
      <c r="O332" s="43"/>
      <c r="P332" s="29"/>
      <c r="Q332" s="29"/>
      <c r="R332" s="38" t="e">
        <v>#VALUE!</v>
      </c>
      <c r="S332" s="29"/>
      <c r="T332" s="29"/>
      <c r="U332" s="31"/>
    </row>
    <row r="333">
      <c r="A333" s="31"/>
      <c r="B333" s="44">
        <v>45706.0</v>
      </c>
      <c r="C333" s="35"/>
      <c r="D333" s="33" t="s">
        <v>31</v>
      </c>
      <c r="E333" s="33" t="s">
        <v>90</v>
      </c>
      <c r="F333" s="33" t="s">
        <v>318</v>
      </c>
      <c r="G333" s="33" t="s">
        <v>429</v>
      </c>
      <c r="H333" s="33">
        <v>3.50009210308596E14</v>
      </c>
      <c r="I333" s="34" t="s">
        <v>78</v>
      </c>
      <c r="J333" s="35"/>
      <c r="K333" s="35"/>
      <c r="L333" s="35"/>
      <c r="M333" s="35"/>
      <c r="N333" s="35"/>
      <c r="O333" s="42"/>
      <c r="P333" s="35"/>
      <c r="Q333" s="35"/>
      <c r="R333" s="33" t="e">
        <v>#VALUE!</v>
      </c>
      <c r="S333" s="35"/>
      <c r="T333" s="35"/>
      <c r="U333" s="31"/>
    </row>
    <row r="334">
      <c r="A334" s="31"/>
      <c r="B334" s="37">
        <v>45706.0</v>
      </c>
      <c r="C334" s="29"/>
      <c r="D334" s="38" t="s">
        <v>31</v>
      </c>
      <c r="E334" s="38" t="s">
        <v>282</v>
      </c>
      <c r="F334" s="38" t="s">
        <v>318</v>
      </c>
      <c r="G334" s="38" t="s">
        <v>115</v>
      </c>
      <c r="H334" s="38">
        <v>3.555417400819E14</v>
      </c>
      <c r="I334" s="41" t="s">
        <v>78</v>
      </c>
      <c r="J334" s="29"/>
      <c r="K334" s="29"/>
      <c r="L334" s="29"/>
      <c r="M334" s="29"/>
      <c r="N334" s="29"/>
      <c r="O334" s="43"/>
      <c r="P334" s="29"/>
      <c r="Q334" s="29"/>
      <c r="R334" s="38" t="e">
        <v>#VALUE!</v>
      </c>
      <c r="S334" s="29"/>
      <c r="T334" s="29"/>
      <c r="U334" s="31"/>
    </row>
    <row r="335">
      <c r="A335" s="31"/>
      <c r="B335" s="32">
        <v>45706.0</v>
      </c>
      <c r="C335" s="35"/>
      <c r="D335" s="33" t="s">
        <v>31</v>
      </c>
      <c r="E335" s="33" t="s">
        <v>282</v>
      </c>
      <c r="F335" s="33" t="s">
        <v>318</v>
      </c>
      <c r="G335" s="33" t="s">
        <v>115</v>
      </c>
      <c r="H335" s="33">
        <v>3.5554174003649E14</v>
      </c>
      <c r="I335" s="34" t="s">
        <v>78</v>
      </c>
      <c r="J335" s="35"/>
      <c r="K335" s="35"/>
      <c r="L335" s="35"/>
      <c r="M335" s="35"/>
      <c r="N335" s="35"/>
      <c r="O335" s="42"/>
      <c r="P335" s="35"/>
      <c r="Q335" s="35"/>
      <c r="R335" s="33" t="e">
        <v>#VALUE!</v>
      </c>
      <c r="S335" s="35"/>
      <c r="T335" s="35"/>
      <c r="U335" s="31"/>
    </row>
    <row r="336">
      <c r="A336" s="31"/>
      <c r="B336" s="37">
        <v>45706.0</v>
      </c>
      <c r="C336" s="29"/>
      <c r="D336" s="38" t="s">
        <v>31</v>
      </c>
      <c r="E336" s="38" t="s">
        <v>282</v>
      </c>
      <c r="F336" s="38" t="s">
        <v>318</v>
      </c>
      <c r="G336" s="38" t="s">
        <v>113</v>
      </c>
      <c r="H336" s="38">
        <v>3.555417400504E14</v>
      </c>
      <c r="I336" s="41" t="s">
        <v>78</v>
      </c>
      <c r="J336" s="29"/>
      <c r="K336" s="29"/>
      <c r="L336" s="29"/>
      <c r="M336" s="29"/>
      <c r="N336" s="29"/>
      <c r="O336" s="43"/>
      <c r="P336" s="29"/>
      <c r="Q336" s="29"/>
      <c r="R336" s="38" t="e">
        <v>#VALUE!</v>
      </c>
      <c r="S336" s="29"/>
      <c r="T336" s="29"/>
      <c r="U336" s="31"/>
    </row>
    <row r="337">
      <c r="A337" s="31"/>
      <c r="B337" s="32">
        <v>45706.0</v>
      </c>
      <c r="C337" s="35"/>
      <c r="D337" s="33" t="s">
        <v>31</v>
      </c>
      <c r="E337" s="33" t="s">
        <v>432</v>
      </c>
      <c r="F337" s="33" t="s">
        <v>318</v>
      </c>
      <c r="G337" s="33" t="s">
        <v>130</v>
      </c>
      <c r="H337" s="33">
        <v>3.57696520006408E14</v>
      </c>
      <c r="I337" s="34" t="s">
        <v>78</v>
      </c>
      <c r="J337" s="35"/>
      <c r="K337" s="35"/>
      <c r="L337" s="35"/>
      <c r="M337" s="35"/>
      <c r="N337" s="35"/>
      <c r="O337" s="42"/>
      <c r="P337" s="35"/>
      <c r="Q337" s="35"/>
      <c r="R337" s="33" t="e">
        <v>#VALUE!</v>
      </c>
      <c r="S337" s="35"/>
      <c r="T337" s="35"/>
      <c r="U337" s="31"/>
    </row>
    <row r="338">
      <c r="A338" s="31"/>
      <c r="B338" s="37">
        <v>45706.0</v>
      </c>
      <c r="C338" s="29"/>
      <c r="D338" s="38" t="s">
        <v>31</v>
      </c>
      <c r="E338" s="38" t="s">
        <v>432</v>
      </c>
      <c r="F338" s="38" t="s">
        <v>318</v>
      </c>
      <c r="G338" s="38" t="s">
        <v>130</v>
      </c>
      <c r="H338" s="38">
        <v>3.57696520006432E14</v>
      </c>
      <c r="I338" s="41" t="s">
        <v>78</v>
      </c>
      <c r="J338" s="29"/>
      <c r="K338" s="29"/>
      <c r="L338" s="29"/>
      <c r="M338" s="29"/>
      <c r="N338" s="29"/>
      <c r="O338" s="43"/>
      <c r="P338" s="29"/>
      <c r="Q338" s="29"/>
      <c r="R338" s="38" t="e">
        <v>#VALUE!</v>
      </c>
      <c r="S338" s="29"/>
      <c r="T338" s="29"/>
      <c r="U338" s="31"/>
    </row>
    <row r="339">
      <c r="A339" s="31"/>
      <c r="B339" s="32">
        <v>45706.0</v>
      </c>
      <c r="C339" s="35"/>
      <c r="D339" s="33" t="s">
        <v>31</v>
      </c>
      <c r="E339" s="33" t="s">
        <v>432</v>
      </c>
      <c r="F339" s="33" t="s">
        <v>318</v>
      </c>
      <c r="G339" s="33" t="s">
        <v>277</v>
      </c>
      <c r="H339" s="33">
        <v>3.57696520002498E14</v>
      </c>
      <c r="I339" s="34" t="s">
        <v>78</v>
      </c>
      <c r="J339" s="35"/>
      <c r="K339" s="35"/>
      <c r="L339" s="35"/>
      <c r="M339" s="35"/>
      <c r="N339" s="35"/>
      <c r="O339" s="42"/>
      <c r="P339" s="35"/>
      <c r="Q339" s="35"/>
      <c r="R339" s="33" t="e">
        <v>#VALUE!</v>
      </c>
      <c r="S339" s="35"/>
      <c r="T339" s="35"/>
      <c r="U339" s="31"/>
    </row>
    <row r="340">
      <c r="A340" s="31"/>
      <c r="B340" s="37">
        <v>45708.0</v>
      </c>
      <c r="C340" s="38" t="s">
        <v>128</v>
      </c>
      <c r="D340" s="38" t="s">
        <v>31</v>
      </c>
      <c r="E340" s="38" t="s">
        <v>112</v>
      </c>
      <c r="F340" s="38" t="s">
        <v>84</v>
      </c>
      <c r="G340" s="38" t="s">
        <v>115</v>
      </c>
      <c r="H340" s="38">
        <v>3.555417400819E14</v>
      </c>
      <c r="I340" s="41" t="s">
        <v>78</v>
      </c>
      <c r="J340" s="29"/>
      <c r="K340" s="38" t="s">
        <v>79</v>
      </c>
      <c r="L340" s="29"/>
      <c r="M340" s="29"/>
      <c r="N340" s="29"/>
      <c r="O340" s="43"/>
      <c r="P340" s="29"/>
      <c r="Q340" s="29"/>
      <c r="R340" s="38" t="e">
        <v>#VALUE!</v>
      </c>
      <c r="S340" s="29"/>
      <c r="T340" s="29"/>
      <c r="U340" s="31"/>
    </row>
    <row r="341">
      <c r="A341" s="31"/>
      <c r="B341" s="32">
        <v>45708.0</v>
      </c>
      <c r="C341" s="33" t="s">
        <v>128</v>
      </c>
      <c r="D341" s="33" t="s">
        <v>31</v>
      </c>
      <c r="E341" s="33" t="s">
        <v>112</v>
      </c>
      <c r="F341" s="33" t="s">
        <v>84</v>
      </c>
      <c r="G341" s="33" t="s">
        <v>115</v>
      </c>
      <c r="H341" s="33">
        <v>3.5554174003649E14</v>
      </c>
      <c r="I341" s="34" t="s">
        <v>78</v>
      </c>
      <c r="J341" s="35"/>
      <c r="K341" s="33" t="s">
        <v>79</v>
      </c>
      <c r="L341" s="35"/>
      <c r="M341" s="35"/>
      <c r="N341" s="35"/>
      <c r="O341" s="42"/>
      <c r="P341" s="35"/>
      <c r="Q341" s="35"/>
      <c r="R341" s="33" t="e">
        <v>#VALUE!</v>
      </c>
      <c r="S341" s="35"/>
      <c r="T341" s="35"/>
      <c r="U341" s="31"/>
    </row>
    <row r="342">
      <c r="A342" s="31"/>
      <c r="B342" s="37">
        <v>45708.0</v>
      </c>
      <c r="C342" s="38" t="s">
        <v>128</v>
      </c>
      <c r="D342" s="38" t="s">
        <v>31</v>
      </c>
      <c r="E342" s="38" t="s">
        <v>112</v>
      </c>
      <c r="F342" s="38" t="s">
        <v>84</v>
      </c>
      <c r="G342" s="38" t="s">
        <v>113</v>
      </c>
      <c r="H342" s="38">
        <v>3.555417400504E14</v>
      </c>
      <c r="I342" s="41" t="s">
        <v>78</v>
      </c>
      <c r="J342" s="29"/>
      <c r="K342" s="38" t="s">
        <v>79</v>
      </c>
      <c r="L342" s="29"/>
      <c r="M342" s="29"/>
      <c r="N342" s="29"/>
      <c r="O342" s="43"/>
      <c r="P342" s="29"/>
      <c r="Q342" s="29"/>
      <c r="R342" s="38" t="e">
        <v>#VALUE!</v>
      </c>
      <c r="S342" s="29"/>
      <c r="T342" s="29"/>
      <c r="U342" s="31"/>
    </row>
    <row r="343">
      <c r="A343" s="31"/>
      <c r="B343" s="32">
        <v>45708.0</v>
      </c>
      <c r="C343" s="33" t="s">
        <v>128</v>
      </c>
      <c r="D343" s="33" t="s">
        <v>31</v>
      </c>
      <c r="E343" s="33" t="s">
        <v>265</v>
      </c>
      <c r="F343" s="33" t="s">
        <v>84</v>
      </c>
      <c r="G343" s="33" t="s">
        <v>130</v>
      </c>
      <c r="H343" s="33">
        <v>3.57696520006432E14</v>
      </c>
      <c r="I343" s="34" t="s">
        <v>78</v>
      </c>
      <c r="J343" s="35"/>
      <c r="K343" s="33" t="s">
        <v>79</v>
      </c>
      <c r="L343" s="35"/>
      <c r="M343" s="35"/>
      <c r="N343" s="35"/>
      <c r="O343" s="42"/>
      <c r="P343" s="35"/>
      <c r="Q343" s="35"/>
      <c r="R343" s="33" t="e">
        <v>#VALUE!</v>
      </c>
      <c r="S343" s="35"/>
      <c r="T343" s="35"/>
      <c r="U343" s="31"/>
    </row>
    <row r="344">
      <c r="A344" s="31"/>
      <c r="B344" s="37">
        <v>45708.0</v>
      </c>
      <c r="C344" s="38" t="s">
        <v>128</v>
      </c>
      <c r="D344" s="38" t="s">
        <v>31</v>
      </c>
      <c r="E344" s="38" t="s">
        <v>265</v>
      </c>
      <c r="F344" s="38" t="s">
        <v>84</v>
      </c>
      <c r="G344" s="38" t="s">
        <v>130</v>
      </c>
      <c r="H344" s="38">
        <v>3.57696520006408E14</v>
      </c>
      <c r="I344" s="41" t="s">
        <v>78</v>
      </c>
      <c r="J344" s="29"/>
      <c r="K344" s="38" t="s">
        <v>79</v>
      </c>
      <c r="L344" s="29"/>
      <c r="M344" s="29"/>
      <c r="N344" s="29"/>
      <c r="O344" s="43"/>
      <c r="P344" s="29"/>
      <c r="Q344" s="29"/>
      <c r="R344" s="38" t="e">
        <v>#VALUE!</v>
      </c>
      <c r="S344" s="29"/>
      <c r="T344" s="29"/>
      <c r="U344" s="31"/>
    </row>
    <row r="345">
      <c r="A345" s="31"/>
      <c r="B345" s="32">
        <v>45708.0</v>
      </c>
      <c r="C345" s="33" t="s">
        <v>128</v>
      </c>
      <c r="D345" s="33" t="s">
        <v>31</v>
      </c>
      <c r="E345" s="33" t="s">
        <v>265</v>
      </c>
      <c r="F345" s="33" t="s">
        <v>84</v>
      </c>
      <c r="G345" s="33" t="s">
        <v>277</v>
      </c>
      <c r="H345" s="33">
        <v>3.57696520002498E14</v>
      </c>
      <c r="I345" s="34" t="s">
        <v>78</v>
      </c>
      <c r="J345" s="35"/>
      <c r="K345" s="33" t="s">
        <v>79</v>
      </c>
      <c r="L345" s="35"/>
      <c r="M345" s="35"/>
      <c r="N345" s="35"/>
      <c r="O345" s="42"/>
      <c r="P345" s="35"/>
      <c r="Q345" s="35"/>
      <c r="R345" s="33" t="e">
        <v>#VALUE!</v>
      </c>
      <c r="S345" s="35"/>
      <c r="T345" s="35"/>
      <c r="U345" s="31"/>
    </row>
    <row r="346">
      <c r="A346" s="31"/>
      <c r="B346" s="37">
        <v>45708.0</v>
      </c>
      <c r="C346" s="38" t="s">
        <v>30</v>
      </c>
      <c r="D346" s="38" t="s">
        <v>44</v>
      </c>
      <c r="E346" s="38" t="s">
        <v>433</v>
      </c>
      <c r="F346" s="29"/>
      <c r="G346" s="38" t="s">
        <v>144</v>
      </c>
      <c r="H346" s="38" t="s">
        <v>434</v>
      </c>
      <c r="I346" s="41" t="s">
        <v>78</v>
      </c>
      <c r="J346" s="29"/>
      <c r="K346" s="29"/>
      <c r="L346" s="29"/>
      <c r="M346" s="29"/>
      <c r="N346" s="29"/>
      <c r="O346" s="43"/>
      <c r="P346" s="29"/>
      <c r="Q346" s="29"/>
      <c r="R346" s="38" t="e">
        <v>#VALUE!</v>
      </c>
      <c r="S346" s="29"/>
      <c r="T346" s="29"/>
      <c r="U346" s="31"/>
    </row>
    <row r="347">
      <c r="A347" s="31"/>
      <c r="B347" s="32">
        <v>45708.0</v>
      </c>
      <c r="C347" s="33" t="s">
        <v>30</v>
      </c>
      <c r="D347" s="33" t="s">
        <v>44</v>
      </c>
      <c r="E347" s="33" t="s">
        <v>433</v>
      </c>
      <c r="F347" s="35"/>
      <c r="G347" s="33" t="s">
        <v>144</v>
      </c>
      <c r="H347" s="33" t="s">
        <v>435</v>
      </c>
      <c r="I347" s="34" t="s">
        <v>436</v>
      </c>
      <c r="J347" s="33" t="s">
        <v>437</v>
      </c>
      <c r="K347" s="35"/>
      <c r="L347" s="35"/>
      <c r="M347" s="35"/>
      <c r="N347" s="35"/>
      <c r="O347" s="42"/>
      <c r="P347" s="35"/>
      <c r="Q347" s="35"/>
      <c r="R347" s="33" t="e">
        <v>#VALUE!</v>
      </c>
      <c r="S347" s="35"/>
      <c r="T347" s="35"/>
      <c r="U347" s="31"/>
    </row>
    <row r="348">
      <c r="A348" s="31"/>
      <c r="B348" s="37">
        <v>45708.0</v>
      </c>
      <c r="C348" s="38" t="s">
        <v>30</v>
      </c>
      <c r="D348" s="38" t="s">
        <v>44</v>
      </c>
      <c r="E348" s="38" t="s">
        <v>433</v>
      </c>
      <c r="F348" s="29"/>
      <c r="G348" s="38" t="s">
        <v>144</v>
      </c>
      <c r="H348" s="38" t="s">
        <v>438</v>
      </c>
      <c r="I348" s="41" t="s">
        <v>436</v>
      </c>
      <c r="J348" s="29"/>
      <c r="K348" s="29"/>
      <c r="L348" s="29"/>
      <c r="M348" s="29"/>
      <c r="N348" s="29"/>
      <c r="O348" s="43"/>
      <c r="P348" s="29"/>
      <c r="Q348" s="29"/>
      <c r="R348" s="38" t="e">
        <v>#VALUE!</v>
      </c>
      <c r="S348" s="29"/>
      <c r="T348" s="29"/>
      <c r="U348" s="31"/>
    </row>
    <row r="349">
      <c r="A349" s="31"/>
      <c r="B349" s="32">
        <v>45708.0</v>
      </c>
      <c r="C349" s="33" t="s">
        <v>30</v>
      </c>
      <c r="D349" s="33" t="s">
        <v>44</v>
      </c>
      <c r="E349" s="33" t="s">
        <v>433</v>
      </c>
      <c r="F349" s="35"/>
      <c r="G349" s="33" t="s">
        <v>144</v>
      </c>
      <c r="H349" s="33" t="s">
        <v>439</v>
      </c>
      <c r="I349" s="34" t="s">
        <v>436</v>
      </c>
      <c r="J349" s="33" t="s">
        <v>256</v>
      </c>
      <c r="K349" s="35"/>
      <c r="L349" s="35"/>
      <c r="M349" s="35"/>
      <c r="N349" s="35"/>
      <c r="O349" s="42"/>
      <c r="P349" s="35"/>
      <c r="Q349" s="35"/>
      <c r="R349" s="33" t="e">
        <v>#VALUE!</v>
      </c>
      <c r="S349" s="35"/>
      <c r="T349" s="35"/>
      <c r="U349" s="31"/>
    </row>
    <row r="350">
      <c r="A350" s="31"/>
      <c r="B350" s="37">
        <v>45708.0</v>
      </c>
      <c r="C350" s="38" t="s">
        <v>30</v>
      </c>
      <c r="D350" s="38" t="s">
        <v>44</v>
      </c>
      <c r="E350" s="38" t="s">
        <v>433</v>
      </c>
      <c r="F350" s="29"/>
      <c r="G350" s="38" t="s">
        <v>144</v>
      </c>
      <c r="H350" s="38" t="s">
        <v>440</v>
      </c>
      <c r="I350" s="41" t="s">
        <v>436</v>
      </c>
      <c r="J350" s="29"/>
      <c r="K350" s="29"/>
      <c r="L350" s="29"/>
      <c r="M350" s="29"/>
      <c r="N350" s="29"/>
      <c r="O350" s="43"/>
      <c r="P350" s="29"/>
      <c r="Q350" s="29"/>
      <c r="R350" s="38" t="e">
        <v>#VALUE!</v>
      </c>
      <c r="S350" s="29"/>
      <c r="T350" s="29"/>
      <c r="U350" s="31"/>
    </row>
    <row r="351">
      <c r="A351" s="31"/>
      <c r="B351" s="32">
        <v>45708.0</v>
      </c>
      <c r="C351" s="33" t="s">
        <v>30</v>
      </c>
      <c r="D351" s="33" t="s">
        <v>44</v>
      </c>
      <c r="E351" s="33" t="s">
        <v>433</v>
      </c>
      <c r="F351" s="35"/>
      <c r="G351" s="33" t="s">
        <v>144</v>
      </c>
      <c r="H351" s="33" t="s">
        <v>441</v>
      </c>
      <c r="I351" s="34" t="s">
        <v>436</v>
      </c>
      <c r="J351" s="33" t="s">
        <v>442</v>
      </c>
      <c r="K351" s="35"/>
      <c r="L351" s="35"/>
      <c r="M351" s="35"/>
      <c r="N351" s="35"/>
      <c r="O351" s="42"/>
      <c r="P351" s="35"/>
      <c r="Q351" s="35"/>
      <c r="R351" s="33" t="e">
        <v>#VALUE!</v>
      </c>
      <c r="S351" s="35"/>
      <c r="T351" s="35"/>
      <c r="U351" s="31"/>
    </row>
    <row r="352">
      <c r="A352" s="31"/>
      <c r="B352" s="37">
        <v>45708.0</v>
      </c>
      <c r="C352" s="38" t="s">
        <v>30</v>
      </c>
      <c r="D352" s="38" t="s">
        <v>44</v>
      </c>
      <c r="E352" s="38" t="s">
        <v>433</v>
      </c>
      <c r="F352" s="29"/>
      <c r="G352" s="38" t="s">
        <v>144</v>
      </c>
      <c r="H352" s="38" t="s">
        <v>443</v>
      </c>
      <c r="I352" s="41" t="s">
        <v>436</v>
      </c>
      <c r="J352" s="38" t="s">
        <v>444</v>
      </c>
      <c r="K352" s="29"/>
      <c r="L352" s="29"/>
      <c r="M352" s="29"/>
      <c r="N352" s="29"/>
      <c r="O352" s="43"/>
      <c r="P352" s="29"/>
      <c r="Q352" s="29"/>
      <c r="R352" s="38" t="e">
        <v>#VALUE!</v>
      </c>
      <c r="S352" s="29"/>
      <c r="T352" s="29"/>
      <c r="U352" s="31"/>
    </row>
    <row r="353">
      <c r="A353" s="31"/>
      <c r="B353" s="32">
        <v>45708.0</v>
      </c>
      <c r="C353" s="33" t="s">
        <v>30</v>
      </c>
      <c r="D353" s="33" t="s">
        <v>44</v>
      </c>
      <c r="E353" s="33" t="s">
        <v>433</v>
      </c>
      <c r="F353" s="35"/>
      <c r="G353" s="33" t="s">
        <v>144</v>
      </c>
      <c r="H353" s="33" t="s">
        <v>445</v>
      </c>
      <c r="I353" s="34" t="s">
        <v>436</v>
      </c>
      <c r="J353" s="33" t="s">
        <v>446</v>
      </c>
      <c r="K353" s="35"/>
      <c r="L353" s="35"/>
      <c r="M353" s="35"/>
      <c r="N353" s="35"/>
      <c r="O353" s="42"/>
      <c r="P353" s="35"/>
      <c r="Q353" s="35"/>
      <c r="R353" s="33" t="e">
        <v>#VALUE!</v>
      </c>
      <c r="S353" s="35"/>
      <c r="T353" s="35"/>
      <c r="U353" s="31"/>
    </row>
    <row r="354">
      <c r="A354" s="31"/>
      <c r="B354" s="37">
        <v>45708.0</v>
      </c>
      <c r="C354" s="38" t="s">
        <v>30</v>
      </c>
      <c r="D354" s="38" t="s">
        <v>44</v>
      </c>
      <c r="E354" s="38" t="s">
        <v>433</v>
      </c>
      <c r="F354" s="29"/>
      <c r="G354" s="38" t="s">
        <v>144</v>
      </c>
      <c r="H354" s="38" t="s">
        <v>447</v>
      </c>
      <c r="I354" s="41" t="s">
        <v>436</v>
      </c>
      <c r="J354" s="29"/>
      <c r="K354" s="29"/>
      <c r="L354" s="29"/>
      <c r="M354" s="29"/>
      <c r="N354" s="29"/>
      <c r="O354" s="43"/>
      <c r="P354" s="29"/>
      <c r="Q354" s="29"/>
      <c r="R354" s="38" t="e">
        <v>#VALUE!</v>
      </c>
      <c r="S354" s="29"/>
      <c r="T354" s="29"/>
      <c r="U354" s="31"/>
    </row>
    <row r="355">
      <c r="A355" s="31"/>
      <c r="B355" s="32">
        <v>45708.0</v>
      </c>
      <c r="C355" s="33" t="s">
        <v>30</v>
      </c>
      <c r="D355" s="33" t="s">
        <v>44</v>
      </c>
      <c r="E355" s="33" t="s">
        <v>433</v>
      </c>
      <c r="F355" s="35"/>
      <c r="G355" s="33" t="s">
        <v>144</v>
      </c>
      <c r="H355" s="33" t="s">
        <v>448</v>
      </c>
      <c r="I355" s="34" t="s">
        <v>436</v>
      </c>
      <c r="J355" s="33" t="s">
        <v>449</v>
      </c>
      <c r="K355" s="35"/>
      <c r="L355" s="35"/>
      <c r="M355" s="35"/>
      <c r="N355" s="35"/>
      <c r="O355" s="42"/>
      <c r="P355" s="35"/>
      <c r="Q355" s="35"/>
      <c r="R355" s="33" t="e">
        <v>#VALUE!</v>
      </c>
      <c r="S355" s="35"/>
      <c r="T355" s="35"/>
      <c r="U355" s="31"/>
    </row>
    <row r="356">
      <c r="A356" s="31"/>
      <c r="B356" s="37">
        <v>45708.0</v>
      </c>
      <c r="C356" s="38" t="s">
        <v>30</v>
      </c>
      <c r="D356" s="38" t="s">
        <v>44</v>
      </c>
      <c r="E356" s="38" t="s">
        <v>433</v>
      </c>
      <c r="F356" s="29"/>
      <c r="G356" s="38" t="s">
        <v>144</v>
      </c>
      <c r="H356" s="38" t="s">
        <v>450</v>
      </c>
      <c r="I356" s="41" t="s">
        <v>436</v>
      </c>
      <c r="J356" s="38" t="s">
        <v>451</v>
      </c>
      <c r="K356" s="29"/>
      <c r="L356" s="29"/>
      <c r="M356" s="29"/>
      <c r="N356" s="29"/>
      <c r="O356" s="43"/>
      <c r="P356" s="29"/>
      <c r="Q356" s="29"/>
      <c r="R356" s="38" t="e">
        <v>#VALUE!</v>
      </c>
      <c r="S356" s="29"/>
      <c r="T356" s="29"/>
      <c r="U356" s="31"/>
    </row>
    <row r="357">
      <c r="A357" s="31"/>
      <c r="B357" s="32">
        <v>45708.0</v>
      </c>
      <c r="C357" s="33" t="s">
        <v>30</v>
      </c>
      <c r="D357" s="33" t="s">
        <v>44</v>
      </c>
      <c r="E357" s="33" t="s">
        <v>433</v>
      </c>
      <c r="F357" s="35"/>
      <c r="G357" s="33" t="s">
        <v>144</v>
      </c>
      <c r="H357" s="33" t="s">
        <v>452</v>
      </c>
      <c r="I357" s="34" t="s">
        <v>86</v>
      </c>
      <c r="J357" s="33" t="s">
        <v>453</v>
      </c>
      <c r="K357" s="35"/>
      <c r="L357" s="35"/>
      <c r="M357" s="35"/>
      <c r="N357" s="35"/>
      <c r="O357" s="42"/>
      <c r="P357" s="35"/>
      <c r="Q357" s="35"/>
      <c r="R357" s="33" t="e">
        <v>#VALUE!</v>
      </c>
      <c r="S357" s="35"/>
      <c r="T357" s="35"/>
      <c r="U357" s="31"/>
    </row>
    <row r="358">
      <c r="A358" s="31"/>
      <c r="B358" s="37">
        <v>45708.0</v>
      </c>
      <c r="C358" s="38" t="s">
        <v>30</v>
      </c>
      <c r="D358" s="38" t="s">
        <v>44</v>
      </c>
      <c r="E358" s="38" t="s">
        <v>433</v>
      </c>
      <c r="F358" s="29"/>
      <c r="G358" s="38" t="s">
        <v>144</v>
      </c>
      <c r="H358" s="38" t="s">
        <v>454</v>
      </c>
      <c r="I358" s="41" t="s">
        <v>436</v>
      </c>
      <c r="J358" s="38" t="s">
        <v>455</v>
      </c>
      <c r="K358" s="29"/>
      <c r="L358" s="29"/>
      <c r="M358" s="29"/>
      <c r="N358" s="29"/>
      <c r="O358" s="43"/>
      <c r="P358" s="29"/>
      <c r="Q358" s="29"/>
      <c r="R358" s="38" t="e">
        <v>#VALUE!</v>
      </c>
      <c r="S358" s="29"/>
      <c r="T358" s="29"/>
      <c r="U358" s="31"/>
    </row>
    <row r="359">
      <c r="A359" s="31"/>
      <c r="B359" s="32">
        <v>45708.0</v>
      </c>
      <c r="C359" s="33" t="s">
        <v>30</v>
      </c>
      <c r="D359" s="33" t="s">
        <v>44</v>
      </c>
      <c r="E359" s="33" t="s">
        <v>433</v>
      </c>
      <c r="F359" s="35"/>
      <c r="G359" s="33" t="s">
        <v>169</v>
      </c>
      <c r="H359" s="33" t="s">
        <v>456</v>
      </c>
      <c r="I359" s="34" t="s">
        <v>436</v>
      </c>
      <c r="J359" s="35"/>
      <c r="K359" s="35"/>
      <c r="L359" s="35"/>
      <c r="M359" s="35"/>
      <c r="N359" s="35"/>
      <c r="O359" s="42"/>
      <c r="P359" s="35"/>
      <c r="Q359" s="35"/>
      <c r="R359" s="33" t="e">
        <v>#VALUE!</v>
      </c>
      <c r="S359" s="35"/>
      <c r="T359" s="35"/>
      <c r="U359" s="31"/>
    </row>
    <row r="360">
      <c r="A360" s="31"/>
      <c r="B360" s="37">
        <v>45708.0</v>
      </c>
      <c r="C360" s="38" t="s">
        <v>30</v>
      </c>
      <c r="D360" s="38" t="s">
        <v>44</v>
      </c>
      <c r="E360" s="38" t="s">
        <v>433</v>
      </c>
      <c r="F360" s="29"/>
      <c r="G360" s="38" t="s">
        <v>144</v>
      </c>
      <c r="H360" s="38" t="s">
        <v>457</v>
      </c>
      <c r="I360" s="41" t="s">
        <v>78</v>
      </c>
      <c r="J360" s="29"/>
      <c r="K360" s="29"/>
      <c r="L360" s="29"/>
      <c r="M360" s="29"/>
      <c r="N360" s="29"/>
      <c r="O360" s="43"/>
      <c r="P360" s="29"/>
      <c r="Q360" s="29"/>
      <c r="R360" s="38" t="e">
        <v>#VALUE!</v>
      </c>
      <c r="S360" s="29"/>
      <c r="T360" s="29"/>
      <c r="U360" s="31"/>
    </row>
    <row r="361">
      <c r="A361" s="31"/>
      <c r="B361" s="32">
        <v>45708.0</v>
      </c>
      <c r="C361" s="33" t="s">
        <v>30</v>
      </c>
      <c r="D361" s="33" t="s">
        <v>44</v>
      </c>
      <c r="E361" s="33" t="s">
        <v>433</v>
      </c>
      <c r="F361" s="35"/>
      <c r="G361" s="33" t="s">
        <v>144</v>
      </c>
      <c r="H361" s="33" t="s">
        <v>458</v>
      </c>
      <c r="I361" s="34" t="s">
        <v>436</v>
      </c>
      <c r="J361" s="33" t="s">
        <v>332</v>
      </c>
      <c r="K361" s="35"/>
      <c r="L361" s="35"/>
      <c r="M361" s="35"/>
      <c r="N361" s="35"/>
      <c r="O361" s="42"/>
      <c r="P361" s="35"/>
      <c r="Q361" s="35"/>
      <c r="R361" s="33" t="e">
        <v>#VALUE!</v>
      </c>
      <c r="S361" s="35"/>
      <c r="T361" s="35"/>
      <c r="U361" s="31"/>
    </row>
    <row r="362">
      <c r="A362" s="31"/>
      <c r="B362" s="37">
        <v>45708.0</v>
      </c>
      <c r="C362" s="38" t="s">
        <v>30</v>
      </c>
      <c r="D362" s="38" t="s">
        <v>44</v>
      </c>
      <c r="E362" s="38" t="s">
        <v>433</v>
      </c>
      <c r="F362" s="29"/>
      <c r="G362" s="38" t="s">
        <v>144</v>
      </c>
      <c r="H362" s="38" t="s">
        <v>459</v>
      </c>
      <c r="I362" s="41" t="s">
        <v>436</v>
      </c>
      <c r="J362" s="38" t="s">
        <v>460</v>
      </c>
      <c r="K362" s="29"/>
      <c r="L362" s="29"/>
      <c r="M362" s="29"/>
      <c r="N362" s="29"/>
      <c r="O362" s="43"/>
      <c r="P362" s="29"/>
      <c r="Q362" s="29"/>
      <c r="R362" s="38" t="e">
        <v>#VALUE!</v>
      </c>
      <c r="S362" s="29"/>
      <c r="T362" s="29"/>
      <c r="U362" s="31"/>
    </row>
    <row r="363">
      <c r="A363" s="31"/>
      <c r="B363" s="32">
        <v>45708.0</v>
      </c>
      <c r="C363" s="33" t="s">
        <v>30</v>
      </c>
      <c r="D363" s="33" t="s">
        <v>44</v>
      </c>
      <c r="E363" s="33" t="s">
        <v>433</v>
      </c>
      <c r="F363" s="35"/>
      <c r="G363" s="33" t="s">
        <v>144</v>
      </c>
      <c r="H363" s="33" t="s">
        <v>461</v>
      </c>
      <c r="I363" s="34" t="s">
        <v>436</v>
      </c>
      <c r="J363" s="33" t="s">
        <v>462</v>
      </c>
      <c r="K363" s="35"/>
      <c r="L363" s="35"/>
      <c r="M363" s="35"/>
      <c r="N363" s="35"/>
      <c r="O363" s="42"/>
      <c r="P363" s="35"/>
      <c r="Q363" s="35"/>
      <c r="R363" s="33" t="e">
        <v>#VALUE!</v>
      </c>
      <c r="S363" s="35"/>
      <c r="T363" s="35"/>
      <c r="U363" s="31"/>
    </row>
    <row r="364">
      <c r="A364" s="31"/>
      <c r="B364" s="37">
        <v>45708.0</v>
      </c>
      <c r="C364" s="38" t="s">
        <v>30</v>
      </c>
      <c r="D364" s="38" t="s">
        <v>44</v>
      </c>
      <c r="E364" s="38" t="s">
        <v>433</v>
      </c>
      <c r="F364" s="29"/>
      <c r="G364" s="38" t="s">
        <v>144</v>
      </c>
      <c r="H364" s="38" t="s">
        <v>463</v>
      </c>
      <c r="I364" s="41" t="s">
        <v>78</v>
      </c>
      <c r="J364" s="29"/>
      <c r="K364" s="29"/>
      <c r="L364" s="29"/>
      <c r="M364" s="29"/>
      <c r="N364" s="29"/>
      <c r="O364" s="43"/>
      <c r="P364" s="29"/>
      <c r="Q364" s="29"/>
      <c r="R364" s="38" t="e">
        <v>#VALUE!</v>
      </c>
      <c r="S364" s="29"/>
      <c r="T364" s="29"/>
      <c r="U364" s="31"/>
    </row>
    <row r="365">
      <c r="A365" s="31"/>
      <c r="B365" s="32">
        <v>45708.0</v>
      </c>
      <c r="C365" s="33" t="s">
        <v>30</v>
      </c>
      <c r="D365" s="33" t="s">
        <v>44</v>
      </c>
      <c r="E365" s="33" t="s">
        <v>433</v>
      </c>
      <c r="F365" s="35"/>
      <c r="G365" s="33" t="s">
        <v>144</v>
      </c>
      <c r="H365" s="33" t="s">
        <v>464</v>
      </c>
      <c r="I365" s="34" t="s">
        <v>436</v>
      </c>
      <c r="J365" s="33" t="s">
        <v>465</v>
      </c>
      <c r="K365" s="35"/>
      <c r="L365" s="35"/>
      <c r="M365" s="35"/>
      <c r="N365" s="35"/>
      <c r="O365" s="42"/>
      <c r="P365" s="35"/>
      <c r="Q365" s="35"/>
      <c r="R365" s="33" t="e">
        <v>#VALUE!</v>
      </c>
      <c r="S365" s="35"/>
      <c r="T365" s="35"/>
      <c r="U365" s="31"/>
    </row>
    <row r="366">
      <c r="A366" s="31"/>
      <c r="B366" s="37">
        <v>45708.0</v>
      </c>
      <c r="C366" s="38" t="s">
        <v>30</v>
      </c>
      <c r="D366" s="38" t="s">
        <v>44</v>
      </c>
      <c r="E366" s="38" t="s">
        <v>433</v>
      </c>
      <c r="F366" s="29"/>
      <c r="G366" s="38" t="s">
        <v>169</v>
      </c>
      <c r="H366" s="38" t="s">
        <v>466</v>
      </c>
      <c r="I366" s="41" t="s">
        <v>78</v>
      </c>
      <c r="J366" s="29"/>
      <c r="K366" s="29"/>
      <c r="L366" s="29"/>
      <c r="M366" s="29"/>
      <c r="N366" s="29"/>
      <c r="O366" s="43"/>
      <c r="P366" s="29"/>
      <c r="Q366" s="29"/>
      <c r="R366" s="38" t="e">
        <v>#VALUE!</v>
      </c>
      <c r="S366" s="29"/>
      <c r="T366" s="29"/>
      <c r="U366" s="31"/>
    </row>
    <row r="367">
      <c r="A367" s="31"/>
      <c r="B367" s="32">
        <v>45708.0</v>
      </c>
      <c r="C367" s="33" t="s">
        <v>30</v>
      </c>
      <c r="D367" s="33" t="s">
        <v>44</v>
      </c>
      <c r="E367" s="33" t="s">
        <v>433</v>
      </c>
      <c r="F367" s="35"/>
      <c r="G367" s="33" t="s">
        <v>169</v>
      </c>
      <c r="H367" s="33" t="s">
        <v>467</v>
      </c>
      <c r="I367" s="34" t="s">
        <v>78</v>
      </c>
      <c r="J367" s="35"/>
      <c r="K367" s="35"/>
      <c r="L367" s="35"/>
      <c r="M367" s="35"/>
      <c r="N367" s="35"/>
      <c r="O367" s="42"/>
      <c r="P367" s="35"/>
      <c r="Q367" s="35"/>
      <c r="R367" s="33" t="e">
        <v>#VALUE!</v>
      </c>
      <c r="S367" s="35"/>
      <c r="T367" s="35"/>
      <c r="U367" s="31"/>
    </row>
    <row r="368">
      <c r="A368" s="31"/>
      <c r="B368" s="37">
        <v>45708.0</v>
      </c>
      <c r="C368" s="38" t="s">
        <v>30</v>
      </c>
      <c r="D368" s="38" t="s">
        <v>44</v>
      </c>
      <c r="E368" s="38" t="s">
        <v>433</v>
      </c>
      <c r="F368" s="29"/>
      <c r="G368" s="38" t="s">
        <v>169</v>
      </c>
      <c r="H368" s="38" t="s">
        <v>468</v>
      </c>
      <c r="I368" s="41" t="s">
        <v>78</v>
      </c>
      <c r="J368" s="29"/>
      <c r="K368" s="29"/>
      <c r="L368" s="29"/>
      <c r="M368" s="29"/>
      <c r="N368" s="29"/>
      <c r="O368" s="43"/>
      <c r="P368" s="29"/>
      <c r="Q368" s="29"/>
      <c r="R368" s="38" t="e">
        <v>#VALUE!</v>
      </c>
      <c r="S368" s="29"/>
      <c r="T368" s="29"/>
      <c r="U368" s="31"/>
    </row>
    <row r="369">
      <c r="A369" s="31"/>
      <c r="B369" s="32">
        <v>45708.0</v>
      </c>
      <c r="C369" s="33" t="s">
        <v>30</v>
      </c>
      <c r="D369" s="33" t="s">
        <v>44</v>
      </c>
      <c r="E369" s="33" t="s">
        <v>433</v>
      </c>
      <c r="F369" s="35"/>
      <c r="G369" s="33" t="s">
        <v>169</v>
      </c>
      <c r="H369" s="33" t="s">
        <v>469</v>
      </c>
      <c r="I369" s="34" t="s">
        <v>436</v>
      </c>
      <c r="J369" s="35"/>
      <c r="K369" s="35"/>
      <c r="L369" s="35"/>
      <c r="M369" s="35"/>
      <c r="N369" s="35"/>
      <c r="O369" s="42"/>
      <c r="P369" s="35"/>
      <c r="Q369" s="35"/>
      <c r="R369" s="33" t="e">
        <v>#VALUE!</v>
      </c>
      <c r="S369" s="35"/>
      <c r="T369" s="35"/>
      <c r="U369" s="31"/>
    </row>
    <row r="370">
      <c r="A370" s="31"/>
      <c r="B370" s="37">
        <v>45708.0</v>
      </c>
      <c r="C370" s="38" t="s">
        <v>30</v>
      </c>
      <c r="D370" s="38" t="s">
        <v>44</v>
      </c>
      <c r="E370" s="38" t="s">
        <v>433</v>
      </c>
      <c r="F370" s="29"/>
      <c r="G370" s="38" t="s">
        <v>169</v>
      </c>
      <c r="H370" s="38" t="s">
        <v>470</v>
      </c>
      <c r="I370" s="41" t="s">
        <v>78</v>
      </c>
      <c r="J370" s="29"/>
      <c r="K370" s="29"/>
      <c r="L370" s="29"/>
      <c r="M370" s="29"/>
      <c r="N370" s="29"/>
      <c r="O370" s="43"/>
      <c r="P370" s="29"/>
      <c r="Q370" s="29"/>
      <c r="R370" s="38" t="e">
        <v>#VALUE!</v>
      </c>
      <c r="S370" s="29"/>
      <c r="T370" s="29"/>
      <c r="U370" s="31"/>
    </row>
    <row r="371">
      <c r="A371" s="31"/>
      <c r="B371" s="32">
        <v>45708.0</v>
      </c>
      <c r="C371" s="33" t="s">
        <v>30</v>
      </c>
      <c r="D371" s="33" t="s">
        <v>44</v>
      </c>
      <c r="E371" s="33" t="s">
        <v>433</v>
      </c>
      <c r="F371" s="35"/>
      <c r="G371" s="33" t="s">
        <v>169</v>
      </c>
      <c r="H371" s="33" t="s">
        <v>471</v>
      </c>
      <c r="I371" s="34" t="s">
        <v>436</v>
      </c>
      <c r="J371" s="33" t="s">
        <v>472</v>
      </c>
      <c r="K371" s="35"/>
      <c r="L371" s="35"/>
      <c r="M371" s="35"/>
      <c r="N371" s="35"/>
      <c r="O371" s="42"/>
      <c r="P371" s="35"/>
      <c r="Q371" s="35"/>
      <c r="R371" s="33" t="e">
        <v>#VALUE!</v>
      </c>
      <c r="S371" s="35"/>
      <c r="T371" s="35"/>
      <c r="U371" s="31"/>
    </row>
    <row r="372">
      <c r="A372" s="31"/>
      <c r="B372" s="37">
        <v>45708.0</v>
      </c>
      <c r="C372" s="38" t="s">
        <v>30</v>
      </c>
      <c r="D372" s="38" t="s">
        <v>44</v>
      </c>
      <c r="E372" s="38" t="s">
        <v>433</v>
      </c>
      <c r="F372" s="29"/>
      <c r="G372" s="38" t="s">
        <v>169</v>
      </c>
      <c r="H372" s="38" t="s">
        <v>473</v>
      </c>
      <c r="I372" s="41" t="s">
        <v>78</v>
      </c>
      <c r="J372" s="29"/>
      <c r="K372" s="29"/>
      <c r="L372" s="29"/>
      <c r="M372" s="29"/>
      <c r="N372" s="29"/>
      <c r="O372" s="43"/>
      <c r="P372" s="29"/>
      <c r="Q372" s="29"/>
      <c r="R372" s="38" t="e">
        <v>#VALUE!</v>
      </c>
      <c r="S372" s="29"/>
      <c r="T372" s="29"/>
      <c r="U372" s="31"/>
    </row>
    <row r="373">
      <c r="A373" s="31"/>
      <c r="B373" s="32">
        <v>45708.0</v>
      </c>
      <c r="C373" s="33" t="s">
        <v>30</v>
      </c>
      <c r="D373" s="33" t="s">
        <v>44</v>
      </c>
      <c r="E373" s="33" t="s">
        <v>433</v>
      </c>
      <c r="F373" s="35"/>
      <c r="G373" s="33" t="s">
        <v>169</v>
      </c>
      <c r="H373" s="33" t="s">
        <v>474</v>
      </c>
      <c r="I373" s="34" t="s">
        <v>436</v>
      </c>
      <c r="J373" s="33" t="s">
        <v>475</v>
      </c>
      <c r="K373" s="35"/>
      <c r="L373" s="35"/>
      <c r="M373" s="35"/>
      <c r="N373" s="35"/>
      <c r="O373" s="42"/>
      <c r="P373" s="35"/>
      <c r="Q373" s="35"/>
      <c r="R373" s="33" t="e">
        <v>#VALUE!</v>
      </c>
      <c r="S373" s="35"/>
      <c r="T373" s="35"/>
      <c r="U373" s="31"/>
    </row>
    <row r="374">
      <c r="A374" s="31"/>
      <c r="B374" s="37">
        <v>45708.0</v>
      </c>
      <c r="C374" s="38" t="s">
        <v>30</v>
      </c>
      <c r="D374" s="38" t="s">
        <v>44</v>
      </c>
      <c r="E374" s="38" t="s">
        <v>433</v>
      </c>
      <c r="F374" s="29"/>
      <c r="G374" s="38" t="s">
        <v>169</v>
      </c>
      <c r="H374" s="38" t="s">
        <v>476</v>
      </c>
      <c r="I374" s="41" t="s">
        <v>78</v>
      </c>
      <c r="J374" s="29"/>
      <c r="K374" s="29"/>
      <c r="L374" s="29"/>
      <c r="M374" s="29"/>
      <c r="N374" s="29"/>
      <c r="O374" s="43"/>
      <c r="P374" s="29"/>
      <c r="Q374" s="29"/>
      <c r="R374" s="38" t="e">
        <v>#VALUE!</v>
      </c>
      <c r="S374" s="29"/>
      <c r="T374" s="29"/>
      <c r="U374" s="31"/>
    </row>
    <row r="375">
      <c r="A375" s="31"/>
      <c r="B375" s="32">
        <v>45708.0</v>
      </c>
      <c r="C375" s="33" t="s">
        <v>30</v>
      </c>
      <c r="D375" s="33" t="s">
        <v>44</v>
      </c>
      <c r="E375" s="33" t="s">
        <v>433</v>
      </c>
      <c r="F375" s="35"/>
      <c r="G375" s="33" t="s">
        <v>169</v>
      </c>
      <c r="H375" s="33" t="s">
        <v>477</v>
      </c>
      <c r="I375" s="34" t="s">
        <v>78</v>
      </c>
      <c r="J375" s="35"/>
      <c r="K375" s="35"/>
      <c r="L375" s="35"/>
      <c r="M375" s="35"/>
      <c r="N375" s="35"/>
      <c r="O375" s="42"/>
      <c r="P375" s="35"/>
      <c r="Q375" s="35"/>
      <c r="R375" s="33" t="e">
        <v>#VALUE!</v>
      </c>
      <c r="S375" s="35"/>
      <c r="T375" s="35"/>
      <c r="U375" s="31"/>
    </row>
    <row r="376">
      <c r="A376" s="31"/>
      <c r="B376" s="37">
        <v>45708.0</v>
      </c>
      <c r="C376" s="38" t="s">
        <v>30</v>
      </c>
      <c r="D376" s="38" t="s">
        <v>44</v>
      </c>
      <c r="E376" s="38" t="s">
        <v>433</v>
      </c>
      <c r="F376" s="29"/>
      <c r="G376" s="38" t="s">
        <v>169</v>
      </c>
      <c r="H376" s="38" t="s">
        <v>478</v>
      </c>
      <c r="I376" s="41" t="s">
        <v>78</v>
      </c>
      <c r="J376" s="38" t="s">
        <v>479</v>
      </c>
      <c r="K376" s="29"/>
      <c r="L376" s="29"/>
      <c r="M376" s="29"/>
      <c r="N376" s="29"/>
      <c r="O376" s="43"/>
      <c r="P376" s="29"/>
      <c r="Q376" s="29"/>
      <c r="R376" s="38" t="e">
        <v>#VALUE!</v>
      </c>
      <c r="S376" s="29"/>
      <c r="T376" s="29"/>
      <c r="U376" s="31"/>
    </row>
    <row r="377">
      <c r="A377" s="31"/>
      <c r="B377" s="32">
        <v>45708.0</v>
      </c>
      <c r="C377" s="33" t="s">
        <v>30</v>
      </c>
      <c r="D377" s="33" t="s">
        <v>44</v>
      </c>
      <c r="E377" s="33" t="s">
        <v>433</v>
      </c>
      <c r="F377" s="35"/>
      <c r="G377" s="33" t="s">
        <v>169</v>
      </c>
      <c r="H377" s="33" t="s">
        <v>480</v>
      </c>
      <c r="I377" s="34" t="s">
        <v>78</v>
      </c>
      <c r="J377" s="33" t="s">
        <v>481</v>
      </c>
      <c r="K377" s="35"/>
      <c r="L377" s="35"/>
      <c r="M377" s="35"/>
      <c r="N377" s="35"/>
      <c r="O377" s="42"/>
      <c r="P377" s="35"/>
      <c r="Q377" s="35"/>
      <c r="R377" s="33" t="e">
        <v>#VALUE!</v>
      </c>
      <c r="S377" s="35"/>
      <c r="T377" s="35"/>
      <c r="U377" s="31"/>
    </row>
    <row r="378">
      <c r="A378" s="31"/>
      <c r="B378" s="37">
        <v>45708.0</v>
      </c>
      <c r="C378" s="38" t="s">
        <v>30</v>
      </c>
      <c r="D378" s="38" t="s">
        <v>44</v>
      </c>
      <c r="E378" s="38" t="s">
        <v>433</v>
      </c>
      <c r="F378" s="29"/>
      <c r="G378" s="38" t="s">
        <v>169</v>
      </c>
      <c r="H378" s="38" t="s">
        <v>482</v>
      </c>
      <c r="I378" s="41" t="s">
        <v>78</v>
      </c>
      <c r="J378" s="29"/>
      <c r="K378" s="29"/>
      <c r="L378" s="29"/>
      <c r="M378" s="29"/>
      <c r="N378" s="29"/>
      <c r="O378" s="43"/>
      <c r="P378" s="29"/>
      <c r="Q378" s="29"/>
      <c r="R378" s="38" t="e">
        <v>#VALUE!</v>
      </c>
      <c r="S378" s="29"/>
      <c r="T378" s="29"/>
      <c r="U378" s="31"/>
    </row>
    <row r="379">
      <c r="A379" s="31"/>
      <c r="B379" s="32">
        <v>45708.0</v>
      </c>
      <c r="C379" s="33" t="s">
        <v>30</v>
      </c>
      <c r="D379" s="33" t="s">
        <v>44</v>
      </c>
      <c r="E379" s="33" t="s">
        <v>433</v>
      </c>
      <c r="F379" s="35"/>
      <c r="G379" s="33" t="s">
        <v>169</v>
      </c>
      <c r="H379" s="33" t="s">
        <v>483</v>
      </c>
      <c r="I379" s="34" t="s">
        <v>78</v>
      </c>
      <c r="J379" s="35"/>
      <c r="K379" s="35"/>
      <c r="L379" s="35"/>
      <c r="M379" s="35"/>
      <c r="N379" s="35"/>
      <c r="O379" s="42"/>
      <c r="P379" s="35"/>
      <c r="Q379" s="35"/>
      <c r="R379" s="33" t="e">
        <v>#VALUE!</v>
      </c>
      <c r="S379" s="35"/>
      <c r="T379" s="35"/>
      <c r="U379" s="31"/>
    </row>
    <row r="380">
      <c r="A380" s="31"/>
      <c r="B380" s="37">
        <v>45708.0</v>
      </c>
      <c r="C380" s="38" t="s">
        <v>30</v>
      </c>
      <c r="D380" s="38" t="s">
        <v>44</v>
      </c>
      <c r="E380" s="38" t="s">
        <v>433</v>
      </c>
      <c r="F380" s="29"/>
      <c r="G380" s="38" t="s">
        <v>169</v>
      </c>
      <c r="H380" s="38" t="s">
        <v>484</v>
      </c>
      <c r="I380" s="41" t="s">
        <v>78</v>
      </c>
      <c r="J380" s="29"/>
      <c r="K380" s="29"/>
      <c r="L380" s="29"/>
      <c r="M380" s="29"/>
      <c r="N380" s="29"/>
      <c r="O380" s="43"/>
      <c r="P380" s="29"/>
      <c r="Q380" s="29"/>
      <c r="R380" s="38" t="e">
        <v>#VALUE!</v>
      </c>
      <c r="S380" s="29"/>
      <c r="T380" s="29"/>
      <c r="U380" s="31"/>
    </row>
    <row r="381">
      <c r="A381" s="31"/>
      <c r="B381" s="32">
        <v>45708.0</v>
      </c>
      <c r="C381" s="33" t="s">
        <v>30</v>
      </c>
      <c r="D381" s="33" t="s">
        <v>44</v>
      </c>
      <c r="E381" s="33" t="s">
        <v>433</v>
      </c>
      <c r="F381" s="35"/>
      <c r="G381" s="33" t="s">
        <v>169</v>
      </c>
      <c r="H381" s="33" t="s">
        <v>485</v>
      </c>
      <c r="I381" s="34" t="s">
        <v>436</v>
      </c>
      <c r="J381" s="33" t="s">
        <v>385</v>
      </c>
      <c r="K381" s="35"/>
      <c r="L381" s="35"/>
      <c r="M381" s="35"/>
      <c r="N381" s="35"/>
      <c r="O381" s="42"/>
      <c r="P381" s="35"/>
      <c r="Q381" s="35"/>
      <c r="R381" s="33" t="e">
        <v>#VALUE!</v>
      </c>
      <c r="S381" s="35"/>
      <c r="T381" s="35"/>
      <c r="U381" s="31"/>
    </row>
    <row r="382">
      <c r="A382" s="31"/>
      <c r="B382" s="37">
        <v>45708.0</v>
      </c>
      <c r="C382" s="38" t="s">
        <v>30</v>
      </c>
      <c r="D382" s="38" t="s">
        <v>44</v>
      </c>
      <c r="E382" s="38" t="s">
        <v>433</v>
      </c>
      <c r="F382" s="29"/>
      <c r="G382" s="38" t="s">
        <v>169</v>
      </c>
      <c r="H382" s="38" t="s">
        <v>486</v>
      </c>
      <c r="I382" s="41" t="s">
        <v>78</v>
      </c>
      <c r="J382" s="29"/>
      <c r="K382" s="29"/>
      <c r="L382" s="29"/>
      <c r="M382" s="29"/>
      <c r="N382" s="29"/>
      <c r="O382" s="43"/>
      <c r="P382" s="29"/>
      <c r="Q382" s="29"/>
      <c r="R382" s="38" t="e">
        <v>#VALUE!</v>
      </c>
      <c r="S382" s="29"/>
      <c r="T382" s="29"/>
      <c r="U382" s="31"/>
    </row>
    <row r="383">
      <c r="A383" s="31"/>
      <c r="B383" s="32">
        <v>45708.0</v>
      </c>
      <c r="C383" s="33" t="s">
        <v>30</v>
      </c>
      <c r="D383" s="33" t="s">
        <v>44</v>
      </c>
      <c r="E383" s="33" t="s">
        <v>433</v>
      </c>
      <c r="F383" s="35"/>
      <c r="G383" s="33" t="s">
        <v>169</v>
      </c>
      <c r="H383" s="33" t="s">
        <v>487</v>
      </c>
      <c r="I383" s="34" t="s">
        <v>78</v>
      </c>
      <c r="J383" s="35"/>
      <c r="K383" s="35"/>
      <c r="L383" s="35"/>
      <c r="M383" s="35"/>
      <c r="N383" s="35"/>
      <c r="O383" s="42"/>
      <c r="P383" s="35"/>
      <c r="Q383" s="35"/>
      <c r="R383" s="33" t="e">
        <v>#VALUE!</v>
      </c>
      <c r="S383" s="35"/>
      <c r="T383" s="35"/>
      <c r="U383" s="31"/>
    </row>
    <row r="384">
      <c r="A384" s="31"/>
      <c r="B384" s="37">
        <v>45708.0</v>
      </c>
      <c r="C384" s="38" t="s">
        <v>30</v>
      </c>
      <c r="D384" s="38" t="s">
        <v>44</v>
      </c>
      <c r="E384" s="38" t="s">
        <v>433</v>
      </c>
      <c r="F384" s="29"/>
      <c r="G384" s="38" t="s">
        <v>169</v>
      </c>
      <c r="H384" s="38" t="s">
        <v>488</v>
      </c>
      <c r="I384" s="41" t="s">
        <v>78</v>
      </c>
      <c r="J384" s="29"/>
      <c r="K384" s="29"/>
      <c r="L384" s="29"/>
      <c r="M384" s="29"/>
      <c r="N384" s="29"/>
      <c r="O384" s="43"/>
      <c r="P384" s="29"/>
      <c r="Q384" s="29"/>
      <c r="R384" s="38" t="e">
        <v>#VALUE!</v>
      </c>
      <c r="S384" s="29"/>
      <c r="T384" s="29"/>
      <c r="U384" s="31"/>
    </row>
    <row r="385">
      <c r="A385" s="31"/>
      <c r="B385" s="32">
        <v>45708.0</v>
      </c>
      <c r="C385" s="33" t="s">
        <v>30</v>
      </c>
      <c r="D385" s="33" t="s">
        <v>42</v>
      </c>
      <c r="E385" s="33" t="s">
        <v>155</v>
      </c>
      <c r="F385" s="35"/>
      <c r="G385" s="33" t="s">
        <v>136</v>
      </c>
      <c r="H385" s="33">
        <v>3.53192340064706E14</v>
      </c>
      <c r="I385" s="34" t="s">
        <v>86</v>
      </c>
      <c r="J385" s="33" t="s">
        <v>489</v>
      </c>
      <c r="K385" s="35"/>
      <c r="L385" s="35"/>
      <c r="M385" s="35"/>
      <c r="N385" s="35"/>
      <c r="O385" s="42"/>
      <c r="P385" s="35"/>
      <c r="Q385" s="35"/>
      <c r="R385" s="33" t="e">
        <v>#VALUE!</v>
      </c>
      <c r="S385" s="35"/>
      <c r="T385" s="35"/>
      <c r="U385" s="31"/>
    </row>
    <row r="386">
      <c r="A386" s="31"/>
      <c r="B386" s="37">
        <v>45708.0</v>
      </c>
      <c r="C386" s="38" t="s">
        <v>30</v>
      </c>
      <c r="D386" s="38" t="s">
        <v>42</v>
      </c>
      <c r="E386" s="38" t="s">
        <v>155</v>
      </c>
      <c r="F386" s="29"/>
      <c r="G386" s="38" t="s">
        <v>136</v>
      </c>
      <c r="H386" s="38" t="s">
        <v>490</v>
      </c>
      <c r="I386" s="41" t="s">
        <v>78</v>
      </c>
      <c r="J386" s="29"/>
      <c r="K386" s="29"/>
      <c r="L386" s="29"/>
      <c r="M386" s="29"/>
      <c r="N386" s="29"/>
      <c r="O386" s="43"/>
      <c r="P386" s="29"/>
      <c r="Q386" s="29"/>
      <c r="R386" s="38" t="e">
        <v>#VALUE!</v>
      </c>
      <c r="S386" s="29"/>
      <c r="T386" s="29"/>
      <c r="U386" s="31"/>
    </row>
    <row r="387">
      <c r="A387" s="31"/>
      <c r="B387" s="32">
        <v>45708.0</v>
      </c>
      <c r="C387" s="33" t="s">
        <v>30</v>
      </c>
      <c r="D387" s="33" t="s">
        <v>42</v>
      </c>
      <c r="E387" s="33" t="s">
        <v>196</v>
      </c>
      <c r="F387" s="35"/>
      <c r="G387" s="33" t="s">
        <v>136</v>
      </c>
      <c r="H387" s="33" t="s">
        <v>491</v>
      </c>
      <c r="I387" s="34" t="s">
        <v>86</v>
      </c>
      <c r="J387" s="33" t="s">
        <v>492</v>
      </c>
      <c r="K387" s="35"/>
      <c r="L387" s="35"/>
      <c r="M387" s="35"/>
      <c r="N387" s="35"/>
      <c r="O387" s="42"/>
      <c r="P387" s="35"/>
      <c r="Q387" s="35"/>
      <c r="R387" s="33" t="e">
        <v>#VALUE!</v>
      </c>
      <c r="S387" s="35"/>
      <c r="T387" s="35"/>
      <c r="U387" s="31"/>
    </row>
    <row r="388">
      <c r="A388" s="31"/>
      <c r="B388" s="37">
        <v>45713.0</v>
      </c>
      <c r="C388" s="38" t="s">
        <v>30</v>
      </c>
      <c r="D388" s="38" t="s">
        <v>493</v>
      </c>
      <c r="E388" s="38" t="s">
        <v>494</v>
      </c>
      <c r="F388" s="29"/>
      <c r="G388" s="38" t="s">
        <v>169</v>
      </c>
      <c r="H388" s="38" t="s">
        <v>495</v>
      </c>
      <c r="I388" s="41" t="s">
        <v>78</v>
      </c>
      <c r="J388" s="29"/>
      <c r="K388" s="38" t="s">
        <v>79</v>
      </c>
      <c r="L388" s="29"/>
      <c r="M388" s="29"/>
      <c r="N388" s="29"/>
      <c r="O388" s="43"/>
      <c r="P388" s="29"/>
      <c r="Q388" s="29"/>
      <c r="R388" s="38" t="e">
        <v>#VALUE!</v>
      </c>
      <c r="S388" s="29"/>
      <c r="T388" s="29"/>
      <c r="U388" s="31"/>
    </row>
    <row r="389">
      <c r="A389" s="31"/>
      <c r="B389" s="32">
        <v>45713.0</v>
      </c>
      <c r="C389" s="33" t="s">
        <v>30</v>
      </c>
      <c r="D389" s="33" t="s">
        <v>493</v>
      </c>
      <c r="E389" s="33" t="s">
        <v>496</v>
      </c>
      <c r="F389" s="35"/>
      <c r="G389" s="33" t="s">
        <v>111</v>
      </c>
      <c r="H389" s="48" t="s">
        <v>497</v>
      </c>
      <c r="I389" s="34" t="s">
        <v>78</v>
      </c>
      <c r="J389" s="35"/>
      <c r="K389" s="33" t="s">
        <v>79</v>
      </c>
      <c r="L389" s="35"/>
      <c r="M389" s="35"/>
      <c r="N389" s="35"/>
      <c r="O389" s="42"/>
      <c r="P389" s="35"/>
      <c r="Q389" s="35"/>
      <c r="R389" s="33" t="e">
        <v>#VALUE!</v>
      </c>
      <c r="S389" s="35"/>
      <c r="T389" s="35"/>
      <c r="U389" s="31"/>
    </row>
    <row r="390">
      <c r="A390" s="31"/>
      <c r="B390" s="37">
        <v>45713.0</v>
      </c>
      <c r="C390" s="38" t="s">
        <v>30</v>
      </c>
      <c r="D390" s="38" t="s">
        <v>493</v>
      </c>
      <c r="E390" s="38" t="s">
        <v>496</v>
      </c>
      <c r="F390" s="29"/>
      <c r="G390" s="38" t="s">
        <v>136</v>
      </c>
      <c r="H390" s="48" t="s">
        <v>498</v>
      </c>
      <c r="I390" s="41" t="s">
        <v>78</v>
      </c>
      <c r="J390" s="29"/>
      <c r="K390" s="38" t="s">
        <v>79</v>
      </c>
      <c r="L390" s="29"/>
      <c r="M390" s="29"/>
      <c r="N390" s="29"/>
      <c r="O390" s="43"/>
      <c r="P390" s="29"/>
      <c r="Q390" s="29"/>
      <c r="R390" s="38" t="e">
        <v>#VALUE!</v>
      </c>
      <c r="S390" s="29"/>
      <c r="T390" s="29"/>
      <c r="U390" s="31"/>
    </row>
    <row r="391">
      <c r="A391" s="31"/>
      <c r="B391" s="32">
        <v>45713.0</v>
      </c>
      <c r="C391" s="33" t="s">
        <v>30</v>
      </c>
      <c r="D391" s="33" t="s">
        <v>493</v>
      </c>
      <c r="E391" s="33" t="s">
        <v>499</v>
      </c>
      <c r="F391" s="35"/>
      <c r="G391" s="33" t="s">
        <v>500</v>
      </c>
      <c r="H391" s="33" t="s">
        <v>501</v>
      </c>
      <c r="I391" s="34" t="s">
        <v>78</v>
      </c>
      <c r="J391" s="35"/>
      <c r="K391" s="33" t="s">
        <v>79</v>
      </c>
      <c r="L391" s="35"/>
      <c r="M391" s="35"/>
      <c r="N391" s="35"/>
      <c r="O391" s="42"/>
      <c r="P391" s="35"/>
      <c r="Q391" s="35"/>
      <c r="R391" s="33" t="e">
        <v>#VALUE!</v>
      </c>
      <c r="S391" s="35"/>
      <c r="T391" s="35"/>
      <c r="U391" s="31"/>
    </row>
    <row r="392">
      <c r="A392" s="31"/>
      <c r="B392" s="37">
        <v>45713.0</v>
      </c>
      <c r="C392" s="38" t="s">
        <v>30</v>
      </c>
      <c r="D392" s="38" t="s">
        <v>493</v>
      </c>
      <c r="E392" s="38" t="s">
        <v>502</v>
      </c>
      <c r="F392" s="29"/>
      <c r="G392" s="38" t="s">
        <v>500</v>
      </c>
      <c r="H392" s="38" t="s">
        <v>503</v>
      </c>
      <c r="I392" s="41" t="s">
        <v>78</v>
      </c>
      <c r="J392" s="29"/>
      <c r="K392" s="38" t="s">
        <v>79</v>
      </c>
      <c r="L392" s="29"/>
      <c r="M392" s="29"/>
      <c r="N392" s="29"/>
      <c r="O392" s="43"/>
      <c r="P392" s="29"/>
      <c r="Q392" s="29"/>
      <c r="R392" s="38" t="e">
        <v>#VALUE!</v>
      </c>
      <c r="S392" s="29"/>
      <c r="T392" s="29"/>
      <c r="U392" s="31"/>
    </row>
    <row r="393">
      <c r="A393" s="31"/>
      <c r="B393" s="32">
        <v>45713.0</v>
      </c>
      <c r="C393" s="33" t="s">
        <v>30</v>
      </c>
      <c r="D393" s="33" t="s">
        <v>493</v>
      </c>
      <c r="E393" s="33" t="s">
        <v>496</v>
      </c>
      <c r="F393" s="35"/>
      <c r="G393" s="33" t="s">
        <v>169</v>
      </c>
      <c r="H393" s="33" t="s">
        <v>504</v>
      </c>
      <c r="I393" s="34" t="s">
        <v>78</v>
      </c>
      <c r="J393" s="35"/>
      <c r="K393" s="33" t="s">
        <v>79</v>
      </c>
      <c r="L393" s="35"/>
      <c r="M393" s="35"/>
      <c r="N393" s="35"/>
      <c r="O393" s="42"/>
      <c r="P393" s="35"/>
      <c r="Q393" s="35"/>
      <c r="R393" s="33" t="e">
        <v>#VALUE!</v>
      </c>
      <c r="S393" s="35"/>
      <c r="T393" s="35"/>
      <c r="U393" s="31"/>
    </row>
    <row r="394">
      <c r="A394" s="31"/>
      <c r="B394" s="37">
        <v>45713.0</v>
      </c>
      <c r="C394" s="38" t="s">
        <v>30</v>
      </c>
      <c r="D394" s="38" t="s">
        <v>493</v>
      </c>
      <c r="E394" s="38" t="s">
        <v>505</v>
      </c>
      <c r="F394" s="29"/>
      <c r="G394" s="38" t="s">
        <v>169</v>
      </c>
      <c r="H394" s="38" t="s">
        <v>506</v>
      </c>
      <c r="I394" s="41" t="s">
        <v>78</v>
      </c>
      <c r="J394" s="29"/>
      <c r="K394" s="38" t="s">
        <v>79</v>
      </c>
      <c r="L394" s="29"/>
      <c r="M394" s="29"/>
      <c r="N394" s="29"/>
      <c r="O394" s="43"/>
      <c r="P394" s="29"/>
      <c r="Q394" s="29"/>
      <c r="R394" s="38" t="e">
        <v>#VALUE!</v>
      </c>
      <c r="S394" s="29"/>
      <c r="T394" s="29"/>
      <c r="U394" s="31"/>
    </row>
    <row r="395">
      <c r="A395" s="31"/>
      <c r="B395" s="32">
        <v>45713.0</v>
      </c>
      <c r="C395" s="33" t="s">
        <v>30</v>
      </c>
      <c r="D395" s="33" t="s">
        <v>493</v>
      </c>
      <c r="E395" s="33" t="s">
        <v>204</v>
      </c>
      <c r="F395" s="35"/>
      <c r="G395" s="33" t="s">
        <v>176</v>
      </c>
      <c r="H395" s="33" t="s">
        <v>507</v>
      </c>
      <c r="I395" s="34" t="s">
        <v>78</v>
      </c>
      <c r="J395" s="35"/>
      <c r="K395" s="33" t="s">
        <v>79</v>
      </c>
      <c r="L395" s="35"/>
      <c r="M395" s="35"/>
      <c r="N395" s="35"/>
      <c r="O395" s="42"/>
      <c r="P395" s="35"/>
      <c r="Q395" s="35"/>
      <c r="R395" s="33" t="e">
        <v>#VALUE!</v>
      </c>
      <c r="S395" s="35"/>
      <c r="T395" s="35"/>
      <c r="U395" s="31"/>
    </row>
    <row r="396">
      <c r="A396" s="31"/>
      <c r="B396" s="37">
        <v>45713.0</v>
      </c>
      <c r="C396" s="38" t="s">
        <v>30</v>
      </c>
      <c r="D396" s="38" t="s">
        <v>493</v>
      </c>
      <c r="E396" s="38" t="s">
        <v>499</v>
      </c>
      <c r="F396" s="29"/>
      <c r="G396" s="29"/>
      <c r="H396" s="38" t="s">
        <v>508</v>
      </c>
      <c r="I396" s="41" t="s">
        <v>78</v>
      </c>
      <c r="J396" s="29"/>
      <c r="K396" s="38" t="s">
        <v>79</v>
      </c>
      <c r="L396" s="29"/>
      <c r="M396" s="29"/>
      <c r="N396" s="29"/>
      <c r="O396" s="43"/>
      <c r="P396" s="29"/>
      <c r="Q396" s="29"/>
      <c r="R396" s="38" t="e">
        <v>#VALUE!</v>
      </c>
      <c r="S396" s="29"/>
      <c r="T396" s="29"/>
      <c r="U396" s="31"/>
    </row>
    <row r="397">
      <c r="A397" s="31"/>
      <c r="B397" s="32">
        <v>45713.0</v>
      </c>
      <c r="C397" s="33" t="s">
        <v>30</v>
      </c>
      <c r="D397" s="33" t="s">
        <v>493</v>
      </c>
      <c r="E397" s="33" t="s">
        <v>509</v>
      </c>
      <c r="F397" s="35"/>
      <c r="G397" s="33" t="s">
        <v>510</v>
      </c>
      <c r="H397" s="33" t="s">
        <v>511</v>
      </c>
      <c r="I397" s="34" t="s">
        <v>78</v>
      </c>
      <c r="J397" s="35"/>
      <c r="K397" s="33" t="s">
        <v>79</v>
      </c>
      <c r="L397" s="35"/>
      <c r="M397" s="35"/>
      <c r="N397" s="35"/>
      <c r="O397" s="42"/>
      <c r="P397" s="35"/>
      <c r="Q397" s="35"/>
      <c r="R397" s="33" t="e">
        <v>#VALUE!</v>
      </c>
      <c r="S397" s="35"/>
      <c r="T397" s="35"/>
      <c r="U397" s="31"/>
    </row>
    <row r="398">
      <c r="A398" s="31"/>
      <c r="B398" s="37">
        <v>45713.0</v>
      </c>
      <c r="C398" s="38" t="s">
        <v>30</v>
      </c>
      <c r="D398" s="38" t="s">
        <v>493</v>
      </c>
      <c r="E398" s="38" t="s">
        <v>512</v>
      </c>
      <c r="F398" s="29"/>
      <c r="G398" s="38" t="s">
        <v>510</v>
      </c>
      <c r="H398" s="38" t="s">
        <v>513</v>
      </c>
      <c r="I398" s="41" t="s">
        <v>78</v>
      </c>
      <c r="J398" s="29"/>
      <c r="K398" s="38" t="s">
        <v>79</v>
      </c>
      <c r="L398" s="29"/>
      <c r="M398" s="29"/>
      <c r="N398" s="29"/>
      <c r="O398" s="43"/>
      <c r="P398" s="29"/>
      <c r="Q398" s="29"/>
      <c r="R398" s="38" t="e">
        <v>#VALUE!</v>
      </c>
      <c r="S398" s="29"/>
      <c r="T398" s="29"/>
      <c r="U398" s="31"/>
    </row>
    <row r="399">
      <c r="A399" s="31"/>
      <c r="B399" s="32">
        <v>45713.0</v>
      </c>
      <c r="C399" s="33" t="s">
        <v>30</v>
      </c>
      <c r="D399" s="33" t="s">
        <v>493</v>
      </c>
      <c r="E399" s="33" t="s">
        <v>514</v>
      </c>
      <c r="F399" s="35"/>
      <c r="G399" s="33" t="s">
        <v>136</v>
      </c>
      <c r="H399" s="33" t="s">
        <v>515</v>
      </c>
      <c r="I399" s="34" t="s">
        <v>78</v>
      </c>
      <c r="J399" s="35"/>
      <c r="K399" s="33" t="s">
        <v>79</v>
      </c>
      <c r="L399" s="35"/>
      <c r="M399" s="35"/>
      <c r="N399" s="35"/>
      <c r="O399" s="42"/>
      <c r="P399" s="35"/>
      <c r="Q399" s="35"/>
      <c r="R399" s="33" t="e">
        <v>#VALUE!</v>
      </c>
      <c r="S399" s="35"/>
      <c r="T399" s="35"/>
      <c r="U399" s="31"/>
    </row>
    <row r="400">
      <c r="A400" s="31"/>
      <c r="B400" s="37">
        <v>45713.0</v>
      </c>
      <c r="C400" s="38" t="s">
        <v>30</v>
      </c>
      <c r="D400" s="38" t="s">
        <v>493</v>
      </c>
      <c r="E400" s="38" t="s">
        <v>502</v>
      </c>
      <c r="F400" s="29"/>
      <c r="G400" s="29"/>
      <c r="H400" s="38" t="s">
        <v>516</v>
      </c>
      <c r="I400" s="41" t="s">
        <v>78</v>
      </c>
      <c r="J400" s="29"/>
      <c r="K400" s="38" t="s">
        <v>79</v>
      </c>
      <c r="L400" s="29"/>
      <c r="M400" s="29"/>
      <c r="N400" s="29"/>
      <c r="O400" s="43"/>
      <c r="P400" s="29"/>
      <c r="Q400" s="29"/>
      <c r="R400" s="38" t="e">
        <v>#VALUE!</v>
      </c>
      <c r="S400" s="29"/>
      <c r="T400" s="29"/>
      <c r="U400" s="31"/>
    </row>
    <row r="401">
      <c r="A401" s="31"/>
      <c r="B401" s="32">
        <v>45713.0</v>
      </c>
      <c r="C401" s="33" t="s">
        <v>30</v>
      </c>
      <c r="D401" s="33" t="s">
        <v>493</v>
      </c>
      <c r="E401" s="33" t="s">
        <v>517</v>
      </c>
      <c r="F401" s="35"/>
      <c r="G401" s="35"/>
      <c r="H401" s="33" t="s">
        <v>518</v>
      </c>
      <c r="I401" s="34" t="s">
        <v>78</v>
      </c>
      <c r="J401" s="35"/>
      <c r="K401" s="33" t="s">
        <v>79</v>
      </c>
      <c r="L401" s="35"/>
      <c r="M401" s="35"/>
      <c r="N401" s="35"/>
      <c r="O401" s="42"/>
      <c r="P401" s="35"/>
      <c r="Q401" s="35"/>
      <c r="R401" s="33" t="e">
        <v>#VALUE!</v>
      </c>
      <c r="S401" s="35"/>
      <c r="T401" s="35"/>
      <c r="U401" s="31"/>
    </row>
    <row r="402">
      <c r="A402" s="31"/>
      <c r="B402" s="37">
        <v>45713.0</v>
      </c>
      <c r="C402" s="38" t="s">
        <v>30</v>
      </c>
      <c r="D402" s="38" t="s">
        <v>493</v>
      </c>
      <c r="E402" s="38" t="s">
        <v>519</v>
      </c>
      <c r="F402" s="29"/>
      <c r="G402" s="38" t="s">
        <v>136</v>
      </c>
      <c r="H402" s="38" t="s">
        <v>520</v>
      </c>
      <c r="I402" s="41" t="s">
        <v>78</v>
      </c>
      <c r="J402" s="29"/>
      <c r="K402" s="38" t="s">
        <v>79</v>
      </c>
      <c r="L402" s="29"/>
      <c r="M402" s="29"/>
      <c r="N402" s="29"/>
      <c r="O402" s="43"/>
      <c r="P402" s="29"/>
      <c r="Q402" s="29"/>
      <c r="R402" s="38" t="e">
        <v>#VALUE!</v>
      </c>
      <c r="S402" s="29"/>
      <c r="T402" s="29"/>
      <c r="U402" s="31"/>
    </row>
    <row r="403">
      <c r="A403" s="31"/>
      <c r="B403" s="32">
        <v>45713.0</v>
      </c>
      <c r="C403" s="33" t="s">
        <v>30</v>
      </c>
      <c r="D403" s="33" t="s">
        <v>493</v>
      </c>
      <c r="E403" s="33" t="s">
        <v>521</v>
      </c>
      <c r="F403" s="35"/>
      <c r="G403" s="33" t="s">
        <v>136</v>
      </c>
      <c r="H403" s="33" t="s">
        <v>522</v>
      </c>
      <c r="I403" s="34" t="s">
        <v>78</v>
      </c>
      <c r="J403" s="35"/>
      <c r="K403" s="33" t="s">
        <v>79</v>
      </c>
      <c r="L403" s="35"/>
      <c r="M403" s="35"/>
      <c r="N403" s="35"/>
      <c r="O403" s="42"/>
      <c r="P403" s="35"/>
      <c r="Q403" s="35"/>
      <c r="R403" s="33" t="e">
        <v>#VALUE!</v>
      </c>
      <c r="S403" s="35"/>
      <c r="T403" s="35"/>
      <c r="U403" s="31"/>
    </row>
    <row r="404">
      <c r="A404" s="31"/>
      <c r="B404" s="37">
        <v>45713.0</v>
      </c>
      <c r="C404" s="38" t="s">
        <v>30</v>
      </c>
      <c r="D404" s="38" t="s">
        <v>493</v>
      </c>
      <c r="E404" s="38" t="s">
        <v>523</v>
      </c>
      <c r="F404" s="29"/>
      <c r="G404" s="38" t="s">
        <v>176</v>
      </c>
      <c r="H404" s="38" t="s">
        <v>524</v>
      </c>
      <c r="I404" s="41" t="s">
        <v>78</v>
      </c>
      <c r="J404" s="29"/>
      <c r="K404" s="38" t="s">
        <v>79</v>
      </c>
      <c r="L404" s="29"/>
      <c r="M404" s="29"/>
      <c r="N404" s="29"/>
      <c r="O404" s="43"/>
      <c r="P404" s="29"/>
      <c r="Q404" s="29"/>
      <c r="R404" s="38" t="e">
        <v>#VALUE!</v>
      </c>
      <c r="S404" s="29"/>
      <c r="T404" s="29"/>
      <c r="U404" s="31"/>
    </row>
    <row r="405">
      <c r="A405" s="31"/>
      <c r="B405" s="32">
        <v>45713.0</v>
      </c>
      <c r="C405" s="33" t="s">
        <v>30</v>
      </c>
      <c r="D405" s="33" t="s">
        <v>493</v>
      </c>
      <c r="E405" s="33" t="s">
        <v>525</v>
      </c>
      <c r="F405" s="35"/>
      <c r="G405" s="33" t="s">
        <v>526</v>
      </c>
      <c r="H405" s="33" t="s">
        <v>527</v>
      </c>
      <c r="I405" s="34" t="s">
        <v>78</v>
      </c>
      <c r="J405" s="35"/>
      <c r="K405" s="33" t="s">
        <v>79</v>
      </c>
      <c r="L405" s="35"/>
      <c r="M405" s="35"/>
      <c r="N405" s="35"/>
      <c r="O405" s="42"/>
      <c r="P405" s="35"/>
      <c r="Q405" s="35"/>
      <c r="R405" s="33" t="e">
        <v>#VALUE!</v>
      </c>
      <c r="S405" s="35"/>
      <c r="T405" s="35"/>
      <c r="U405" s="31"/>
    </row>
    <row r="406">
      <c r="A406" s="31"/>
      <c r="B406" s="37">
        <v>45713.0</v>
      </c>
      <c r="C406" s="38" t="s">
        <v>30</v>
      </c>
      <c r="D406" s="38" t="s">
        <v>493</v>
      </c>
      <c r="E406" s="38" t="s">
        <v>523</v>
      </c>
      <c r="F406" s="29"/>
      <c r="G406" s="38" t="s">
        <v>526</v>
      </c>
      <c r="H406" s="38" t="s">
        <v>528</v>
      </c>
      <c r="I406" s="41" t="s">
        <v>78</v>
      </c>
      <c r="J406" s="29"/>
      <c r="K406" s="38" t="s">
        <v>79</v>
      </c>
      <c r="L406" s="29"/>
      <c r="M406" s="29"/>
      <c r="N406" s="29"/>
      <c r="O406" s="43"/>
      <c r="P406" s="29"/>
      <c r="Q406" s="29"/>
      <c r="R406" s="38" t="e">
        <v>#VALUE!</v>
      </c>
      <c r="S406" s="29"/>
      <c r="T406" s="29"/>
      <c r="U406" s="31"/>
    </row>
    <row r="407">
      <c r="A407" s="31"/>
      <c r="B407" s="32">
        <v>45713.0</v>
      </c>
      <c r="C407" s="33" t="s">
        <v>30</v>
      </c>
      <c r="D407" s="33" t="s">
        <v>493</v>
      </c>
      <c r="E407" s="33" t="s">
        <v>529</v>
      </c>
      <c r="F407" s="35"/>
      <c r="G407" s="33" t="s">
        <v>526</v>
      </c>
      <c r="H407" s="33" t="s">
        <v>530</v>
      </c>
      <c r="I407" s="34" t="s">
        <v>78</v>
      </c>
      <c r="J407" s="35"/>
      <c r="K407" s="33" t="s">
        <v>79</v>
      </c>
      <c r="L407" s="35"/>
      <c r="M407" s="35"/>
      <c r="N407" s="35"/>
      <c r="O407" s="42"/>
      <c r="P407" s="35"/>
      <c r="Q407" s="35"/>
      <c r="R407" s="33" t="e">
        <v>#VALUE!</v>
      </c>
      <c r="S407" s="35"/>
      <c r="T407" s="35"/>
      <c r="U407" s="31"/>
    </row>
    <row r="408">
      <c r="A408" s="31"/>
      <c r="B408" s="37">
        <v>45713.0</v>
      </c>
      <c r="C408" s="38" t="s">
        <v>30</v>
      </c>
      <c r="D408" s="38" t="s">
        <v>493</v>
      </c>
      <c r="E408" s="38" t="s">
        <v>525</v>
      </c>
      <c r="F408" s="29"/>
      <c r="G408" s="38" t="s">
        <v>176</v>
      </c>
      <c r="H408" s="38" t="s">
        <v>531</v>
      </c>
      <c r="I408" s="41" t="s">
        <v>78</v>
      </c>
      <c r="J408" s="29"/>
      <c r="K408" s="38" t="s">
        <v>79</v>
      </c>
      <c r="L408" s="29"/>
      <c r="M408" s="29"/>
      <c r="N408" s="29"/>
      <c r="O408" s="43"/>
      <c r="P408" s="29"/>
      <c r="Q408" s="29"/>
      <c r="R408" s="38" t="e">
        <v>#VALUE!</v>
      </c>
      <c r="S408" s="29"/>
      <c r="T408" s="29"/>
      <c r="U408" s="31"/>
    </row>
    <row r="409">
      <c r="A409" s="31"/>
      <c r="B409" s="32">
        <v>45713.0</v>
      </c>
      <c r="C409" s="33" t="s">
        <v>30</v>
      </c>
      <c r="D409" s="33" t="s">
        <v>493</v>
      </c>
      <c r="E409" s="33" t="s">
        <v>525</v>
      </c>
      <c r="F409" s="35"/>
      <c r="G409" s="33" t="s">
        <v>176</v>
      </c>
      <c r="H409" s="33" t="s">
        <v>532</v>
      </c>
      <c r="I409" s="34" t="s">
        <v>78</v>
      </c>
      <c r="J409" s="35"/>
      <c r="K409" s="33" t="s">
        <v>79</v>
      </c>
      <c r="L409" s="35"/>
      <c r="M409" s="35"/>
      <c r="N409" s="35"/>
      <c r="O409" s="42"/>
      <c r="P409" s="35"/>
      <c r="Q409" s="35"/>
      <c r="R409" s="33" t="e">
        <v>#VALUE!</v>
      </c>
      <c r="S409" s="35"/>
      <c r="T409" s="35"/>
      <c r="U409" s="31"/>
    </row>
    <row r="410">
      <c r="A410" s="31"/>
      <c r="B410" s="37">
        <v>45713.0</v>
      </c>
      <c r="C410" s="38" t="s">
        <v>30</v>
      </c>
      <c r="D410" s="38" t="s">
        <v>493</v>
      </c>
      <c r="E410" s="38" t="s">
        <v>519</v>
      </c>
      <c r="F410" s="29"/>
      <c r="G410" s="38" t="s">
        <v>280</v>
      </c>
      <c r="H410" s="38" t="s">
        <v>533</v>
      </c>
      <c r="I410" s="41" t="s">
        <v>78</v>
      </c>
      <c r="J410" s="29"/>
      <c r="K410" s="38" t="s">
        <v>79</v>
      </c>
      <c r="L410" s="29"/>
      <c r="M410" s="29"/>
      <c r="N410" s="29"/>
      <c r="O410" s="43"/>
      <c r="P410" s="29"/>
      <c r="Q410" s="29"/>
      <c r="R410" s="38" t="e">
        <v>#VALUE!</v>
      </c>
      <c r="S410" s="29"/>
      <c r="T410" s="29"/>
      <c r="U410" s="31"/>
    </row>
    <row r="411">
      <c r="A411" s="31"/>
      <c r="B411" s="32">
        <v>45713.0</v>
      </c>
      <c r="C411" s="33" t="s">
        <v>30</v>
      </c>
      <c r="D411" s="33" t="s">
        <v>493</v>
      </c>
      <c r="E411" s="33" t="s">
        <v>521</v>
      </c>
      <c r="F411" s="35"/>
      <c r="G411" s="33" t="s">
        <v>280</v>
      </c>
      <c r="H411" s="33" t="s">
        <v>534</v>
      </c>
      <c r="I411" s="34" t="s">
        <v>78</v>
      </c>
      <c r="J411" s="35"/>
      <c r="K411" s="33" t="s">
        <v>79</v>
      </c>
      <c r="L411" s="35"/>
      <c r="M411" s="35"/>
      <c r="N411" s="35"/>
      <c r="O411" s="42"/>
      <c r="P411" s="35"/>
      <c r="Q411" s="35"/>
      <c r="R411" s="33" t="e">
        <v>#VALUE!</v>
      </c>
      <c r="S411" s="35"/>
      <c r="T411" s="35"/>
      <c r="U411" s="31"/>
    </row>
    <row r="412">
      <c r="A412" s="31"/>
      <c r="B412" s="37">
        <v>45713.0</v>
      </c>
      <c r="C412" s="38" t="s">
        <v>30</v>
      </c>
      <c r="D412" s="38" t="s">
        <v>493</v>
      </c>
      <c r="E412" s="38" t="s">
        <v>525</v>
      </c>
      <c r="F412" s="29"/>
      <c r="G412" s="38" t="s">
        <v>280</v>
      </c>
      <c r="H412" s="38" t="s">
        <v>535</v>
      </c>
      <c r="I412" s="41" t="s">
        <v>88</v>
      </c>
      <c r="J412" s="29"/>
      <c r="K412" s="38" t="s">
        <v>79</v>
      </c>
      <c r="L412" s="29"/>
      <c r="M412" s="29"/>
      <c r="N412" s="29"/>
      <c r="O412" s="43"/>
      <c r="P412" s="29"/>
      <c r="Q412" s="29"/>
      <c r="R412" s="38" t="e">
        <v>#VALUE!</v>
      </c>
      <c r="S412" s="29"/>
      <c r="T412" s="29"/>
      <c r="U412" s="31"/>
    </row>
    <row r="413">
      <c r="A413" s="31"/>
      <c r="B413" s="32">
        <v>45713.0</v>
      </c>
      <c r="C413" s="33" t="s">
        <v>30</v>
      </c>
      <c r="D413" s="33" t="s">
        <v>493</v>
      </c>
      <c r="E413" s="33" t="s">
        <v>523</v>
      </c>
      <c r="F413" s="35"/>
      <c r="G413" s="33" t="s">
        <v>280</v>
      </c>
      <c r="H413" s="33" t="s">
        <v>536</v>
      </c>
      <c r="I413" s="34" t="s">
        <v>78</v>
      </c>
      <c r="J413" s="35"/>
      <c r="K413" s="33" t="s">
        <v>79</v>
      </c>
      <c r="L413" s="35"/>
      <c r="M413" s="35"/>
      <c r="N413" s="35"/>
      <c r="O413" s="42"/>
      <c r="P413" s="35"/>
      <c r="Q413" s="35"/>
      <c r="R413" s="33" t="e">
        <v>#VALUE!</v>
      </c>
      <c r="S413" s="35"/>
      <c r="T413" s="35"/>
      <c r="U413" s="31"/>
    </row>
    <row r="414">
      <c r="A414" s="31"/>
      <c r="B414" s="37">
        <v>45713.0</v>
      </c>
      <c r="C414" s="38" t="s">
        <v>30</v>
      </c>
      <c r="D414" s="38" t="s">
        <v>493</v>
      </c>
      <c r="E414" s="38" t="s">
        <v>529</v>
      </c>
      <c r="F414" s="29"/>
      <c r="G414" s="38" t="s">
        <v>280</v>
      </c>
      <c r="H414" s="38" t="s">
        <v>537</v>
      </c>
      <c r="I414" s="41" t="s">
        <v>78</v>
      </c>
      <c r="J414" s="29"/>
      <c r="K414" s="38" t="s">
        <v>79</v>
      </c>
      <c r="L414" s="29"/>
      <c r="M414" s="29"/>
      <c r="N414" s="29"/>
      <c r="O414" s="43"/>
      <c r="P414" s="29"/>
      <c r="Q414" s="29"/>
      <c r="R414" s="38" t="e">
        <v>#VALUE!</v>
      </c>
      <c r="S414" s="29"/>
      <c r="T414" s="29"/>
      <c r="U414" s="31"/>
    </row>
    <row r="415">
      <c r="A415" s="31"/>
      <c r="B415" s="32">
        <v>45713.0</v>
      </c>
      <c r="C415" s="33" t="s">
        <v>30</v>
      </c>
      <c r="D415" s="33" t="s">
        <v>493</v>
      </c>
      <c r="E415" s="33" t="s">
        <v>525</v>
      </c>
      <c r="F415" s="35"/>
      <c r="G415" s="33" t="s">
        <v>284</v>
      </c>
      <c r="H415" s="33" t="s">
        <v>538</v>
      </c>
      <c r="I415" s="34" t="s">
        <v>78</v>
      </c>
      <c r="J415" s="35"/>
      <c r="K415" s="33" t="s">
        <v>79</v>
      </c>
      <c r="L415" s="35"/>
      <c r="M415" s="35"/>
      <c r="N415" s="35"/>
      <c r="O415" s="42"/>
      <c r="P415" s="35"/>
      <c r="Q415" s="35"/>
      <c r="R415" s="33" t="e">
        <v>#VALUE!</v>
      </c>
      <c r="S415" s="35"/>
      <c r="T415" s="35"/>
      <c r="U415" s="31"/>
    </row>
    <row r="416">
      <c r="A416" s="31"/>
      <c r="B416" s="37">
        <v>45713.0</v>
      </c>
      <c r="C416" s="38" t="s">
        <v>30</v>
      </c>
      <c r="D416" s="38" t="s">
        <v>493</v>
      </c>
      <c r="E416" s="38" t="s">
        <v>523</v>
      </c>
      <c r="F416" s="29"/>
      <c r="G416" s="38" t="s">
        <v>284</v>
      </c>
      <c r="H416" s="38" t="s">
        <v>539</v>
      </c>
      <c r="I416" s="41" t="s">
        <v>78</v>
      </c>
      <c r="J416" s="29"/>
      <c r="K416" s="38" t="s">
        <v>79</v>
      </c>
      <c r="L416" s="29"/>
      <c r="M416" s="29"/>
      <c r="N416" s="29"/>
      <c r="O416" s="43"/>
      <c r="P416" s="29"/>
      <c r="Q416" s="29"/>
      <c r="R416" s="38" t="e">
        <v>#VALUE!</v>
      </c>
      <c r="S416" s="29"/>
      <c r="T416" s="29"/>
      <c r="U416" s="31"/>
    </row>
    <row r="417">
      <c r="A417" s="31"/>
      <c r="B417" s="32">
        <v>45713.0</v>
      </c>
      <c r="C417" s="33" t="s">
        <v>30</v>
      </c>
      <c r="D417" s="33" t="s">
        <v>493</v>
      </c>
      <c r="E417" s="33" t="s">
        <v>529</v>
      </c>
      <c r="F417" s="35"/>
      <c r="G417" s="33" t="s">
        <v>284</v>
      </c>
      <c r="H417" s="33" t="s">
        <v>540</v>
      </c>
      <c r="I417" s="34" t="s">
        <v>88</v>
      </c>
      <c r="J417" s="35"/>
      <c r="K417" s="33" t="s">
        <v>79</v>
      </c>
      <c r="L417" s="35"/>
      <c r="M417" s="35"/>
      <c r="N417" s="35"/>
      <c r="O417" s="42"/>
      <c r="P417" s="35"/>
      <c r="Q417" s="35"/>
      <c r="R417" s="33" t="e">
        <v>#VALUE!</v>
      </c>
      <c r="S417" s="35"/>
      <c r="T417" s="35"/>
      <c r="U417" s="31"/>
    </row>
    <row r="418">
      <c r="A418" s="31"/>
      <c r="B418" s="37">
        <v>45713.0</v>
      </c>
      <c r="C418" s="38" t="s">
        <v>30</v>
      </c>
      <c r="D418" s="38" t="s">
        <v>493</v>
      </c>
      <c r="E418" s="38" t="s">
        <v>525</v>
      </c>
      <c r="F418" s="29"/>
      <c r="G418" s="38" t="s">
        <v>113</v>
      </c>
      <c r="H418" s="38" t="s">
        <v>541</v>
      </c>
      <c r="I418" s="41" t="s">
        <v>78</v>
      </c>
      <c r="J418" s="29"/>
      <c r="K418" s="38" t="s">
        <v>79</v>
      </c>
      <c r="L418" s="29"/>
      <c r="M418" s="29"/>
      <c r="N418" s="29"/>
      <c r="O418" s="43"/>
      <c r="P418" s="29"/>
      <c r="Q418" s="29"/>
      <c r="R418" s="38" t="e">
        <v>#VALUE!</v>
      </c>
      <c r="S418" s="29"/>
      <c r="T418" s="29"/>
      <c r="U418" s="31"/>
    </row>
    <row r="419">
      <c r="A419" s="31"/>
      <c r="B419" s="32">
        <v>45713.0</v>
      </c>
      <c r="C419" s="33" t="s">
        <v>30</v>
      </c>
      <c r="D419" s="33" t="s">
        <v>493</v>
      </c>
      <c r="E419" s="33" t="s">
        <v>523</v>
      </c>
      <c r="F419" s="35"/>
      <c r="G419" s="33" t="s">
        <v>113</v>
      </c>
      <c r="H419" s="33" t="s">
        <v>542</v>
      </c>
      <c r="I419" s="34" t="s">
        <v>78</v>
      </c>
      <c r="J419" s="35"/>
      <c r="K419" s="33" t="s">
        <v>79</v>
      </c>
      <c r="L419" s="35"/>
      <c r="M419" s="35"/>
      <c r="N419" s="35"/>
      <c r="O419" s="42"/>
      <c r="P419" s="35"/>
      <c r="Q419" s="35"/>
      <c r="R419" s="33" t="e">
        <v>#VALUE!</v>
      </c>
      <c r="S419" s="35"/>
      <c r="T419" s="35"/>
      <c r="U419" s="31"/>
    </row>
    <row r="420">
      <c r="A420" s="31"/>
      <c r="B420" s="37">
        <v>45713.0</v>
      </c>
      <c r="C420" s="38" t="s">
        <v>30</v>
      </c>
      <c r="D420" s="38" t="s">
        <v>493</v>
      </c>
      <c r="E420" s="38" t="s">
        <v>529</v>
      </c>
      <c r="F420" s="29"/>
      <c r="G420" s="38" t="s">
        <v>136</v>
      </c>
      <c r="H420" s="38" t="s">
        <v>543</v>
      </c>
      <c r="I420" s="41" t="s">
        <v>78</v>
      </c>
      <c r="J420" s="29"/>
      <c r="K420" s="38" t="s">
        <v>79</v>
      </c>
      <c r="L420" s="29"/>
      <c r="M420" s="29"/>
      <c r="N420" s="29"/>
      <c r="O420" s="43"/>
      <c r="P420" s="29"/>
      <c r="Q420" s="29"/>
      <c r="R420" s="38" t="e">
        <v>#VALUE!</v>
      </c>
      <c r="S420" s="29"/>
      <c r="T420" s="29"/>
      <c r="U420" s="31"/>
    </row>
    <row r="421">
      <c r="A421" s="31"/>
      <c r="B421" s="44">
        <v>45716.0</v>
      </c>
      <c r="C421" s="33" t="s">
        <v>30</v>
      </c>
      <c r="D421" s="33" t="s">
        <v>44</v>
      </c>
      <c r="E421" s="33" t="s">
        <v>433</v>
      </c>
      <c r="F421" s="35"/>
      <c r="G421" s="33" t="s">
        <v>169</v>
      </c>
      <c r="H421" s="33" t="s">
        <v>544</v>
      </c>
      <c r="I421" s="34" t="s">
        <v>78</v>
      </c>
      <c r="J421" s="35"/>
      <c r="K421" s="33" t="s">
        <v>79</v>
      </c>
      <c r="L421" s="35"/>
      <c r="M421" s="35"/>
      <c r="N421" s="35"/>
      <c r="O421" s="42"/>
      <c r="P421" s="35"/>
      <c r="Q421" s="35"/>
      <c r="R421" s="33" t="e">
        <v>#VALUE!</v>
      </c>
      <c r="S421" s="35"/>
      <c r="T421" s="35"/>
      <c r="U421" s="31"/>
    </row>
    <row r="422">
      <c r="A422" s="31"/>
      <c r="B422" s="44">
        <v>45716.0</v>
      </c>
      <c r="C422" s="38" t="s">
        <v>30</v>
      </c>
      <c r="D422" s="38" t="s">
        <v>44</v>
      </c>
      <c r="E422" s="38" t="s">
        <v>545</v>
      </c>
      <c r="F422" s="29"/>
      <c r="G422" s="38" t="s">
        <v>169</v>
      </c>
      <c r="H422" s="38" t="s">
        <v>546</v>
      </c>
      <c r="I422" s="41" t="s">
        <v>78</v>
      </c>
      <c r="J422" s="29"/>
      <c r="K422" s="38" t="s">
        <v>79</v>
      </c>
      <c r="L422" s="29"/>
      <c r="M422" s="29"/>
      <c r="N422" s="29"/>
      <c r="O422" s="43"/>
      <c r="P422" s="29"/>
      <c r="Q422" s="29"/>
      <c r="R422" s="38" t="e">
        <v>#VALUE!</v>
      </c>
      <c r="S422" s="29"/>
      <c r="T422" s="29"/>
      <c r="U422" s="31"/>
    </row>
    <row r="423">
      <c r="A423" s="31"/>
      <c r="B423" s="32">
        <v>45716.0</v>
      </c>
      <c r="C423" s="33" t="s">
        <v>30</v>
      </c>
      <c r="D423" s="33" t="s">
        <v>44</v>
      </c>
      <c r="E423" s="33" t="s">
        <v>545</v>
      </c>
      <c r="F423" s="35"/>
      <c r="G423" s="33" t="s">
        <v>144</v>
      </c>
      <c r="H423" s="33" t="s">
        <v>547</v>
      </c>
      <c r="I423" s="34" t="s">
        <v>78</v>
      </c>
      <c r="J423" s="35"/>
      <c r="K423" s="33" t="s">
        <v>79</v>
      </c>
      <c r="L423" s="35"/>
      <c r="M423" s="35"/>
      <c r="N423" s="35"/>
      <c r="O423" s="42"/>
      <c r="P423" s="35"/>
      <c r="Q423" s="35"/>
      <c r="R423" s="33" t="e">
        <v>#VALUE!</v>
      </c>
      <c r="S423" s="35"/>
      <c r="T423" s="35"/>
      <c r="U423" s="31"/>
    </row>
    <row r="424">
      <c r="A424" s="31"/>
      <c r="B424" s="44">
        <v>45716.0</v>
      </c>
      <c r="C424" s="38" t="s">
        <v>30</v>
      </c>
      <c r="D424" s="38" t="s">
        <v>44</v>
      </c>
      <c r="E424" s="38" t="s">
        <v>433</v>
      </c>
      <c r="F424" s="29"/>
      <c r="G424" s="38" t="s">
        <v>169</v>
      </c>
      <c r="H424" s="38" t="s">
        <v>548</v>
      </c>
      <c r="I424" s="41" t="s">
        <v>86</v>
      </c>
      <c r="J424" s="38" t="s">
        <v>549</v>
      </c>
      <c r="K424" s="38" t="s">
        <v>79</v>
      </c>
      <c r="L424" s="29"/>
      <c r="M424" s="29"/>
      <c r="N424" s="29"/>
      <c r="O424" s="43"/>
      <c r="P424" s="29"/>
      <c r="Q424" s="29"/>
      <c r="R424" s="38" t="e">
        <v>#VALUE!</v>
      </c>
      <c r="S424" s="29"/>
      <c r="T424" s="29"/>
      <c r="U424" s="31"/>
    </row>
    <row r="425">
      <c r="A425" s="31"/>
      <c r="B425" s="32">
        <v>45716.0</v>
      </c>
      <c r="C425" s="33" t="s">
        <v>30</v>
      </c>
      <c r="D425" s="33" t="s">
        <v>31</v>
      </c>
      <c r="E425" s="33" t="s">
        <v>102</v>
      </c>
      <c r="F425" s="35"/>
      <c r="G425" s="33" t="s">
        <v>115</v>
      </c>
      <c r="H425" s="33">
        <v>3.51788415122998E14</v>
      </c>
      <c r="I425" s="34" t="s">
        <v>78</v>
      </c>
      <c r="J425" s="35"/>
      <c r="K425" s="33" t="s">
        <v>79</v>
      </c>
      <c r="L425" s="35"/>
      <c r="M425" s="35"/>
      <c r="N425" s="35"/>
      <c r="O425" s="42"/>
      <c r="P425" s="35"/>
      <c r="Q425" s="35"/>
      <c r="R425" s="33" t="e">
        <v>#VALUE!</v>
      </c>
      <c r="S425" s="35"/>
      <c r="T425" s="35"/>
      <c r="U425" s="31"/>
    </row>
    <row r="426">
      <c r="A426" s="31"/>
      <c r="B426" s="44">
        <v>45716.0</v>
      </c>
      <c r="C426" s="38" t="s">
        <v>30</v>
      </c>
      <c r="D426" s="38" t="s">
        <v>44</v>
      </c>
      <c r="E426" s="38" t="s">
        <v>403</v>
      </c>
      <c r="F426" s="29"/>
      <c r="G426" s="38" t="s">
        <v>169</v>
      </c>
      <c r="H426" s="38" t="s">
        <v>550</v>
      </c>
      <c r="I426" s="41" t="s">
        <v>78</v>
      </c>
      <c r="J426" s="29"/>
      <c r="K426" s="38" t="s">
        <v>79</v>
      </c>
      <c r="L426" s="29"/>
      <c r="M426" s="29"/>
      <c r="N426" s="29"/>
      <c r="O426" s="43"/>
      <c r="P426" s="29"/>
      <c r="Q426" s="29"/>
      <c r="R426" s="38" t="e">
        <v>#VALUE!</v>
      </c>
      <c r="S426" s="29"/>
      <c r="T426" s="29"/>
      <c r="U426" s="31"/>
    </row>
    <row r="427">
      <c r="A427" s="31"/>
      <c r="B427" s="32">
        <v>45716.0</v>
      </c>
      <c r="C427" s="33" t="s">
        <v>30</v>
      </c>
      <c r="D427" s="33" t="s">
        <v>44</v>
      </c>
      <c r="E427" s="33" t="s">
        <v>403</v>
      </c>
      <c r="F427" s="35"/>
      <c r="G427" s="33" t="s">
        <v>551</v>
      </c>
      <c r="H427" s="33" t="s">
        <v>552</v>
      </c>
      <c r="I427" s="34" t="s">
        <v>78</v>
      </c>
      <c r="J427" s="35"/>
      <c r="K427" s="33" t="s">
        <v>79</v>
      </c>
      <c r="L427" s="35"/>
      <c r="M427" s="35"/>
      <c r="N427" s="35"/>
      <c r="O427" s="42"/>
      <c r="P427" s="35"/>
      <c r="Q427" s="35"/>
      <c r="R427" s="33" t="e">
        <v>#VALUE!</v>
      </c>
      <c r="S427" s="35"/>
      <c r="T427" s="35"/>
      <c r="U427" s="31"/>
    </row>
    <row r="428">
      <c r="A428" s="31"/>
      <c r="B428" s="37">
        <v>45716.0</v>
      </c>
      <c r="C428" s="38" t="s">
        <v>16</v>
      </c>
      <c r="D428" s="38" t="s">
        <v>31</v>
      </c>
      <c r="E428" s="38" t="s">
        <v>412</v>
      </c>
      <c r="F428" s="38" t="s">
        <v>84</v>
      </c>
      <c r="G428" s="38" t="s">
        <v>553</v>
      </c>
      <c r="H428" s="38">
        <v>3.55532662008154E15</v>
      </c>
      <c r="I428" s="41" t="s">
        <v>554</v>
      </c>
      <c r="J428" s="29"/>
      <c r="K428" s="38" t="s">
        <v>79</v>
      </c>
      <c r="L428" s="29"/>
      <c r="M428" s="29"/>
      <c r="N428" s="29"/>
      <c r="O428" s="43"/>
      <c r="P428" s="29"/>
      <c r="Q428" s="29"/>
      <c r="R428" s="38" t="e">
        <v>#VALUE!</v>
      </c>
      <c r="S428" s="29"/>
      <c r="T428" s="29"/>
      <c r="U428" s="31"/>
    </row>
    <row r="429">
      <c r="A429" s="31"/>
      <c r="B429" s="32">
        <v>45716.0</v>
      </c>
      <c r="C429" s="33" t="s">
        <v>30</v>
      </c>
      <c r="D429" s="33" t="s">
        <v>44</v>
      </c>
      <c r="E429" s="33" t="s">
        <v>403</v>
      </c>
      <c r="F429" s="35"/>
      <c r="G429" s="33" t="s">
        <v>169</v>
      </c>
      <c r="H429" s="33" t="s">
        <v>555</v>
      </c>
      <c r="I429" s="34" t="s">
        <v>78</v>
      </c>
      <c r="J429" s="33" t="s">
        <v>556</v>
      </c>
      <c r="K429" s="33" t="s">
        <v>79</v>
      </c>
      <c r="L429" s="35"/>
      <c r="M429" s="35"/>
      <c r="N429" s="35"/>
      <c r="O429" s="42"/>
      <c r="P429" s="35"/>
      <c r="Q429" s="35"/>
      <c r="R429" s="33" t="e">
        <v>#VALUE!</v>
      </c>
      <c r="S429" s="35"/>
      <c r="T429" s="35"/>
      <c r="U429" s="31"/>
    </row>
    <row r="430">
      <c r="A430" s="31"/>
      <c r="B430" s="37">
        <v>45716.0</v>
      </c>
      <c r="C430" s="38" t="s">
        <v>30</v>
      </c>
      <c r="D430" s="38" t="s">
        <v>44</v>
      </c>
      <c r="E430" s="38" t="s">
        <v>403</v>
      </c>
      <c r="F430" s="29"/>
      <c r="G430" s="38" t="s">
        <v>169</v>
      </c>
      <c r="H430" s="38" t="s">
        <v>557</v>
      </c>
      <c r="I430" s="41" t="s">
        <v>86</v>
      </c>
      <c r="J430" s="38" t="s">
        <v>558</v>
      </c>
      <c r="K430" s="38" t="s">
        <v>79</v>
      </c>
      <c r="L430" s="29"/>
      <c r="M430" s="29"/>
      <c r="N430" s="29"/>
      <c r="O430" s="43"/>
      <c r="P430" s="29"/>
      <c r="Q430" s="29"/>
      <c r="R430" s="38" t="e">
        <v>#VALUE!</v>
      </c>
      <c r="S430" s="29"/>
      <c r="T430" s="29"/>
      <c r="U430" s="31"/>
    </row>
    <row r="431">
      <c r="A431" s="31"/>
      <c r="B431" s="32">
        <v>45716.0</v>
      </c>
      <c r="C431" s="33" t="s">
        <v>30</v>
      </c>
      <c r="D431" s="33" t="s">
        <v>44</v>
      </c>
      <c r="E431" s="33" t="s">
        <v>403</v>
      </c>
      <c r="F431" s="35"/>
      <c r="G431" s="33" t="s">
        <v>169</v>
      </c>
      <c r="H431" s="33" t="s">
        <v>559</v>
      </c>
      <c r="I431" s="34" t="s">
        <v>78</v>
      </c>
      <c r="J431" s="35"/>
      <c r="K431" s="33" t="s">
        <v>79</v>
      </c>
      <c r="L431" s="35"/>
      <c r="M431" s="35"/>
      <c r="N431" s="35"/>
      <c r="O431" s="42"/>
      <c r="P431" s="35"/>
      <c r="Q431" s="35"/>
      <c r="R431" s="33" t="e">
        <v>#VALUE!</v>
      </c>
      <c r="S431" s="35"/>
      <c r="T431" s="35"/>
      <c r="U431" s="31"/>
    </row>
    <row r="432">
      <c r="A432" s="31"/>
      <c r="B432" s="44">
        <v>45716.0</v>
      </c>
      <c r="C432" s="38" t="s">
        <v>16</v>
      </c>
      <c r="D432" s="38" t="s">
        <v>31</v>
      </c>
      <c r="E432" s="38" t="s">
        <v>412</v>
      </c>
      <c r="F432" s="38" t="s">
        <v>84</v>
      </c>
      <c r="G432" s="38" t="s">
        <v>416</v>
      </c>
      <c r="H432" s="38">
        <v>3.55326620055087E14</v>
      </c>
      <c r="I432" s="41" t="s">
        <v>78</v>
      </c>
      <c r="J432" s="29"/>
      <c r="K432" s="38" t="s">
        <v>79</v>
      </c>
      <c r="L432" s="29"/>
      <c r="M432" s="29"/>
      <c r="N432" s="29"/>
      <c r="O432" s="43"/>
      <c r="P432" s="29"/>
      <c r="Q432" s="29"/>
      <c r="R432" s="38" t="e">
        <v>#VALUE!</v>
      </c>
      <c r="S432" s="29"/>
      <c r="T432" s="29"/>
      <c r="U432" s="31"/>
    </row>
    <row r="433">
      <c r="A433" s="31"/>
      <c r="B433" s="32">
        <v>45716.0</v>
      </c>
      <c r="C433" s="33" t="s">
        <v>16</v>
      </c>
      <c r="D433" s="33" t="s">
        <v>31</v>
      </c>
      <c r="E433" s="33" t="s">
        <v>412</v>
      </c>
      <c r="F433" s="33" t="s">
        <v>84</v>
      </c>
      <c r="G433" s="33" t="s">
        <v>413</v>
      </c>
      <c r="H433" s="33">
        <v>3.55326624948097E14</v>
      </c>
      <c r="I433" s="34" t="s">
        <v>86</v>
      </c>
      <c r="J433" s="33" t="s">
        <v>560</v>
      </c>
      <c r="K433" s="33" t="s">
        <v>79</v>
      </c>
      <c r="L433" s="35"/>
      <c r="M433" s="35"/>
      <c r="N433" s="35"/>
      <c r="O433" s="42"/>
      <c r="P433" s="35"/>
      <c r="Q433" s="35"/>
      <c r="R433" s="33" t="e">
        <v>#VALUE!</v>
      </c>
      <c r="S433" s="35"/>
      <c r="T433" s="35"/>
      <c r="U433" s="31"/>
    </row>
    <row r="434">
      <c r="A434" s="31"/>
      <c r="B434" s="44">
        <v>45716.0</v>
      </c>
      <c r="C434" s="38" t="s">
        <v>30</v>
      </c>
      <c r="D434" s="38" t="s">
        <v>44</v>
      </c>
      <c r="E434" s="38" t="s">
        <v>433</v>
      </c>
      <c r="F434" s="29"/>
      <c r="G434" s="38" t="s">
        <v>144</v>
      </c>
      <c r="H434" s="38" t="s">
        <v>561</v>
      </c>
      <c r="I434" s="41" t="s">
        <v>78</v>
      </c>
      <c r="J434" s="29"/>
      <c r="K434" s="38" t="s">
        <v>79</v>
      </c>
      <c r="L434" s="29"/>
      <c r="M434" s="29"/>
      <c r="N434" s="29"/>
      <c r="O434" s="43"/>
      <c r="P434" s="29"/>
      <c r="Q434" s="29"/>
      <c r="R434" s="38" t="e">
        <v>#VALUE!</v>
      </c>
      <c r="S434" s="29"/>
      <c r="T434" s="29"/>
      <c r="U434" s="31"/>
    </row>
    <row r="435">
      <c r="A435" s="31"/>
      <c r="B435" s="32">
        <v>45716.0</v>
      </c>
      <c r="C435" s="33" t="s">
        <v>30</v>
      </c>
      <c r="D435" s="33" t="s">
        <v>31</v>
      </c>
      <c r="E435" s="33" t="s">
        <v>112</v>
      </c>
      <c r="F435" s="33" t="s">
        <v>84</v>
      </c>
      <c r="G435" s="33" t="s">
        <v>114</v>
      </c>
      <c r="H435" s="33">
        <v>3.58899540124594E14</v>
      </c>
      <c r="I435" s="34" t="s">
        <v>78</v>
      </c>
      <c r="J435" s="35"/>
      <c r="K435" s="33" t="s">
        <v>79</v>
      </c>
      <c r="L435" s="35"/>
      <c r="M435" s="35"/>
      <c r="N435" s="35"/>
      <c r="O435" s="42"/>
      <c r="P435" s="35"/>
      <c r="Q435" s="35"/>
      <c r="R435" s="33" t="e">
        <v>#VALUE!</v>
      </c>
      <c r="S435" s="35"/>
      <c r="T435" s="35"/>
      <c r="U435" s="31"/>
    </row>
    <row r="436">
      <c r="A436" s="31"/>
      <c r="B436" s="37">
        <v>45716.0</v>
      </c>
      <c r="C436" s="38" t="s">
        <v>30</v>
      </c>
      <c r="D436" s="38" t="s">
        <v>31</v>
      </c>
      <c r="E436" s="38" t="s">
        <v>412</v>
      </c>
      <c r="F436" s="38" t="s">
        <v>84</v>
      </c>
      <c r="G436" s="38" t="s">
        <v>416</v>
      </c>
      <c r="H436" s="38">
        <v>3.55326620047688E14</v>
      </c>
      <c r="I436" s="41" t="s">
        <v>86</v>
      </c>
      <c r="J436" s="38" t="s">
        <v>556</v>
      </c>
      <c r="K436" s="38" t="s">
        <v>79</v>
      </c>
      <c r="L436" s="29"/>
      <c r="M436" s="29"/>
      <c r="N436" s="29"/>
      <c r="O436" s="43"/>
      <c r="P436" s="29"/>
      <c r="Q436" s="29"/>
      <c r="R436" s="38" t="e">
        <v>#VALUE!</v>
      </c>
      <c r="S436" s="29"/>
      <c r="T436" s="29"/>
      <c r="U436" s="31"/>
    </row>
    <row r="437">
      <c r="A437" s="31"/>
      <c r="B437" s="32">
        <v>45716.0</v>
      </c>
      <c r="C437" s="33" t="s">
        <v>30</v>
      </c>
      <c r="D437" s="33" t="s">
        <v>31</v>
      </c>
      <c r="E437" s="33" t="s">
        <v>562</v>
      </c>
      <c r="F437" s="33" t="s">
        <v>84</v>
      </c>
      <c r="G437" s="33" t="s">
        <v>553</v>
      </c>
      <c r="H437" s="33">
        <v>3.55954710041962E14</v>
      </c>
      <c r="I437" s="34" t="s">
        <v>86</v>
      </c>
      <c r="J437" s="33" t="s">
        <v>558</v>
      </c>
      <c r="K437" s="33" t="s">
        <v>79</v>
      </c>
      <c r="L437" s="35"/>
      <c r="M437" s="35"/>
      <c r="N437" s="35"/>
      <c r="O437" s="42"/>
      <c r="P437" s="35"/>
      <c r="Q437" s="35"/>
      <c r="R437" s="33" t="e">
        <v>#VALUE!</v>
      </c>
      <c r="S437" s="35"/>
      <c r="T437" s="35"/>
      <c r="U437" s="31"/>
    </row>
    <row r="438">
      <c r="A438" s="31"/>
      <c r="B438" s="44">
        <v>45716.0</v>
      </c>
      <c r="C438" s="38" t="s">
        <v>30</v>
      </c>
      <c r="D438" s="38" t="s">
        <v>31</v>
      </c>
      <c r="E438" s="38" t="s">
        <v>412</v>
      </c>
      <c r="F438" s="38" t="s">
        <v>84</v>
      </c>
      <c r="G438" s="38" t="s">
        <v>413</v>
      </c>
      <c r="H438" s="38">
        <v>3.55326624948428E14</v>
      </c>
      <c r="I438" s="41" t="s">
        <v>78</v>
      </c>
      <c r="J438" s="29"/>
      <c r="K438" s="38" t="s">
        <v>79</v>
      </c>
      <c r="L438" s="29"/>
      <c r="M438" s="29"/>
      <c r="N438" s="29"/>
      <c r="O438" s="43"/>
      <c r="P438" s="29"/>
      <c r="Q438" s="29"/>
      <c r="R438" s="38" t="e">
        <v>#VALUE!</v>
      </c>
      <c r="S438" s="29"/>
      <c r="T438" s="29"/>
      <c r="U438" s="31"/>
    </row>
    <row r="439">
      <c r="A439" s="31"/>
      <c r="B439" s="44">
        <v>45716.0</v>
      </c>
      <c r="C439" s="33" t="s">
        <v>30</v>
      </c>
      <c r="D439" s="33" t="s">
        <v>31</v>
      </c>
      <c r="E439" s="33" t="s">
        <v>562</v>
      </c>
      <c r="F439" s="33" t="s">
        <v>84</v>
      </c>
      <c r="G439" s="33" t="s">
        <v>415</v>
      </c>
      <c r="H439" s="33">
        <v>3.55954710033308E14</v>
      </c>
      <c r="I439" s="34" t="s">
        <v>78</v>
      </c>
      <c r="J439" s="35"/>
      <c r="K439" s="33" t="s">
        <v>79</v>
      </c>
      <c r="L439" s="35"/>
      <c r="M439" s="35"/>
      <c r="N439" s="35"/>
      <c r="O439" s="42"/>
      <c r="P439" s="35"/>
      <c r="Q439" s="35"/>
      <c r="R439" s="33" t="e">
        <v>#VALUE!</v>
      </c>
      <c r="S439" s="35"/>
      <c r="T439" s="35"/>
      <c r="U439" s="31"/>
    </row>
    <row r="440">
      <c r="A440" s="31"/>
      <c r="B440" s="44">
        <v>45716.0</v>
      </c>
      <c r="C440" s="38" t="s">
        <v>30</v>
      </c>
      <c r="D440" s="38" t="s">
        <v>31</v>
      </c>
      <c r="E440" s="38" t="s">
        <v>412</v>
      </c>
      <c r="F440" s="38" t="s">
        <v>84</v>
      </c>
      <c r="G440" s="38" t="s">
        <v>553</v>
      </c>
      <c r="H440" s="38">
        <v>3.55326625310883E14</v>
      </c>
      <c r="I440" s="41" t="s">
        <v>78</v>
      </c>
      <c r="J440" s="29"/>
      <c r="K440" s="38" t="s">
        <v>79</v>
      </c>
      <c r="L440" s="29"/>
      <c r="M440" s="29"/>
      <c r="N440" s="29"/>
      <c r="O440" s="43"/>
      <c r="P440" s="29"/>
      <c r="Q440" s="29"/>
      <c r="R440" s="38" t="e">
        <v>#VALUE!</v>
      </c>
      <c r="S440" s="29"/>
      <c r="T440" s="29"/>
      <c r="U440" s="31"/>
    </row>
    <row r="441">
      <c r="A441" s="31"/>
      <c r="B441" s="44">
        <v>45716.0</v>
      </c>
      <c r="C441" s="33" t="s">
        <v>30</v>
      </c>
      <c r="D441" s="33" t="s">
        <v>31</v>
      </c>
      <c r="E441" s="33" t="s">
        <v>90</v>
      </c>
      <c r="F441" s="33" t="s">
        <v>84</v>
      </c>
      <c r="G441" s="33" t="s">
        <v>136</v>
      </c>
      <c r="H441" s="33">
        <v>3.50009210015373E14</v>
      </c>
      <c r="I441" s="34" t="s">
        <v>88</v>
      </c>
      <c r="J441" s="35"/>
      <c r="K441" s="33" t="s">
        <v>79</v>
      </c>
      <c r="L441" s="35"/>
      <c r="M441" s="35"/>
      <c r="N441" s="35"/>
      <c r="O441" s="42"/>
      <c r="P441" s="35"/>
      <c r="Q441" s="35"/>
      <c r="R441" s="33" t="e">
        <v>#VALUE!</v>
      </c>
      <c r="S441" s="35"/>
      <c r="T441" s="35"/>
      <c r="U441" s="31"/>
    </row>
    <row r="442">
      <c r="A442" s="31"/>
      <c r="B442" s="44">
        <v>45716.0</v>
      </c>
      <c r="C442" s="38" t="s">
        <v>30</v>
      </c>
      <c r="D442" s="38" t="s">
        <v>31</v>
      </c>
      <c r="E442" s="38" t="s">
        <v>90</v>
      </c>
      <c r="F442" s="38" t="s">
        <v>84</v>
      </c>
      <c r="G442" s="38" t="s">
        <v>136</v>
      </c>
      <c r="H442" s="38">
        <v>3.50009210026453E14</v>
      </c>
      <c r="I442" s="41" t="s">
        <v>563</v>
      </c>
      <c r="J442" s="29"/>
      <c r="K442" s="38" t="s">
        <v>79</v>
      </c>
      <c r="L442" s="29"/>
      <c r="M442" s="29"/>
      <c r="N442" s="29"/>
      <c r="O442" s="43"/>
      <c r="P442" s="29"/>
      <c r="Q442" s="29"/>
      <c r="R442" s="38" t="e">
        <v>#VALUE!</v>
      </c>
      <c r="S442" s="29"/>
      <c r="T442" s="29"/>
      <c r="U442" s="31"/>
    </row>
    <row r="443">
      <c r="A443" s="31"/>
      <c r="B443" s="44">
        <v>45716.0</v>
      </c>
      <c r="C443" s="33" t="s">
        <v>30</v>
      </c>
      <c r="D443" s="33" t="s">
        <v>44</v>
      </c>
      <c r="E443" s="33" t="s">
        <v>545</v>
      </c>
      <c r="F443" s="35"/>
      <c r="G443" s="33" t="s">
        <v>144</v>
      </c>
      <c r="H443" s="33" t="s">
        <v>564</v>
      </c>
      <c r="I443" s="34" t="s">
        <v>78</v>
      </c>
      <c r="J443" s="35"/>
      <c r="K443" s="33" t="s">
        <v>79</v>
      </c>
      <c r="L443" s="35"/>
      <c r="M443" s="35"/>
      <c r="N443" s="35"/>
      <c r="O443" s="42"/>
      <c r="P443" s="35"/>
      <c r="Q443" s="35"/>
      <c r="R443" s="33" t="e">
        <v>#VALUE!</v>
      </c>
      <c r="S443" s="35"/>
      <c r="T443" s="35"/>
      <c r="U443" s="31"/>
    </row>
    <row r="444">
      <c r="A444" s="31"/>
      <c r="B444" s="44">
        <v>45716.0</v>
      </c>
      <c r="C444" s="38" t="s">
        <v>30</v>
      </c>
      <c r="D444" s="38" t="s">
        <v>44</v>
      </c>
      <c r="E444" s="38" t="s">
        <v>433</v>
      </c>
      <c r="F444" s="29"/>
      <c r="G444" s="38" t="s">
        <v>169</v>
      </c>
      <c r="H444" s="38" t="s">
        <v>565</v>
      </c>
      <c r="I444" s="41" t="s">
        <v>78</v>
      </c>
      <c r="J444" s="29"/>
      <c r="K444" s="38" t="s">
        <v>79</v>
      </c>
      <c r="L444" s="43"/>
      <c r="M444" s="29"/>
      <c r="N444" s="29"/>
      <c r="O444" s="43"/>
      <c r="P444" s="29"/>
      <c r="Q444" s="29"/>
      <c r="R444" s="38" t="e">
        <v>#VALUE!</v>
      </c>
      <c r="S444" s="29"/>
      <c r="T444" s="29"/>
      <c r="U444" s="31"/>
    </row>
    <row r="445">
      <c r="A445" s="31"/>
      <c r="B445" s="44">
        <v>45716.0</v>
      </c>
      <c r="C445" s="33" t="s">
        <v>30</v>
      </c>
      <c r="D445" s="33" t="s">
        <v>44</v>
      </c>
      <c r="E445" s="33" t="s">
        <v>433</v>
      </c>
      <c r="F445" s="35"/>
      <c r="G445" s="33" t="s">
        <v>169</v>
      </c>
      <c r="H445" s="33" t="s">
        <v>566</v>
      </c>
      <c r="I445" s="34" t="s">
        <v>78</v>
      </c>
      <c r="J445" s="35"/>
      <c r="K445" s="33" t="s">
        <v>79</v>
      </c>
      <c r="L445" s="35"/>
      <c r="M445" s="35"/>
      <c r="N445" s="35"/>
      <c r="O445" s="42"/>
      <c r="P445" s="35"/>
      <c r="Q445" s="35"/>
      <c r="R445" s="33" t="e">
        <v>#VALUE!</v>
      </c>
      <c r="S445" s="35"/>
      <c r="T445" s="35"/>
      <c r="U445" s="31"/>
    </row>
    <row r="446">
      <c r="A446" s="31"/>
      <c r="B446" s="37">
        <v>45716.0</v>
      </c>
      <c r="C446" s="38" t="s">
        <v>30</v>
      </c>
      <c r="D446" s="38" t="s">
        <v>42</v>
      </c>
      <c r="E446" s="38" t="s">
        <v>159</v>
      </c>
      <c r="F446" s="29"/>
      <c r="G446" s="29"/>
      <c r="H446" s="38" t="s">
        <v>567</v>
      </c>
      <c r="I446" s="41" t="s">
        <v>86</v>
      </c>
      <c r="J446" s="38" t="s">
        <v>492</v>
      </c>
      <c r="K446" s="29"/>
      <c r="L446" s="29"/>
      <c r="M446" s="29"/>
      <c r="N446" s="29"/>
      <c r="O446" s="43"/>
      <c r="P446" s="29"/>
      <c r="Q446" s="29"/>
      <c r="R446" s="38" t="e">
        <v>#VALUE!</v>
      </c>
      <c r="S446" s="29"/>
      <c r="T446" s="29"/>
      <c r="U446" s="31"/>
    </row>
    <row r="447">
      <c r="A447" s="31"/>
      <c r="B447" s="32">
        <v>45721.0</v>
      </c>
      <c r="C447" s="33" t="s">
        <v>16</v>
      </c>
      <c r="D447" s="33" t="s">
        <v>31</v>
      </c>
      <c r="E447" s="33" t="s">
        <v>568</v>
      </c>
      <c r="F447" s="33" t="s">
        <v>152</v>
      </c>
      <c r="G447" s="33" t="s">
        <v>284</v>
      </c>
      <c r="H447" s="33">
        <v>3.50334720089746E14</v>
      </c>
      <c r="I447" s="34" t="s">
        <v>569</v>
      </c>
      <c r="J447" s="33" t="s">
        <v>570</v>
      </c>
      <c r="K447" s="33" t="s">
        <v>19</v>
      </c>
      <c r="L447" s="35"/>
      <c r="M447" s="35"/>
      <c r="N447" s="35"/>
      <c r="O447" s="42"/>
      <c r="P447" s="35"/>
      <c r="Q447" s="35"/>
      <c r="R447" s="33" t="e">
        <v>#VALUE!</v>
      </c>
      <c r="S447" s="35"/>
      <c r="T447" s="35"/>
      <c r="U447" s="31"/>
    </row>
    <row r="448">
      <c r="A448" s="31"/>
      <c r="B448" s="37">
        <v>45721.0</v>
      </c>
      <c r="C448" s="38" t="s">
        <v>16</v>
      </c>
      <c r="D448" s="38" t="s">
        <v>31</v>
      </c>
      <c r="E448" s="38" t="s">
        <v>568</v>
      </c>
      <c r="F448" s="38" t="s">
        <v>152</v>
      </c>
      <c r="G448" s="38" t="s">
        <v>284</v>
      </c>
      <c r="H448" s="38">
        <v>3.50334720105245E14</v>
      </c>
      <c r="I448" s="41" t="s">
        <v>86</v>
      </c>
      <c r="J448" s="38" t="s">
        <v>571</v>
      </c>
      <c r="K448" s="38" t="s">
        <v>19</v>
      </c>
      <c r="L448" s="29"/>
      <c r="M448" s="29"/>
      <c r="N448" s="29"/>
      <c r="O448" s="43"/>
      <c r="P448" s="29"/>
      <c r="Q448" s="29"/>
      <c r="R448" s="38" t="e">
        <v>#VALUE!</v>
      </c>
      <c r="S448" s="29"/>
      <c r="T448" s="29"/>
      <c r="U448" s="31"/>
    </row>
    <row r="449">
      <c r="A449" s="31"/>
      <c r="B449" s="32">
        <v>45721.0</v>
      </c>
      <c r="C449" s="33" t="s">
        <v>16</v>
      </c>
      <c r="D449" s="33" t="s">
        <v>31</v>
      </c>
      <c r="E449" s="33" t="s">
        <v>568</v>
      </c>
      <c r="F449" s="33" t="s">
        <v>152</v>
      </c>
      <c r="G449" s="33" t="s">
        <v>572</v>
      </c>
      <c r="H449" s="33">
        <v>3.50334720127496E14</v>
      </c>
      <c r="I449" s="34" t="s">
        <v>86</v>
      </c>
      <c r="J449" s="33" t="s">
        <v>573</v>
      </c>
      <c r="K449" s="33" t="s">
        <v>19</v>
      </c>
      <c r="L449" s="35"/>
      <c r="M449" s="35"/>
      <c r="N449" s="35"/>
      <c r="O449" s="42"/>
      <c r="P449" s="35"/>
      <c r="Q449" s="35"/>
      <c r="R449" s="33" t="e">
        <v>#VALUE!</v>
      </c>
      <c r="S449" s="35"/>
      <c r="T449" s="35"/>
      <c r="U449" s="31"/>
    </row>
    <row r="450">
      <c r="A450" s="31"/>
      <c r="B450" s="37">
        <v>45721.0</v>
      </c>
      <c r="C450" s="38" t="s">
        <v>16</v>
      </c>
      <c r="D450" s="38" t="s">
        <v>31</v>
      </c>
      <c r="E450" s="38" t="s">
        <v>568</v>
      </c>
      <c r="F450" s="38" t="s">
        <v>152</v>
      </c>
      <c r="G450" s="38" t="s">
        <v>572</v>
      </c>
      <c r="H450" s="38">
        <v>3.50334720140614E14</v>
      </c>
      <c r="I450" s="41" t="s">
        <v>86</v>
      </c>
      <c r="J450" s="38" t="s">
        <v>574</v>
      </c>
      <c r="K450" s="38" t="s">
        <v>19</v>
      </c>
      <c r="L450" s="29"/>
      <c r="M450" s="29"/>
      <c r="N450" s="29"/>
      <c r="O450" s="43"/>
      <c r="P450" s="29"/>
      <c r="Q450" s="29"/>
      <c r="R450" s="38" t="e">
        <v>#VALUE!</v>
      </c>
      <c r="S450" s="29"/>
      <c r="T450" s="29"/>
      <c r="U450" s="31"/>
    </row>
    <row r="451">
      <c r="A451" s="31"/>
      <c r="B451" s="32">
        <v>45721.0</v>
      </c>
      <c r="C451" s="33" t="s">
        <v>16</v>
      </c>
      <c r="D451" s="33" t="s">
        <v>31</v>
      </c>
      <c r="E451" s="33" t="s">
        <v>568</v>
      </c>
      <c r="F451" s="33" t="s">
        <v>152</v>
      </c>
      <c r="G451" s="33" t="s">
        <v>176</v>
      </c>
      <c r="H451" s="33">
        <v>3.50334720021541E14</v>
      </c>
      <c r="I451" s="34" t="s">
        <v>86</v>
      </c>
      <c r="J451" s="33" t="s">
        <v>575</v>
      </c>
      <c r="K451" s="33" t="s">
        <v>19</v>
      </c>
      <c r="L451" s="35"/>
      <c r="M451" s="35"/>
      <c r="N451" s="35"/>
      <c r="O451" s="42"/>
      <c r="P451" s="35"/>
      <c r="Q451" s="35"/>
      <c r="R451" s="33" t="e">
        <v>#VALUE!</v>
      </c>
      <c r="S451" s="35"/>
      <c r="T451" s="35"/>
      <c r="U451" s="31"/>
    </row>
    <row r="452">
      <c r="A452" s="31"/>
      <c r="B452" s="37">
        <v>45721.0</v>
      </c>
      <c r="C452" s="38" t="s">
        <v>16</v>
      </c>
      <c r="D452" s="38" t="s">
        <v>31</v>
      </c>
      <c r="E452" s="38" t="s">
        <v>568</v>
      </c>
      <c r="F452" s="38" t="s">
        <v>152</v>
      </c>
      <c r="G452" s="38" t="s">
        <v>176</v>
      </c>
      <c r="H452" s="38">
        <v>3.50334720056158E14</v>
      </c>
      <c r="I452" s="41" t="s">
        <v>86</v>
      </c>
      <c r="J452" s="38" t="s">
        <v>576</v>
      </c>
      <c r="K452" s="38" t="s">
        <v>19</v>
      </c>
      <c r="L452" s="29"/>
      <c r="M452" s="29"/>
      <c r="N452" s="29"/>
      <c r="O452" s="43"/>
      <c r="P452" s="29"/>
      <c r="Q452" s="29"/>
      <c r="R452" s="38" t="e">
        <v>#VALUE!</v>
      </c>
      <c r="S452" s="29"/>
      <c r="T452" s="29"/>
      <c r="U452" s="31"/>
    </row>
    <row r="453">
      <c r="A453" s="31"/>
      <c r="B453" s="32">
        <v>45721.0</v>
      </c>
      <c r="C453" s="33" t="s">
        <v>16</v>
      </c>
      <c r="D453" s="33" t="s">
        <v>493</v>
      </c>
      <c r="E453" s="33" t="s">
        <v>577</v>
      </c>
      <c r="F453" s="35"/>
      <c r="G453" s="33" t="s">
        <v>169</v>
      </c>
      <c r="H453" s="33" t="s">
        <v>578</v>
      </c>
      <c r="I453" s="34" t="s">
        <v>78</v>
      </c>
      <c r="J453" s="35"/>
      <c r="K453" s="33" t="s">
        <v>19</v>
      </c>
      <c r="L453" s="35"/>
      <c r="M453" s="35"/>
      <c r="N453" s="35"/>
      <c r="O453" s="42"/>
      <c r="P453" s="35"/>
      <c r="Q453" s="35"/>
      <c r="R453" s="33" t="e">
        <v>#VALUE!</v>
      </c>
      <c r="S453" s="35"/>
      <c r="T453" s="35"/>
      <c r="U453" s="31"/>
    </row>
    <row r="454">
      <c r="A454" s="31"/>
      <c r="B454" s="37">
        <v>45721.0</v>
      </c>
      <c r="C454" s="38" t="s">
        <v>16</v>
      </c>
      <c r="D454" s="38" t="s">
        <v>493</v>
      </c>
      <c r="E454" s="38" t="s">
        <v>577</v>
      </c>
      <c r="F454" s="29"/>
      <c r="G454" s="38" t="s">
        <v>169</v>
      </c>
      <c r="H454" s="38" t="s">
        <v>579</v>
      </c>
      <c r="I454" s="41" t="s">
        <v>78</v>
      </c>
      <c r="J454" s="29"/>
      <c r="K454" s="38" t="s">
        <v>19</v>
      </c>
      <c r="L454" s="29"/>
      <c r="M454" s="29"/>
      <c r="N454" s="29"/>
      <c r="O454" s="43"/>
      <c r="P454" s="29"/>
      <c r="Q454" s="29"/>
      <c r="R454" s="38" t="e">
        <v>#VALUE!</v>
      </c>
      <c r="S454" s="29"/>
      <c r="T454" s="29"/>
      <c r="U454" s="31"/>
    </row>
    <row r="455">
      <c r="A455" s="31"/>
      <c r="B455" s="32">
        <v>45722.0</v>
      </c>
      <c r="C455" s="33" t="s">
        <v>30</v>
      </c>
      <c r="D455" s="33" t="s">
        <v>493</v>
      </c>
      <c r="E455" s="33" t="s">
        <v>580</v>
      </c>
      <c r="F455" s="35"/>
      <c r="G455" s="33" t="s">
        <v>581</v>
      </c>
      <c r="H455" s="33" t="s">
        <v>582</v>
      </c>
      <c r="I455" s="34" t="s">
        <v>78</v>
      </c>
      <c r="J455" s="35"/>
      <c r="K455" s="35"/>
      <c r="L455" s="35"/>
      <c r="M455" s="35"/>
      <c r="N455" s="35"/>
      <c r="O455" s="42"/>
      <c r="P455" s="35"/>
      <c r="Q455" s="35"/>
      <c r="R455" s="33" t="e">
        <v>#VALUE!</v>
      </c>
      <c r="S455" s="35"/>
      <c r="T455" s="35"/>
      <c r="U455" s="31"/>
    </row>
    <row r="456">
      <c r="A456" s="31"/>
      <c r="B456" s="37">
        <v>45722.0</v>
      </c>
      <c r="C456" s="38" t="s">
        <v>30</v>
      </c>
      <c r="D456" s="38" t="s">
        <v>493</v>
      </c>
      <c r="E456" s="38" t="s">
        <v>580</v>
      </c>
      <c r="F456" s="29"/>
      <c r="G456" s="38" t="s">
        <v>581</v>
      </c>
      <c r="H456" s="38" t="s">
        <v>583</v>
      </c>
      <c r="I456" s="41" t="s">
        <v>78</v>
      </c>
      <c r="J456" s="29"/>
      <c r="K456" s="29"/>
      <c r="L456" s="29"/>
      <c r="M456" s="29"/>
      <c r="N456" s="29"/>
      <c r="O456" s="43"/>
      <c r="P456" s="29"/>
      <c r="Q456" s="29"/>
      <c r="R456" s="38" t="e">
        <v>#VALUE!</v>
      </c>
      <c r="S456" s="29"/>
      <c r="T456" s="29"/>
      <c r="U456" s="31"/>
    </row>
    <row r="457">
      <c r="A457" s="31"/>
      <c r="B457" s="32">
        <v>45722.0</v>
      </c>
      <c r="C457" s="33" t="s">
        <v>30</v>
      </c>
      <c r="D457" s="33" t="s">
        <v>493</v>
      </c>
      <c r="E457" s="33" t="s">
        <v>580</v>
      </c>
      <c r="F457" s="35"/>
      <c r="G457" s="33" t="s">
        <v>581</v>
      </c>
      <c r="H457" s="33" t="s">
        <v>584</v>
      </c>
      <c r="I457" s="34" t="s">
        <v>78</v>
      </c>
      <c r="J457" s="35"/>
      <c r="K457" s="35"/>
      <c r="L457" s="35"/>
      <c r="M457" s="35"/>
      <c r="N457" s="35"/>
      <c r="O457" s="42"/>
      <c r="P457" s="35"/>
      <c r="Q457" s="35"/>
      <c r="R457" s="33" t="e">
        <v>#VALUE!</v>
      </c>
      <c r="S457" s="35"/>
      <c r="T457" s="35"/>
      <c r="U457" s="31"/>
    </row>
    <row r="458">
      <c r="A458" s="31"/>
      <c r="B458" s="37">
        <v>45722.0</v>
      </c>
      <c r="C458" s="38" t="s">
        <v>30</v>
      </c>
      <c r="D458" s="38" t="s">
        <v>493</v>
      </c>
      <c r="E458" s="38" t="s">
        <v>580</v>
      </c>
      <c r="F458" s="29"/>
      <c r="G458" s="38" t="s">
        <v>581</v>
      </c>
      <c r="H458" s="38" t="s">
        <v>585</v>
      </c>
      <c r="I458" s="41" t="s">
        <v>78</v>
      </c>
      <c r="J458" s="29"/>
      <c r="K458" s="29"/>
      <c r="L458" s="29"/>
      <c r="M458" s="29"/>
      <c r="N458" s="29"/>
      <c r="O458" s="43"/>
      <c r="P458" s="29"/>
      <c r="Q458" s="29"/>
      <c r="R458" s="38" t="e">
        <v>#VALUE!</v>
      </c>
      <c r="S458" s="29"/>
      <c r="T458" s="29"/>
      <c r="U458" s="31"/>
    </row>
    <row r="459">
      <c r="A459" s="31"/>
      <c r="B459" s="32">
        <v>45722.0</v>
      </c>
      <c r="C459" s="33" t="s">
        <v>30</v>
      </c>
      <c r="D459" s="33" t="s">
        <v>493</v>
      </c>
      <c r="E459" s="33" t="s">
        <v>580</v>
      </c>
      <c r="F459" s="35"/>
      <c r="G459" s="33" t="s">
        <v>581</v>
      </c>
      <c r="H459" s="33" t="s">
        <v>586</v>
      </c>
      <c r="I459" s="34" t="s">
        <v>78</v>
      </c>
      <c r="J459" s="35"/>
      <c r="K459" s="35"/>
      <c r="L459" s="35"/>
      <c r="M459" s="35"/>
      <c r="N459" s="35"/>
      <c r="O459" s="42"/>
      <c r="P459" s="35"/>
      <c r="Q459" s="35"/>
      <c r="R459" s="33" t="e">
        <v>#VALUE!</v>
      </c>
      <c r="S459" s="35"/>
      <c r="T459" s="35"/>
      <c r="U459" s="31"/>
    </row>
    <row r="460">
      <c r="A460" s="31"/>
      <c r="B460" s="37">
        <v>45722.0</v>
      </c>
      <c r="C460" s="38" t="s">
        <v>30</v>
      </c>
      <c r="D460" s="38" t="s">
        <v>493</v>
      </c>
      <c r="E460" s="38" t="s">
        <v>580</v>
      </c>
      <c r="F460" s="29"/>
      <c r="G460" s="38" t="s">
        <v>581</v>
      </c>
      <c r="H460" s="38" t="s">
        <v>587</v>
      </c>
      <c r="I460" s="41" t="s">
        <v>78</v>
      </c>
      <c r="J460" s="29"/>
      <c r="K460" s="29"/>
      <c r="L460" s="29"/>
      <c r="M460" s="29"/>
      <c r="N460" s="29"/>
      <c r="O460" s="43"/>
      <c r="P460" s="29"/>
      <c r="Q460" s="29"/>
      <c r="R460" s="38" t="e">
        <v>#VALUE!</v>
      </c>
      <c r="S460" s="29"/>
      <c r="T460" s="29"/>
      <c r="U460" s="31"/>
    </row>
    <row r="461">
      <c r="A461" s="31"/>
      <c r="B461" s="32">
        <v>45723.0</v>
      </c>
      <c r="C461" s="33" t="s">
        <v>30</v>
      </c>
      <c r="D461" s="33" t="s">
        <v>493</v>
      </c>
      <c r="E461" s="33" t="s">
        <v>588</v>
      </c>
      <c r="F461" s="35"/>
      <c r="G461" s="33" t="s">
        <v>589</v>
      </c>
      <c r="H461" s="33" t="s">
        <v>590</v>
      </c>
      <c r="I461" s="34" t="s">
        <v>78</v>
      </c>
      <c r="J461" s="33" t="s">
        <v>591</v>
      </c>
      <c r="K461" s="33" t="s">
        <v>19</v>
      </c>
      <c r="L461" s="35"/>
      <c r="M461" s="35"/>
      <c r="N461" s="35"/>
      <c r="O461" s="42"/>
      <c r="P461" s="35"/>
      <c r="Q461" s="35"/>
      <c r="R461" s="33" t="e">
        <v>#VALUE!</v>
      </c>
      <c r="S461" s="35"/>
      <c r="T461" s="35"/>
      <c r="U461" s="31"/>
    </row>
    <row r="462">
      <c r="A462" s="31"/>
      <c r="B462" s="37">
        <v>45723.0</v>
      </c>
      <c r="C462" s="38" t="s">
        <v>30</v>
      </c>
      <c r="D462" s="38" t="s">
        <v>493</v>
      </c>
      <c r="E462" s="38" t="s">
        <v>588</v>
      </c>
      <c r="F462" s="29"/>
      <c r="G462" s="38" t="s">
        <v>581</v>
      </c>
      <c r="H462" s="38">
        <v>8.800240238827E12</v>
      </c>
      <c r="I462" s="41" t="s">
        <v>78</v>
      </c>
      <c r="J462" s="29"/>
      <c r="K462" s="38" t="s">
        <v>11</v>
      </c>
      <c r="L462" s="29"/>
      <c r="M462" s="29"/>
      <c r="N462" s="29"/>
      <c r="O462" s="43"/>
      <c r="P462" s="29"/>
      <c r="Q462" s="29"/>
      <c r="R462" s="38" t="e">
        <v>#VALUE!</v>
      </c>
      <c r="S462" s="29"/>
      <c r="T462" s="29"/>
      <c r="U462" s="31"/>
    </row>
    <row r="463">
      <c r="A463" s="31"/>
      <c r="B463" s="32">
        <v>45723.0</v>
      </c>
      <c r="C463" s="33" t="s">
        <v>30</v>
      </c>
      <c r="D463" s="33" t="s">
        <v>493</v>
      </c>
      <c r="E463" s="33" t="s">
        <v>588</v>
      </c>
      <c r="F463" s="35"/>
      <c r="G463" s="33" t="s">
        <v>581</v>
      </c>
      <c r="H463" s="33">
        <v>8.800240238834E12</v>
      </c>
      <c r="I463" s="34" t="s">
        <v>78</v>
      </c>
      <c r="J463" s="35"/>
      <c r="K463" s="33" t="s">
        <v>11</v>
      </c>
      <c r="L463" s="35"/>
      <c r="M463" s="35"/>
      <c r="N463" s="35"/>
      <c r="O463" s="42"/>
      <c r="P463" s="35"/>
      <c r="Q463" s="35"/>
      <c r="R463" s="33" t="e">
        <v>#VALUE!</v>
      </c>
      <c r="S463" s="35"/>
      <c r="T463" s="35"/>
      <c r="U463" s="31"/>
    </row>
    <row r="464">
      <c r="A464" s="31"/>
      <c r="B464" s="37">
        <v>45727.0</v>
      </c>
      <c r="C464" s="38" t="s">
        <v>30</v>
      </c>
      <c r="D464" s="38" t="s">
        <v>42</v>
      </c>
      <c r="E464" s="38" t="s">
        <v>270</v>
      </c>
      <c r="F464" s="38" t="s">
        <v>84</v>
      </c>
      <c r="G464" s="38" t="s">
        <v>156</v>
      </c>
      <c r="H464" s="38" t="s">
        <v>592</v>
      </c>
      <c r="I464" s="41" t="s">
        <v>88</v>
      </c>
      <c r="J464" s="29"/>
      <c r="K464" s="29"/>
      <c r="L464" s="29"/>
      <c r="M464" s="29"/>
      <c r="N464" s="29"/>
      <c r="O464" s="43"/>
      <c r="P464" s="29"/>
      <c r="Q464" s="29"/>
      <c r="R464" s="38" t="e">
        <v>#VALUE!</v>
      </c>
      <c r="S464" s="29"/>
      <c r="T464" s="29"/>
      <c r="U464" s="31"/>
    </row>
    <row r="465">
      <c r="A465" s="31"/>
      <c r="B465" s="44">
        <v>45727.0</v>
      </c>
      <c r="C465" s="33" t="s">
        <v>30</v>
      </c>
      <c r="D465" s="33" t="s">
        <v>42</v>
      </c>
      <c r="E465" s="33" t="s">
        <v>159</v>
      </c>
      <c r="F465" s="35"/>
      <c r="G465" s="35"/>
      <c r="H465" s="33" t="s">
        <v>164</v>
      </c>
      <c r="I465" s="34" t="s">
        <v>78</v>
      </c>
      <c r="J465" s="35"/>
      <c r="K465" s="35"/>
      <c r="L465" s="35"/>
      <c r="M465" s="35"/>
      <c r="N465" s="35"/>
      <c r="O465" s="42"/>
      <c r="P465" s="35"/>
      <c r="Q465" s="35"/>
      <c r="R465" s="33" t="e">
        <v>#VALUE!</v>
      </c>
      <c r="S465" s="35"/>
      <c r="T465" s="35"/>
      <c r="U465" s="31"/>
    </row>
    <row r="466">
      <c r="A466" s="31"/>
      <c r="B466" s="37">
        <v>45727.0</v>
      </c>
      <c r="C466" s="38" t="s">
        <v>30</v>
      </c>
      <c r="D466" s="38" t="s">
        <v>42</v>
      </c>
      <c r="E466" s="38" t="s">
        <v>270</v>
      </c>
      <c r="F466" s="38" t="s">
        <v>84</v>
      </c>
      <c r="G466" s="38" t="s">
        <v>156</v>
      </c>
      <c r="H466" s="38" t="s">
        <v>197</v>
      </c>
      <c r="I466" s="41" t="s">
        <v>436</v>
      </c>
      <c r="J466" s="38" t="s">
        <v>593</v>
      </c>
      <c r="K466" s="38" t="s">
        <v>11</v>
      </c>
      <c r="L466" s="29"/>
      <c r="M466" s="29"/>
      <c r="N466" s="29"/>
      <c r="O466" s="43"/>
      <c r="P466" s="29"/>
      <c r="Q466" s="29"/>
      <c r="R466" s="38" t="e">
        <v>#VALUE!</v>
      </c>
      <c r="S466" s="29"/>
      <c r="T466" s="29"/>
      <c r="U466" s="31"/>
    </row>
    <row r="467">
      <c r="A467" s="31"/>
      <c r="B467" s="32">
        <v>45727.0</v>
      </c>
      <c r="C467" s="33" t="s">
        <v>30</v>
      </c>
      <c r="D467" s="33" t="s">
        <v>42</v>
      </c>
      <c r="E467" s="33" t="s">
        <v>159</v>
      </c>
      <c r="F467" s="35"/>
      <c r="G467" s="35"/>
      <c r="H467" s="33" t="s">
        <v>161</v>
      </c>
      <c r="I467" s="34" t="s">
        <v>436</v>
      </c>
      <c r="J467" s="33" t="s">
        <v>593</v>
      </c>
      <c r="K467" s="33" t="s">
        <v>11</v>
      </c>
      <c r="L467" s="35"/>
      <c r="M467" s="35"/>
      <c r="N467" s="35"/>
      <c r="O467" s="42"/>
      <c r="P467" s="35"/>
      <c r="Q467" s="35"/>
      <c r="R467" s="33" t="e">
        <v>#VALUE!</v>
      </c>
      <c r="S467" s="35"/>
      <c r="T467" s="35"/>
      <c r="U467" s="31"/>
    </row>
    <row r="468">
      <c r="A468" s="31"/>
      <c r="B468" s="37">
        <v>45727.0</v>
      </c>
      <c r="C468" s="38" t="s">
        <v>30</v>
      </c>
      <c r="D468" s="38" t="s">
        <v>42</v>
      </c>
      <c r="E468" s="38" t="s">
        <v>159</v>
      </c>
      <c r="F468" s="29"/>
      <c r="G468" s="29"/>
      <c r="H468" s="38" t="s">
        <v>594</v>
      </c>
      <c r="I468" s="41" t="s">
        <v>88</v>
      </c>
      <c r="J468" s="29"/>
      <c r="K468" s="29"/>
      <c r="L468" s="29"/>
      <c r="M468" s="29"/>
      <c r="N468" s="29"/>
      <c r="O468" s="43"/>
      <c r="P468" s="29"/>
      <c r="Q468" s="29"/>
      <c r="R468" s="38" t="e">
        <v>#VALUE!</v>
      </c>
      <c r="S468" s="29"/>
      <c r="T468" s="29"/>
      <c r="U468" s="31"/>
    </row>
    <row r="469">
      <c r="A469" s="31"/>
      <c r="B469" s="32">
        <v>45727.0</v>
      </c>
      <c r="C469" s="33" t="s">
        <v>30</v>
      </c>
      <c r="D469" s="33" t="s">
        <v>42</v>
      </c>
      <c r="E469" s="33" t="s">
        <v>595</v>
      </c>
      <c r="F469" s="33" t="s">
        <v>84</v>
      </c>
      <c r="G469" s="33" t="s">
        <v>156</v>
      </c>
      <c r="H469" s="33" t="s">
        <v>596</v>
      </c>
      <c r="I469" s="34" t="s">
        <v>78</v>
      </c>
      <c r="J469" s="35"/>
      <c r="K469" s="35"/>
      <c r="L469" s="35"/>
      <c r="M469" s="35"/>
      <c r="N469" s="35"/>
      <c r="O469" s="42"/>
      <c r="P469" s="35"/>
      <c r="Q469" s="35"/>
      <c r="R469" s="33" t="e">
        <v>#VALUE!</v>
      </c>
      <c r="S469" s="35"/>
      <c r="T469" s="35"/>
      <c r="U469" s="31"/>
    </row>
    <row r="470">
      <c r="A470" s="31"/>
      <c r="B470" s="37">
        <v>45727.0</v>
      </c>
      <c r="C470" s="38" t="s">
        <v>30</v>
      </c>
      <c r="D470" s="38" t="s">
        <v>42</v>
      </c>
      <c r="E470" s="38" t="s">
        <v>595</v>
      </c>
      <c r="F470" s="38" t="s">
        <v>84</v>
      </c>
      <c r="G470" s="38" t="s">
        <v>156</v>
      </c>
      <c r="H470" s="38" t="s">
        <v>157</v>
      </c>
      <c r="I470" s="41" t="s">
        <v>78</v>
      </c>
      <c r="J470" s="29"/>
      <c r="K470" s="29"/>
      <c r="L470" s="29"/>
      <c r="M470" s="29"/>
      <c r="N470" s="29"/>
      <c r="O470" s="43"/>
      <c r="P470" s="29"/>
      <c r="Q470" s="29"/>
      <c r="R470" s="38" t="e">
        <v>#VALUE!</v>
      </c>
      <c r="S470" s="29"/>
      <c r="T470" s="29"/>
      <c r="U470" s="31"/>
    </row>
    <row r="471">
      <c r="A471" s="31"/>
      <c r="B471" s="32">
        <v>45727.0</v>
      </c>
      <c r="C471" s="33" t="s">
        <v>30</v>
      </c>
      <c r="D471" s="33" t="s">
        <v>42</v>
      </c>
      <c r="E471" s="33" t="s">
        <v>270</v>
      </c>
      <c r="F471" s="33" t="s">
        <v>84</v>
      </c>
      <c r="G471" s="33" t="s">
        <v>156</v>
      </c>
      <c r="H471" s="33" t="s">
        <v>271</v>
      </c>
      <c r="I471" s="34" t="s">
        <v>78</v>
      </c>
      <c r="J471" s="35"/>
      <c r="K471" s="35"/>
      <c r="L471" s="35"/>
      <c r="M471" s="35"/>
      <c r="N471" s="35"/>
      <c r="O471" s="42"/>
      <c r="P471" s="35"/>
      <c r="Q471" s="35"/>
      <c r="R471" s="33" t="e">
        <v>#VALUE!</v>
      </c>
      <c r="S471" s="35"/>
      <c r="T471" s="35"/>
      <c r="U471" s="31"/>
    </row>
    <row r="472">
      <c r="A472" s="31"/>
      <c r="B472" s="37">
        <v>45727.0</v>
      </c>
      <c r="C472" s="38" t="s">
        <v>30</v>
      </c>
      <c r="D472" s="38" t="s">
        <v>42</v>
      </c>
      <c r="E472" s="38" t="s">
        <v>270</v>
      </c>
      <c r="F472" s="38" t="s">
        <v>84</v>
      </c>
      <c r="G472" s="38" t="s">
        <v>156</v>
      </c>
      <c r="H472" s="38" t="s">
        <v>597</v>
      </c>
      <c r="I472" s="41" t="s">
        <v>78</v>
      </c>
      <c r="J472" s="29"/>
      <c r="K472" s="29"/>
      <c r="L472" s="29"/>
      <c r="M472" s="29"/>
      <c r="N472" s="29"/>
      <c r="O472" s="43"/>
      <c r="P472" s="29"/>
      <c r="Q472" s="29"/>
      <c r="R472" s="38" t="e">
        <v>#VALUE!</v>
      </c>
      <c r="S472" s="29"/>
      <c r="T472" s="29"/>
      <c r="U472" s="31"/>
    </row>
    <row r="473">
      <c r="A473" s="31"/>
      <c r="B473" s="32">
        <v>45727.0</v>
      </c>
      <c r="C473" s="33" t="s">
        <v>30</v>
      </c>
      <c r="D473" s="33" t="s">
        <v>493</v>
      </c>
      <c r="E473" s="33" t="s">
        <v>598</v>
      </c>
      <c r="F473" s="35"/>
      <c r="G473" s="33" t="s">
        <v>111</v>
      </c>
      <c r="H473" s="33" t="s">
        <v>599</v>
      </c>
      <c r="I473" s="34" t="s">
        <v>78</v>
      </c>
      <c r="J473" s="35"/>
      <c r="K473" s="35"/>
      <c r="L473" s="35"/>
      <c r="M473" s="35"/>
      <c r="N473" s="35"/>
      <c r="O473" s="42"/>
      <c r="P473" s="35"/>
      <c r="Q473" s="35"/>
      <c r="R473" s="33" t="e">
        <v>#VALUE!</v>
      </c>
      <c r="S473" s="35"/>
      <c r="T473" s="35"/>
      <c r="U473" s="31"/>
    </row>
    <row r="474">
      <c r="A474" s="31"/>
      <c r="B474" s="37">
        <v>45727.0</v>
      </c>
      <c r="C474" s="38" t="s">
        <v>30</v>
      </c>
      <c r="D474" s="38" t="s">
        <v>493</v>
      </c>
      <c r="E474" s="38" t="s">
        <v>600</v>
      </c>
      <c r="F474" s="29"/>
      <c r="G474" s="38" t="s">
        <v>280</v>
      </c>
      <c r="H474" s="38" t="s">
        <v>601</v>
      </c>
      <c r="I474" s="41" t="s">
        <v>88</v>
      </c>
      <c r="J474" s="29"/>
      <c r="K474" s="29"/>
      <c r="L474" s="29"/>
      <c r="M474" s="29"/>
      <c r="N474" s="29"/>
      <c r="O474" s="43"/>
      <c r="P474" s="29"/>
      <c r="Q474" s="29"/>
      <c r="R474" s="38" t="e">
        <v>#VALUE!</v>
      </c>
      <c r="S474" s="29"/>
      <c r="T474" s="29"/>
      <c r="U474" s="31"/>
    </row>
    <row r="475">
      <c r="A475" s="31"/>
      <c r="B475" s="32">
        <v>45727.0</v>
      </c>
      <c r="C475" s="33" t="s">
        <v>30</v>
      </c>
      <c r="D475" s="33" t="s">
        <v>493</v>
      </c>
      <c r="E475" s="33" t="s">
        <v>602</v>
      </c>
      <c r="F475" s="35"/>
      <c r="G475" s="33" t="s">
        <v>169</v>
      </c>
      <c r="H475" s="33" t="s">
        <v>603</v>
      </c>
      <c r="I475" s="34" t="s">
        <v>78</v>
      </c>
      <c r="J475" s="35"/>
      <c r="K475" s="35"/>
      <c r="L475" s="35"/>
      <c r="M475" s="35"/>
      <c r="N475" s="35"/>
      <c r="O475" s="42"/>
      <c r="P475" s="35"/>
      <c r="Q475" s="35"/>
      <c r="R475" s="33" t="e">
        <v>#VALUE!</v>
      </c>
      <c r="S475" s="35"/>
      <c r="T475" s="35"/>
      <c r="U475" s="31"/>
    </row>
    <row r="476">
      <c r="A476" s="31"/>
      <c r="B476" s="37">
        <v>45727.0</v>
      </c>
      <c r="C476" s="38" t="s">
        <v>30</v>
      </c>
      <c r="D476" s="38" t="s">
        <v>493</v>
      </c>
      <c r="E476" s="38" t="s">
        <v>604</v>
      </c>
      <c r="F476" s="29"/>
      <c r="G476" s="38" t="s">
        <v>103</v>
      </c>
      <c r="H476" s="38" t="s">
        <v>605</v>
      </c>
      <c r="I476" s="41" t="s">
        <v>78</v>
      </c>
      <c r="J476" s="29"/>
      <c r="K476" s="29"/>
      <c r="L476" s="29"/>
      <c r="M476" s="29"/>
      <c r="N476" s="29"/>
      <c r="O476" s="43"/>
      <c r="P476" s="29"/>
      <c r="Q476" s="29"/>
      <c r="R476" s="38" t="e">
        <v>#VALUE!</v>
      </c>
      <c r="S476" s="29"/>
      <c r="T476" s="29"/>
      <c r="U476" s="31"/>
    </row>
    <row r="477">
      <c r="A477" s="31"/>
      <c r="B477" s="32">
        <v>45727.0</v>
      </c>
      <c r="C477" s="33" t="s">
        <v>30</v>
      </c>
      <c r="D477" s="33" t="s">
        <v>493</v>
      </c>
      <c r="E477" s="33" t="s">
        <v>604</v>
      </c>
      <c r="F477" s="35"/>
      <c r="G477" s="33" t="s">
        <v>340</v>
      </c>
      <c r="H477" s="33" t="s">
        <v>606</v>
      </c>
      <c r="I477" s="34" t="s">
        <v>88</v>
      </c>
      <c r="J477" s="35"/>
      <c r="K477" s="35"/>
      <c r="L477" s="35"/>
      <c r="M477" s="35"/>
      <c r="N477" s="35"/>
      <c r="O477" s="42"/>
      <c r="P477" s="35"/>
      <c r="Q477" s="35"/>
      <c r="R477" s="33" t="e">
        <v>#VALUE!</v>
      </c>
      <c r="S477" s="35"/>
      <c r="T477" s="35"/>
      <c r="U477" s="31"/>
    </row>
    <row r="478">
      <c r="A478" s="31"/>
      <c r="B478" s="37">
        <v>45727.0</v>
      </c>
      <c r="C478" s="38" t="s">
        <v>30</v>
      </c>
      <c r="D478" s="38" t="s">
        <v>493</v>
      </c>
      <c r="E478" s="38" t="s">
        <v>604</v>
      </c>
      <c r="F478" s="29"/>
      <c r="G478" s="38" t="s">
        <v>284</v>
      </c>
      <c r="H478" s="38" t="s">
        <v>607</v>
      </c>
      <c r="I478" s="41" t="s">
        <v>78</v>
      </c>
      <c r="J478" s="29"/>
      <c r="K478" s="29"/>
      <c r="L478" s="29"/>
      <c r="M478" s="29"/>
      <c r="N478" s="29"/>
      <c r="O478" s="43"/>
      <c r="P478" s="29"/>
      <c r="Q478" s="29"/>
      <c r="R478" s="38" t="e">
        <v>#VALUE!</v>
      </c>
      <c r="S478" s="29"/>
      <c r="T478" s="29"/>
      <c r="U478" s="31"/>
    </row>
    <row r="479">
      <c r="A479" s="31"/>
      <c r="B479" s="32">
        <v>45727.0</v>
      </c>
      <c r="C479" s="33" t="s">
        <v>30</v>
      </c>
      <c r="D479" s="33" t="s">
        <v>493</v>
      </c>
      <c r="E479" s="33" t="s">
        <v>600</v>
      </c>
      <c r="F479" s="35"/>
      <c r="G479" s="33" t="s">
        <v>103</v>
      </c>
      <c r="H479" s="33" t="s">
        <v>608</v>
      </c>
      <c r="I479" s="34" t="s">
        <v>78</v>
      </c>
      <c r="J479" s="35"/>
      <c r="K479" s="35"/>
      <c r="L479" s="35"/>
      <c r="M479" s="35"/>
      <c r="N479" s="35"/>
      <c r="O479" s="42"/>
      <c r="P479" s="35"/>
      <c r="Q479" s="35"/>
      <c r="R479" s="33" t="e">
        <v>#VALUE!</v>
      </c>
      <c r="S479" s="35"/>
      <c r="T479" s="35"/>
      <c r="U479" s="31"/>
    </row>
    <row r="480">
      <c r="A480" s="31"/>
      <c r="B480" s="37">
        <v>45727.0</v>
      </c>
      <c r="C480" s="38" t="s">
        <v>30</v>
      </c>
      <c r="D480" s="38" t="s">
        <v>493</v>
      </c>
      <c r="E480" s="38" t="s">
        <v>609</v>
      </c>
      <c r="F480" s="29"/>
      <c r="G480" s="38" t="s">
        <v>136</v>
      </c>
      <c r="H480" s="38" t="s">
        <v>610</v>
      </c>
      <c r="I480" s="41" t="s">
        <v>88</v>
      </c>
      <c r="J480" s="29"/>
      <c r="K480" s="29"/>
      <c r="L480" s="29"/>
      <c r="M480" s="29"/>
      <c r="N480" s="29"/>
      <c r="O480" s="43"/>
      <c r="P480" s="29"/>
      <c r="Q480" s="29"/>
      <c r="R480" s="38" t="e">
        <v>#VALUE!</v>
      </c>
      <c r="S480" s="29"/>
      <c r="T480" s="29"/>
      <c r="U480" s="31"/>
    </row>
    <row r="481">
      <c r="A481" s="31"/>
      <c r="B481" s="32">
        <v>45727.0</v>
      </c>
      <c r="C481" s="33" t="s">
        <v>30</v>
      </c>
      <c r="D481" s="33" t="s">
        <v>493</v>
      </c>
      <c r="E481" s="33" t="s">
        <v>611</v>
      </c>
      <c r="F481" s="35"/>
      <c r="G481" s="33" t="s">
        <v>136</v>
      </c>
      <c r="H481" s="33" t="s">
        <v>612</v>
      </c>
      <c r="I481" s="34" t="s">
        <v>78</v>
      </c>
      <c r="J481" s="35"/>
      <c r="K481" s="35"/>
      <c r="L481" s="35"/>
      <c r="M481" s="35"/>
      <c r="N481" s="35"/>
      <c r="O481" s="42"/>
      <c r="P481" s="35"/>
      <c r="Q481" s="35"/>
      <c r="R481" s="33" t="e">
        <v>#VALUE!</v>
      </c>
      <c r="S481" s="35"/>
      <c r="T481" s="35"/>
      <c r="U481" s="31"/>
    </row>
    <row r="482">
      <c r="A482" s="31"/>
      <c r="B482" s="37">
        <v>45727.0</v>
      </c>
      <c r="C482" s="38" t="s">
        <v>30</v>
      </c>
      <c r="D482" s="38" t="s">
        <v>493</v>
      </c>
      <c r="E482" s="38" t="s">
        <v>609</v>
      </c>
      <c r="F482" s="29"/>
      <c r="G482" s="38" t="s">
        <v>280</v>
      </c>
      <c r="H482" s="38" t="s">
        <v>613</v>
      </c>
      <c r="I482" s="41" t="s">
        <v>88</v>
      </c>
      <c r="J482" s="29"/>
      <c r="K482" s="29"/>
      <c r="L482" s="29"/>
      <c r="M482" s="29"/>
      <c r="N482" s="29"/>
      <c r="O482" s="43"/>
      <c r="P482" s="29"/>
      <c r="Q482" s="29"/>
      <c r="R482" s="38" t="e">
        <v>#VALUE!</v>
      </c>
      <c r="S482" s="29"/>
      <c r="T482" s="29"/>
      <c r="U482" s="31"/>
    </row>
    <row r="483">
      <c r="A483" s="31"/>
      <c r="B483" s="32">
        <v>45727.0</v>
      </c>
      <c r="C483" s="33" t="s">
        <v>30</v>
      </c>
      <c r="D483" s="33" t="s">
        <v>493</v>
      </c>
      <c r="E483" s="33" t="s">
        <v>611</v>
      </c>
      <c r="F483" s="35"/>
      <c r="G483" s="33" t="s">
        <v>280</v>
      </c>
      <c r="H483" s="33" t="s">
        <v>614</v>
      </c>
      <c r="I483" s="34" t="s">
        <v>86</v>
      </c>
      <c r="J483" s="33" t="s">
        <v>591</v>
      </c>
      <c r="K483" s="35"/>
      <c r="L483" s="35"/>
      <c r="M483" s="35"/>
      <c r="N483" s="35"/>
      <c r="O483" s="42"/>
      <c r="P483" s="35"/>
      <c r="Q483" s="35"/>
      <c r="R483" s="33" t="e">
        <v>#VALUE!</v>
      </c>
      <c r="S483" s="35"/>
      <c r="T483" s="35"/>
      <c r="U483" s="31"/>
    </row>
    <row r="484">
      <c r="A484" s="31"/>
      <c r="B484" s="37">
        <v>45727.0</v>
      </c>
      <c r="C484" s="38" t="s">
        <v>30</v>
      </c>
      <c r="D484" s="38" t="s">
        <v>493</v>
      </c>
      <c r="E484" s="38" t="s">
        <v>609</v>
      </c>
      <c r="F484" s="29"/>
      <c r="G484" s="38" t="s">
        <v>103</v>
      </c>
      <c r="H484" s="38" t="s">
        <v>615</v>
      </c>
      <c r="I484" s="41" t="s">
        <v>88</v>
      </c>
      <c r="J484" s="29"/>
      <c r="K484" s="29"/>
      <c r="L484" s="29"/>
      <c r="M484" s="29"/>
      <c r="N484" s="29"/>
      <c r="O484" s="43"/>
      <c r="P484" s="29"/>
      <c r="Q484" s="29"/>
      <c r="R484" s="38" t="e">
        <v>#VALUE!</v>
      </c>
      <c r="S484" s="29"/>
      <c r="T484" s="29"/>
      <c r="U484" s="31"/>
    </row>
    <row r="485">
      <c r="A485" s="31"/>
      <c r="B485" s="32">
        <v>45727.0</v>
      </c>
      <c r="C485" s="33" t="s">
        <v>30</v>
      </c>
      <c r="D485" s="33" t="s">
        <v>493</v>
      </c>
      <c r="E485" s="33" t="s">
        <v>616</v>
      </c>
      <c r="F485" s="35"/>
      <c r="G485" s="33" t="s">
        <v>192</v>
      </c>
      <c r="H485" s="33" t="s">
        <v>617</v>
      </c>
      <c r="I485" s="34" t="s">
        <v>78</v>
      </c>
      <c r="J485" s="35"/>
      <c r="K485" s="35"/>
      <c r="L485" s="35"/>
      <c r="M485" s="35"/>
      <c r="N485" s="35"/>
      <c r="O485" s="42"/>
      <c r="P485" s="35"/>
      <c r="Q485" s="35"/>
      <c r="R485" s="33" t="e">
        <v>#VALUE!</v>
      </c>
      <c r="S485" s="35"/>
      <c r="T485" s="35"/>
      <c r="U485" s="31"/>
    </row>
    <row r="486">
      <c r="A486" s="31"/>
      <c r="B486" s="37">
        <v>45727.0</v>
      </c>
      <c r="C486" s="38" t="s">
        <v>30</v>
      </c>
      <c r="D486" s="38" t="s">
        <v>493</v>
      </c>
      <c r="E486" s="38" t="s">
        <v>618</v>
      </c>
      <c r="F486" s="29"/>
      <c r="G486" s="38" t="s">
        <v>500</v>
      </c>
      <c r="H486" s="38" t="s">
        <v>619</v>
      </c>
      <c r="I486" s="41" t="s">
        <v>86</v>
      </c>
      <c r="J486" s="38" t="s">
        <v>591</v>
      </c>
      <c r="K486" s="29"/>
      <c r="L486" s="29"/>
      <c r="M486" s="29"/>
      <c r="N486" s="29"/>
      <c r="O486" s="43"/>
      <c r="P486" s="29"/>
      <c r="Q486" s="29"/>
      <c r="R486" s="38" t="e">
        <v>#VALUE!</v>
      </c>
      <c r="S486" s="29"/>
      <c r="T486" s="29"/>
      <c r="U486" s="31"/>
    </row>
    <row r="487">
      <c r="A487" s="31"/>
      <c r="B487" s="32">
        <v>45727.0</v>
      </c>
      <c r="C487" s="33" t="s">
        <v>30</v>
      </c>
      <c r="D487" s="33" t="s">
        <v>493</v>
      </c>
      <c r="E487" s="33" t="s">
        <v>620</v>
      </c>
      <c r="F487" s="35"/>
      <c r="G487" s="33" t="s">
        <v>500</v>
      </c>
      <c r="H487" s="33" t="s">
        <v>621</v>
      </c>
      <c r="I487" s="34" t="s">
        <v>78</v>
      </c>
      <c r="J487" s="35"/>
      <c r="K487" s="35"/>
      <c r="L487" s="35"/>
      <c r="M487" s="35"/>
      <c r="N487" s="35"/>
      <c r="O487" s="42"/>
      <c r="P487" s="35"/>
      <c r="Q487" s="35"/>
      <c r="R487" s="33" t="e">
        <v>#VALUE!</v>
      </c>
      <c r="S487" s="35"/>
      <c r="T487" s="35"/>
      <c r="U487" s="31"/>
    </row>
    <row r="488">
      <c r="A488" s="31"/>
      <c r="B488" s="37">
        <v>45727.0</v>
      </c>
      <c r="C488" s="38" t="s">
        <v>30</v>
      </c>
      <c r="D488" s="38" t="s">
        <v>493</v>
      </c>
      <c r="E488" s="38" t="s">
        <v>622</v>
      </c>
      <c r="F488" s="29"/>
      <c r="G488" s="38" t="s">
        <v>169</v>
      </c>
      <c r="H488" s="38" t="s">
        <v>623</v>
      </c>
      <c r="I488" s="41" t="s">
        <v>86</v>
      </c>
      <c r="J488" s="38" t="s">
        <v>591</v>
      </c>
      <c r="K488" s="29"/>
      <c r="L488" s="29"/>
      <c r="M488" s="29"/>
      <c r="N488" s="29"/>
      <c r="O488" s="43"/>
      <c r="P488" s="29"/>
      <c r="Q488" s="29"/>
      <c r="R488" s="38" t="e">
        <v>#VALUE!</v>
      </c>
      <c r="S488" s="29"/>
      <c r="T488" s="29"/>
      <c r="U488" s="31"/>
    </row>
    <row r="489">
      <c r="A489" s="31"/>
      <c r="B489" s="32">
        <v>45727.0</v>
      </c>
      <c r="C489" s="33" t="s">
        <v>30</v>
      </c>
      <c r="D489" s="33" t="s">
        <v>493</v>
      </c>
      <c r="E489" s="33" t="s">
        <v>611</v>
      </c>
      <c r="F489" s="35"/>
      <c r="G489" s="33" t="s">
        <v>192</v>
      </c>
      <c r="H489" s="33" t="s">
        <v>624</v>
      </c>
      <c r="I489" s="34" t="s">
        <v>86</v>
      </c>
      <c r="J489" s="33" t="s">
        <v>453</v>
      </c>
      <c r="K489" s="35"/>
      <c r="L489" s="35"/>
      <c r="M489" s="35"/>
      <c r="N489" s="35"/>
      <c r="O489" s="42"/>
      <c r="P489" s="35"/>
      <c r="Q489" s="35"/>
      <c r="R489" s="33" t="e">
        <v>#VALUE!</v>
      </c>
      <c r="S489" s="35"/>
      <c r="T489" s="35"/>
      <c r="U489" s="31"/>
    </row>
    <row r="490">
      <c r="A490" s="31"/>
      <c r="B490" s="37">
        <v>45727.0</v>
      </c>
      <c r="C490" s="38" t="s">
        <v>30</v>
      </c>
      <c r="D490" s="38" t="s">
        <v>493</v>
      </c>
      <c r="E490" s="38" t="s">
        <v>616</v>
      </c>
      <c r="F490" s="29"/>
      <c r="G490" s="38" t="s">
        <v>136</v>
      </c>
      <c r="H490" s="38" t="s">
        <v>625</v>
      </c>
      <c r="I490" s="41" t="s">
        <v>88</v>
      </c>
      <c r="J490" s="29"/>
      <c r="K490" s="29"/>
      <c r="L490" s="29"/>
      <c r="M490" s="29"/>
      <c r="N490" s="29"/>
      <c r="O490" s="43"/>
      <c r="P490" s="29"/>
      <c r="Q490" s="29"/>
      <c r="R490" s="38" t="e">
        <v>#VALUE!</v>
      </c>
      <c r="S490" s="29"/>
      <c r="T490" s="29"/>
      <c r="U490" s="31"/>
    </row>
    <row r="491">
      <c r="A491" s="31"/>
      <c r="B491" s="32">
        <v>45727.0</v>
      </c>
      <c r="C491" s="33" t="s">
        <v>30</v>
      </c>
      <c r="D491" s="33" t="s">
        <v>493</v>
      </c>
      <c r="E491" s="33" t="s">
        <v>626</v>
      </c>
      <c r="F491" s="35"/>
      <c r="G491" s="33" t="s">
        <v>136</v>
      </c>
      <c r="H491" s="33" t="s">
        <v>627</v>
      </c>
      <c r="I491" s="34" t="s">
        <v>88</v>
      </c>
      <c r="J491" s="35"/>
      <c r="K491" s="35"/>
      <c r="L491" s="35"/>
      <c r="M491" s="35"/>
      <c r="N491" s="35"/>
      <c r="O491" s="42"/>
      <c r="P491" s="35"/>
      <c r="Q491" s="35"/>
      <c r="R491" s="33" t="e">
        <v>#VALUE!</v>
      </c>
      <c r="S491" s="35"/>
      <c r="T491" s="35"/>
      <c r="U491" s="31"/>
    </row>
    <row r="492">
      <c r="A492" s="31"/>
      <c r="B492" s="37">
        <v>45727.0</v>
      </c>
      <c r="C492" s="38" t="s">
        <v>30</v>
      </c>
      <c r="D492" s="38" t="s">
        <v>493</v>
      </c>
      <c r="E492" s="38" t="s">
        <v>600</v>
      </c>
      <c r="F492" s="29"/>
      <c r="G492" s="38" t="s">
        <v>340</v>
      </c>
      <c r="H492" s="38" t="s">
        <v>628</v>
      </c>
      <c r="I492" s="41" t="s">
        <v>78</v>
      </c>
      <c r="J492" s="29"/>
      <c r="K492" s="29"/>
      <c r="L492" s="29"/>
      <c r="M492" s="29"/>
      <c r="N492" s="29"/>
      <c r="O492" s="43"/>
      <c r="P492" s="29"/>
      <c r="Q492" s="29"/>
      <c r="R492" s="38" t="e">
        <v>#VALUE!</v>
      </c>
      <c r="S492" s="29"/>
      <c r="T492" s="29"/>
      <c r="U492" s="31"/>
    </row>
    <row r="493">
      <c r="A493" s="31"/>
      <c r="B493" s="32">
        <v>45727.0</v>
      </c>
      <c r="C493" s="33" t="s">
        <v>30</v>
      </c>
      <c r="D493" s="33" t="s">
        <v>493</v>
      </c>
      <c r="E493" s="33" t="s">
        <v>629</v>
      </c>
      <c r="F493" s="35"/>
      <c r="G493" s="33" t="s">
        <v>176</v>
      </c>
      <c r="H493" s="33" t="s">
        <v>630</v>
      </c>
      <c r="I493" s="34" t="s">
        <v>88</v>
      </c>
      <c r="J493" s="35"/>
      <c r="K493" s="35"/>
      <c r="L493" s="35"/>
      <c r="M493" s="35"/>
      <c r="N493" s="35"/>
      <c r="O493" s="42"/>
      <c r="P493" s="35"/>
      <c r="Q493" s="35"/>
      <c r="R493" s="33" t="e">
        <v>#VALUE!</v>
      </c>
      <c r="S493" s="35"/>
      <c r="T493" s="35"/>
      <c r="U493" s="31"/>
    </row>
    <row r="494">
      <c r="A494" s="31"/>
      <c r="B494" s="37">
        <v>45727.0</v>
      </c>
      <c r="C494" s="38" t="s">
        <v>30</v>
      </c>
      <c r="D494" s="38" t="s">
        <v>493</v>
      </c>
      <c r="E494" s="38" t="s">
        <v>618</v>
      </c>
      <c r="F494" s="29"/>
      <c r="G494" s="38" t="s">
        <v>631</v>
      </c>
      <c r="H494" s="38" t="s">
        <v>632</v>
      </c>
      <c r="I494" s="41" t="s">
        <v>86</v>
      </c>
      <c r="J494" s="38" t="s">
        <v>453</v>
      </c>
      <c r="K494" s="29"/>
      <c r="L494" s="29"/>
      <c r="M494" s="29"/>
      <c r="N494" s="29"/>
      <c r="O494" s="43"/>
      <c r="P494" s="29"/>
      <c r="Q494" s="29"/>
      <c r="R494" s="38" t="e">
        <v>#VALUE!</v>
      </c>
      <c r="S494" s="29"/>
      <c r="T494" s="29"/>
      <c r="U494" s="31"/>
    </row>
    <row r="495">
      <c r="A495" s="31"/>
      <c r="B495" s="32">
        <v>45727.0</v>
      </c>
      <c r="C495" s="33" t="s">
        <v>30</v>
      </c>
      <c r="D495" s="33" t="s">
        <v>493</v>
      </c>
      <c r="E495" s="33" t="s">
        <v>609</v>
      </c>
      <c r="F495" s="35"/>
      <c r="G495" s="33" t="s">
        <v>284</v>
      </c>
      <c r="H495" s="33" t="s">
        <v>633</v>
      </c>
      <c r="I495" s="34" t="s">
        <v>88</v>
      </c>
      <c r="J495" s="35"/>
      <c r="K495" s="35"/>
      <c r="L495" s="35"/>
      <c r="M495" s="35"/>
      <c r="N495" s="35"/>
      <c r="O495" s="42"/>
      <c r="P495" s="35"/>
      <c r="Q495" s="35"/>
      <c r="R495" s="33" t="e">
        <v>#VALUE!</v>
      </c>
      <c r="S495" s="35"/>
      <c r="T495" s="35"/>
      <c r="U495" s="31"/>
    </row>
    <row r="496">
      <c r="A496" s="31"/>
      <c r="B496" s="37">
        <v>45727.0</v>
      </c>
      <c r="C496" s="38" t="s">
        <v>30</v>
      </c>
      <c r="D496" s="38" t="s">
        <v>493</v>
      </c>
      <c r="E496" s="38" t="s">
        <v>634</v>
      </c>
      <c r="F496" s="29"/>
      <c r="G496" s="38" t="s">
        <v>169</v>
      </c>
      <c r="H496" s="38" t="s">
        <v>635</v>
      </c>
      <c r="I496" s="41" t="s">
        <v>78</v>
      </c>
      <c r="J496" s="29"/>
      <c r="K496" s="29"/>
      <c r="L496" s="29"/>
      <c r="M496" s="29"/>
      <c r="N496" s="29"/>
      <c r="O496" s="43"/>
      <c r="P496" s="29"/>
      <c r="Q496" s="29"/>
      <c r="R496" s="38" t="e">
        <v>#VALUE!</v>
      </c>
      <c r="S496" s="29"/>
      <c r="T496" s="29"/>
      <c r="U496" s="31"/>
    </row>
    <row r="497">
      <c r="A497" s="31"/>
      <c r="B497" s="32">
        <v>45727.0</v>
      </c>
      <c r="C497" s="33" t="s">
        <v>30</v>
      </c>
      <c r="D497" s="33" t="s">
        <v>493</v>
      </c>
      <c r="E497" s="33" t="s">
        <v>636</v>
      </c>
      <c r="F497" s="35"/>
      <c r="G497" s="33" t="s">
        <v>340</v>
      </c>
      <c r="H497" s="33" t="s">
        <v>637</v>
      </c>
      <c r="I497" s="34" t="s">
        <v>88</v>
      </c>
      <c r="J497" s="35"/>
      <c r="K497" s="35"/>
      <c r="L497" s="35"/>
      <c r="M497" s="35"/>
      <c r="N497" s="35"/>
      <c r="O497" s="42"/>
      <c r="P497" s="35"/>
      <c r="Q497" s="35"/>
      <c r="R497" s="33" t="e">
        <v>#VALUE!</v>
      </c>
      <c r="S497" s="35"/>
      <c r="T497" s="35"/>
      <c r="U497" s="31"/>
    </row>
    <row r="498">
      <c r="A498" s="31"/>
      <c r="B498" s="37">
        <v>45727.0</v>
      </c>
      <c r="C498" s="38" t="s">
        <v>30</v>
      </c>
      <c r="D498" s="38" t="s">
        <v>493</v>
      </c>
      <c r="E498" s="38" t="s">
        <v>604</v>
      </c>
      <c r="F498" s="29"/>
      <c r="G498" s="38" t="s">
        <v>340</v>
      </c>
      <c r="H498" s="38" t="s">
        <v>638</v>
      </c>
      <c r="I498" s="41" t="s">
        <v>78</v>
      </c>
      <c r="J498" s="29"/>
      <c r="K498" s="29"/>
      <c r="L498" s="29"/>
      <c r="M498" s="29"/>
      <c r="N498" s="29"/>
      <c r="O498" s="43"/>
      <c r="P498" s="29"/>
      <c r="Q498" s="29"/>
      <c r="R498" s="38" t="e">
        <v>#VALUE!</v>
      </c>
      <c r="S498" s="29"/>
      <c r="T498" s="29"/>
      <c r="U498" s="31"/>
    </row>
    <row r="499">
      <c r="A499" s="31"/>
      <c r="B499" s="32">
        <v>45727.0</v>
      </c>
      <c r="C499" s="33" t="s">
        <v>30</v>
      </c>
      <c r="D499" s="33" t="s">
        <v>493</v>
      </c>
      <c r="E499" s="33" t="s">
        <v>620</v>
      </c>
      <c r="F499" s="35"/>
      <c r="G499" s="33" t="s">
        <v>631</v>
      </c>
      <c r="H499" s="33" t="s">
        <v>639</v>
      </c>
      <c r="I499" s="34" t="s">
        <v>88</v>
      </c>
      <c r="J499" s="35"/>
      <c r="K499" s="35"/>
      <c r="L499" s="35"/>
      <c r="M499" s="35"/>
      <c r="N499" s="35"/>
      <c r="O499" s="42"/>
      <c r="P499" s="35"/>
      <c r="Q499" s="35"/>
      <c r="R499" s="33" t="e">
        <v>#VALUE!</v>
      </c>
      <c r="S499" s="35"/>
      <c r="T499" s="35"/>
      <c r="U499" s="31"/>
    </row>
    <row r="500">
      <c r="A500" s="31"/>
      <c r="B500" s="37">
        <v>45727.0</v>
      </c>
      <c r="C500" s="38" t="s">
        <v>30</v>
      </c>
      <c r="D500" s="38" t="s">
        <v>493</v>
      </c>
      <c r="E500" s="38" t="s">
        <v>604</v>
      </c>
      <c r="F500" s="29"/>
      <c r="G500" s="38" t="s">
        <v>280</v>
      </c>
      <c r="H500" s="38" t="s">
        <v>640</v>
      </c>
      <c r="I500" s="41" t="s">
        <v>78</v>
      </c>
      <c r="J500" s="29"/>
      <c r="K500" s="29"/>
      <c r="L500" s="29"/>
      <c r="M500" s="29"/>
      <c r="N500" s="29"/>
      <c r="O500" s="43"/>
      <c r="P500" s="29"/>
      <c r="Q500" s="29"/>
      <c r="R500" s="38" t="e">
        <v>#VALUE!</v>
      </c>
      <c r="S500" s="29"/>
      <c r="T500" s="29"/>
      <c r="U500" s="31"/>
    </row>
    <row r="501">
      <c r="A501" s="31"/>
      <c r="B501" s="32">
        <v>45727.0</v>
      </c>
      <c r="C501" s="33" t="s">
        <v>30</v>
      </c>
      <c r="D501" s="33" t="s">
        <v>493</v>
      </c>
      <c r="E501" s="33" t="s">
        <v>616</v>
      </c>
      <c r="F501" s="35"/>
      <c r="G501" s="33" t="s">
        <v>280</v>
      </c>
      <c r="H501" s="33" t="s">
        <v>641</v>
      </c>
      <c r="I501" s="34" t="s">
        <v>78</v>
      </c>
      <c r="J501" s="35"/>
      <c r="K501" s="35"/>
      <c r="L501" s="35"/>
      <c r="M501" s="35"/>
      <c r="N501" s="35"/>
      <c r="O501" s="42"/>
      <c r="P501" s="35"/>
      <c r="Q501" s="35"/>
      <c r="R501" s="33" t="e">
        <v>#VALUE!</v>
      </c>
      <c r="S501" s="35"/>
      <c r="T501" s="35"/>
      <c r="U501" s="31"/>
    </row>
    <row r="502">
      <c r="A502" s="31"/>
      <c r="B502" s="37">
        <v>45727.0</v>
      </c>
      <c r="C502" s="38" t="s">
        <v>30</v>
      </c>
      <c r="D502" s="38" t="s">
        <v>493</v>
      </c>
      <c r="E502" s="38" t="s">
        <v>600</v>
      </c>
      <c r="F502" s="29"/>
      <c r="G502" s="38" t="s">
        <v>176</v>
      </c>
      <c r="H502" s="38" t="s">
        <v>642</v>
      </c>
      <c r="I502" s="41" t="s">
        <v>88</v>
      </c>
      <c r="J502" s="29"/>
      <c r="K502" s="29"/>
      <c r="L502" s="29"/>
      <c r="M502" s="29"/>
      <c r="N502" s="29"/>
      <c r="O502" s="43"/>
      <c r="P502" s="29"/>
      <c r="Q502" s="29"/>
      <c r="R502" s="38" t="e">
        <v>#VALUE!</v>
      </c>
      <c r="S502" s="29"/>
      <c r="T502" s="29"/>
      <c r="U502" s="31"/>
    </row>
    <row r="503">
      <c r="A503" s="31"/>
      <c r="B503" s="32">
        <v>45727.0</v>
      </c>
      <c r="C503" s="33" t="s">
        <v>30</v>
      </c>
      <c r="D503" s="33" t="s">
        <v>493</v>
      </c>
      <c r="E503" s="33" t="s">
        <v>616</v>
      </c>
      <c r="F503" s="35"/>
      <c r="G503" s="33" t="s">
        <v>176</v>
      </c>
      <c r="H503" s="33" t="s">
        <v>643</v>
      </c>
      <c r="I503" s="34" t="s">
        <v>88</v>
      </c>
      <c r="J503" s="35"/>
      <c r="K503" s="35"/>
      <c r="L503" s="35"/>
      <c r="M503" s="35"/>
      <c r="N503" s="35"/>
      <c r="O503" s="42"/>
      <c r="P503" s="35"/>
      <c r="Q503" s="35"/>
      <c r="R503" s="33" t="e">
        <v>#VALUE!</v>
      </c>
      <c r="S503" s="35"/>
      <c r="T503" s="35"/>
      <c r="U503" s="31"/>
    </row>
    <row r="504">
      <c r="A504" s="31"/>
      <c r="B504" s="37">
        <v>45727.0</v>
      </c>
      <c r="C504" s="38" t="s">
        <v>30</v>
      </c>
      <c r="D504" s="38" t="s">
        <v>493</v>
      </c>
      <c r="E504" s="38" t="s">
        <v>626</v>
      </c>
      <c r="F504" s="29"/>
      <c r="G504" s="38" t="s">
        <v>280</v>
      </c>
      <c r="H504" s="38" t="s">
        <v>644</v>
      </c>
      <c r="I504" s="41" t="s">
        <v>88</v>
      </c>
      <c r="J504" s="29"/>
      <c r="K504" s="29"/>
      <c r="L504" s="29"/>
      <c r="M504" s="29"/>
      <c r="N504" s="29"/>
      <c r="O504" s="43"/>
      <c r="P504" s="29"/>
      <c r="Q504" s="29"/>
      <c r="R504" s="38" t="e">
        <v>#VALUE!</v>
      </c>
      <c r="S504" s="29"/>
      <c r="T504" s="29"/>
      <c r="U504" s="31"/>
    </row>
    <row r="505">
      <c r="A505" s="31"/>
      <c r="B505" s="32">
        <v>45727.0</v>
      </c>
      <c r="C505" s="33" t="s">
        <v>30</v>
      </c>
      <c r="D505" s="33" t="s">
        <v>493</v>
      </c>
      <c r="E505" s="33" t="s">
        <v>616</v>
      </c>
      <c r="F505" s="35"/>
      <c r="G505" s="33" t="s">
        <v>176</v>
      </c>
      <c r="H505" s="33" t="s">
        <v>645</v>
      </c>
      <c r="I505" s="34" t="s">
        <v>86</v>
      </c>
      <c r="J505" s="33" t="s">
        <v>453</v>
      </c>
      <c r="K505" s="35"/>
      <c r="L505" s="35"/>
      <c r="M505" s="35"/>
      <c r="N505" s="35"/>
      <c r="O505" s="42"/>
      <c r="P505" s="35"/>
      <c r="Q505" s="35"/>
      <c r="R505" s="33" t="e">
        <v>#VALUE!</v>
      </c>
      <c r="S505" s="35"/>
      <c r="T505" s="35"/>
      <c r="U505" s="31"/>
    </row>
    <row r="506">
      <c r="A506" s="31"/>
      <c r="B506" s="37">
        <v>45727.0</v>
      </c>
      <c r="C506" s="38" t="s">
        <v>30</v>
      </c>
      <c r="D506" s="38" t="s">
        <v>493</v>
      </c>
      <c r="E506" s="38" t="s">
        <v>646</v>
      </c>
      <c r="F506" s="29"/>
      <c r="G506" s="38" t="s">
        <v>500</v>
      </c>
      <c r="H506" s="38" t="s">
        <v>647</v>
      </c>
      <c r="I506" s="41" t="s">
        <v>78</v>
      </c>
      <c r="J506" s="29"/>
      <c r="K506" s="29"/>
      <c r="L506" s="29"/>
      <c r="M506" s="29"/>
      <c r="N506" s="29"/>
      <c r="O506" s="43"/>
      <c r="P506" s="29"/>
      <c r="Q506" s="29"/>
      <c r="R506" s="38" t="e">
        <v>#VALUE!</v>
      </c>
      <c r="S506" s="29"/>
      <c r="T506" s="29"/>
      <c r="U506" s="31"/>
    </row>
    <row r="507">
      <c r="A507" s="31"/>
      <c r="B507" s="32">
        <v>45727.0</v>
      </c>
      <c r="C507" s="33" t="s">
        <v>30</v>
      </c>
      <c r="D507" s="33" t="s">
        <v>493</v>
      </c>
      <c r="E507" s="33" t="s">
        <v>646</v>
      </c>
      <c r="F507" s="35"/>
      <c r="G507" s="33" t="s">
        <v>631</v>
      </c>
      <c r="H507" s="33" t="s">
        <v>648</v>
      </c>
      <c r="I507" s="34" t="s">
        <v>88</v>
      </c>
      <c r="J507" s="35"/>
      <c r="K507" s="35"/>
      <c r="L507" s="35"/>
      <c r="M507" s="35"/>
      <c r="N507" s="35"/>
      <c r="O507" s="42"/>
      <c r="P507" s="35"/>
      <c r="Q507" s="35"/>
      <c r="R507" s="33" t="e">
        <v>#VALUE!</v>
      </c>
      <c r="S507" s="35"/>
      <c r="T507" s="35"/>
      <c r="U507" s="31"/>
    </row>
    <row r="508">
      <c r="A508" s="31"/>
      <c r="B508" s="37">
        <v>45727.0</v>
      </c>
      <c r="C508" s="38" t="s">
        <v>30</v>
      </c>
      <c r="D508" s="38" t="s">
        <v>493</v>
      </c>
      <c r="E508" s="38" t="s">
        <v>600</v>
      </c>
      <c r="F508" s="29"/>
      <c r="G508" s="38" t="s">
        <v>284</v>
      </c>
      <c r="H508" s="38" t="s">
        <v>649</v>
      </c>
      <c r="I508" s="41" t="s">
        <v>88</v>
      </c>
      <c r="J508" s="29"/>
      <c r="K508" s="29"/>
      <c r="L508" s="29"/>
      <c r="M508" s="29"/>
      <c r="N508" s="29"/>
      <c r="O508" s="43"/>
      <c r="P508" s="29"/>
      <c r="Q508" s="29"/>
      <c r="R508" s="38" t="e">
        <v>#VALUE!</v>
      </c>
      <c r="S508" s="29"/>
      <c r="T508" s="29"/>
      <c r="U508" s="31"/>
    </row>
    <row r="509">
      <c r="A509" s="31"/>
      <c r="B509" s="32">
        <v>45730.0</v>
      </c>
      <c r="C509" s="33" t="s">
        <v>16</v>
      </c>
      <c r="D509" s="33" t="s">
        <v>493</v>
      </c>
      <c r="E509" s="33" t="s">
        <v>650</v>
      </c>
      <c r="F509" s="35"/>
      <c r="G509" s="33" t="s">
        <v>176</v>
      </c>
      <c r="H509" s="33" t="s">
        <v>651</v>
      </c>
      <c r="I509" s="34" t="s">
        <v>78</v>
      </c>
      <c r="J509" s="35"/>
      <c r="K509" s="33" t="s">
        <v>79</v>
      </c>
      <c r="L509" s="35"/>
      <c r="M509" s="35"/>
      <c r="N509" s="35"/>
      <c r="O509" s="42"/>
      <c r="P509" s="35"/>
      <c r="Q509" s="35"/>
      <c r="R509" s="33" t="e">
        <v>#VALUE!</v>
      </c>
      <c r="S509" s="35"/>
      <c r="T509" s="35"/>
      <c r="U509" s="31"/>
    </row>
    <row r="510">
      <c r="A510" s="31"/>
      <c r="B510" s="37">
        <v>45730.0</v>
      </c>
      <c r="C510" s="38" t="s">
        <v>16</v>
      </c>
      <c r="D510" s="38" t="s">
        <v>493</v>
      </c>
      <c r="E510" s="38" t="s">
        <v>577</v>
      </c>
      <c r="F510" s="29"/>
      <c r="G510" s="38" t="s">
        <v>169</v>
      </c>
      <c r="H510" s="38" t="s">
        <v>652</v>
      </c>
      <c r="I510" s="41" t="s">
        <v>78</v>
      </c>
      <c r="J510" s="29"/>
      <c r="K510" s="38" t="s">
        <v>79</v>
      </c>
      <c r="L510" s="29"/>
      <c r="M510" s="29"/>
      <c r="N510" s="29"/>
      <c r="O510" s="43"/>
      <c r="P510" s="29"/>
      <c r="Q510" s="29"/>
      <c r="R510" s="38" t="e">
        <v>#VALUE!</v>
      </c>
      <c r="S510" s="29"/>
      <c r="T510" s="29"/>
      <c r="U510" s="31"/>
    </row>
    <row r="511">
      <c r="A511" s="31"/>
      <c r="B511" s="32">
        <v>45730.0</v>
      </c>
      <c r="C511" s="33" t="s">
        <v>16</v>
      </c>
      <c r="D511" s="33" t="s">
        <v>31</v>
      </c>
      <c r="E511" s="33" t="s">
        <v>283</v>
      </c>
      <c r="F511" s="33" t="s">
        <v>152</v>
      </c>
      <c r="G511" s="33" t="s">
        <v>284</v>
      </c>
      <c r="H511" s="33">
        <v>3.57582382807945E14</v>
      </c>
      <c r="I511" s="34" t="s">
        <v>78</v>
      </c>
      <c r="J511" s="35"/>
      <c r="K511" s="33" t="s">
        <v>79</v>
      </c>
      <c r="L511" s="35"/>
      <c r="M511" s="35"/>
      <c r="N511" s="35"/>
      <c r="O511" s="42"/>
      <c r="P511" s="35"/>
      <c r="Q511" s="35"/>
      <c r="R511" s="33" t="e">
        <v>#VALUE!</v>
      </c>
      <c r="S511" s="35"/>
      <c r="T511" s="35"/>
      <c r="U511" s="31"/>
    </row>
    <row r="512">
      <c r="A512" s="31"/>
      <c r="B512" s="37">
        <v>45730.0</v>
      </c>
      <c r="C512" s="38" t="s">
        <v>16</v>
      </c>
      <c r="D512" s="38" t="s">
        <v>493</v>
      </c>
      <c r="E512" s="38" t="s">
        <v>650</v>
      </c>
      <c r="F512" s="29"/>
      <c r="G512" s="38" t="s">
        <v>176</v>
      </c>
      <c r="H512" s="38" t="s">
        <v>653</v>
      </c>
      <c r="I512" s="41" t="s">
        <v>78</v>
      </c>
      <c r="J512" s="29"/>
      <c r="K512" s="38" t="s">
        <v>79</v>
      </c>
      <c r="L512" s="29"/>
      <c r="M512" s="29"/>
      <c r="N512" s="29"/>
      <c r="O512" s="43"/>
      <c r="P512" s="29"/>
      <c r="Q512" s="29"/>
      <c r="R512" s="38" t="e">
        <v>#VALUE!</v>
      </c>
      <c r="S512" s="29"/>
      <c r="T512" s="29"/>
      <c r="U512" s="31"/>
    </row>
    <row r="513">
      <c r="A513" s="31"/>
      <c r="B513" s="32">
        <v>45730.0</v>
      </c>
      <c r="C513" s="33" t="s">
        <v>16</v>
      </c>
      <c r="D513" s="33" t="s">
        <v>493</v>
      </c>
      <c r="E513" s="33" t="s">
        <v>577</v>
      </c>
      <c r="F513" s="35"/>
      <c r="G513" s="33" t="s">
        <v>169</v>
      </c>
      <c r="H513" s="33" t="s">
        <v>654</v>
      </c>
      <c r="I513" s="34" t="s">
        <v>78</v>
      </c>
      <c r="J513" s="35"/>
      <c r="K513" s="33" t="s">
        <v>79</v>
      </c>
      <c r="L513" s="35"/>
      <c r="M513" s="35"/>
      <c r="N513" s="35"/>
      <c r="O513" s="42"/>
      <c r="P513" s="35"/>
      <c r="Q513" s="35"/>
      <c r="R513" s="33" t="e">
        <v>#VALUE!</v>
      </c>
      <c r="S513" s="35"/>
      <c r="T513" s="35"/>
      <c r="U513" s="31"/>
    </row>
    <row r="514">
      <c r="A514" s="31"/>
      <c r="B514" s="37">
        <v>45730.0</v>
      </c>
      <c r="C514" s="38" t="s">
        <v>16</v>
      </c>
      <c r="D514" s="38" t="s">
        <v>31</v>
      </c>
      <c r="E514" s="38" t="s">
        <v>283</v>
      </c>
      <c r="F514" s="38" t="s">
        <v>152</v>
      </c>
      <c r="G514" s="38" t="s">
        <v>136</v>
      </c>
      <c r="H514" s="38">
        <v>3.57582382830707E14</v>
      </c>
      <c r="I514" s="41" t="s">
        <v>78</v>
      </c>
      <c r="J514" s="29"/>
      <c r="K514" s="38" t="s">
        <v>79</v>
      </c>
      <c r="L514" s="29"/>
      <c r="M514" s="29"/>
      <c r="N514" s="29"/>
      <c r="O514" s="43"/>
      <c r="P514" s="29"/>
      <c r="Q514" s="29"/>
      <c r="R514" s="38" t="e">
        <v>#VALUE!</v>
      </c>
      <c r="S514" s="29"/>
      <c r="T514" s="29"/>
      <c r="U514" s="31"/>
    </row>
    <row r="515">
      <c r="A515" s="31"/>
      <c r="B515" s="32">
        <v>45730.0</v>
      </c>
      <c r="C515" s="33" t="s">
        <v>16</v>
      </c>
      <c r="D515" s="33" t="s">
        <v>493</v>
      </c>
      <c r="E515" s="33" t="s">
        <v>650</v>
      </c>
      <c r="F515" s="35"/>
      <c r="G515" s="33" t="s">
        <v>176</v>
      </c>
      <c r="H515" s="33" t="s">
        <v>655</v>
      </c>
      <c r="I515" s="34" t="s">
        <v>78</v>
      </c>
      <c r="J515" s="35"/>
      <c r="K515" s="33" t="s">
        <v>79</v>
      </c>
      <c r="L515" s="35"/>
      <c r="M515" s="35"/>
      <c r="N515" s="35"/>
      <c r="O515" s="42"/>
      <c r="P515" s="35"/>
      <c r="Q515" s="35"/>
      <c r="R515" s="33" t="e">
        <v>#VALUE!</v>
      </c>
      <c r="S515" s="35"/>
      <c r="T515" s="35"/>
      <c r="U515" s="31"/>
    </row>
    <row r="516">
      <c r="A516" s="31"/>
      <c r="B516" s="37">
        <v>45730.0</v>
      </c>
      <c r="C516" s="38" t="s">
        <v>16</v>
      </c>
      <c r="D516" s="38" t="s">
        <v>493</v>
      </c>
      <c r="E516" s="38" t="s">
        <v>577</v>
      </c>
      <c r="F516" s="29"/>
      <c r="G516" s="38" t="s">
        <v>169</v>
      </c>
      <c r="H516" s="38" t="s">
        <v>656</v>
      </c>
      <c r="I516" s="41" t="s">
        <v>78</v>
      </c>
      <c r="J516" s="29"/>
      <c r="K516" s="38" t="s">
        <v>79</v>
      </c>
      <c r="L516" s="29"/>
      <c r="M516" s="29"/>
      <c r="N516" s="29"/>
      <c r="O516" s="43"/>
      <c r="P516" s="29"/>
      <c r="Q516" s="29"/>
      <c r="R516" s="38" t="e">
        <v>#VALUE!</v>
      </c>
      <c r="S516" s="29"/>
      <c r="T516" s="29"/>
      <c r="U516" s="31"/>
    </row>
    <row r="517">
      <c r="A517" s="31"/>
      <c r="B517" s="32">
        <v>45730.0</v>
      </c>
      <c r="C517" s="33" t="s">
        <v>16</v>
      </c>
      <c r="D517" s="33" t="s">
        <v>31</v>
      </c>
      <c r="E517" s="33" t="s">
        <v>283</v>
      </c>
      <c r="F517" s="33" t="s">
        <v>152</v>
      </c>
      <c r="G517" s="33" t="s">
        <v>284</v>
      </c>
      <c r="H517" s="33">
        <v>3.57582382817423E14</v>
      </c>
      <c r="I517" s="34" t="s">
        <v>86</v>
      </c>
      <c r="J517" s="33" t="s">
        <v>657</v>
      </c>
      <c r="K517" s="33" t="s">
        <v>79</v>
      </c>
      <c r="L517" s="35"/>
      <c r="M517" s="35"/>
      <c r="N517" s="35"/>
      <c r="O517" s="42"/>
      <c r="P517" s="35"/>
      <c r="Q517" s="35"/>
      <c r="R517" s="33" t="e">
        <v>#VALUE!</v>
      </c>
      <c r="S517" s="35"/>
      <c r="T517" s="35"/>
      <c r="U517" s="31"/>
    </row>
    <row r="518">
      <c r="A518" s="31"/>
      <c r="B518" s="37">
        <v>45730.0</v>
      </c>
      <c r="C518" s="38" t="s">
        <v>16</v>
      </c>
      <c r="D518" s="38" t="s">
        <v>31</v>
      </c>
      <c r="E518" s="38" t="s">
        <v>283</v>
      </c>
      <c r="F518" s="38" t="s">
        <v>152</v>
      </c>
      <c r="G518" s="38" t="s">
        <v>284</v>
      </c>
      <c r="H518" s="38">
        <v>3.57582382813901E14</v>
      </c>
      <c r="I518" s="41" t="s">
        <v>86</v>
      </c>
      <c r="J518" s="38" t="s">
        <v>658</v>
      </c>
      <c r="K518" s="38" t="s">
        <v>375</v>
      </c>
      <c r="L518" s="29"/>
      <c r="M518" s="29"/>
      <c r="N518" s="29"/>
      <c r="O518" s="43"/>
      <c r="P518" s="29"/>
      <c r="Q518" s="29"/>
      <c r="R518" s="38" t="e">
        <v>#VALUE!</v>
      </c>
      <c r="S518" s="29"/>
      <c r="T518" s="29"/>
      <c r="U518" s="31"/>
    </row>
    <row r="519">
      <c r="A519" s="31"/>
      <c r="B519" s="32">
        <v>45730.0</v>
      </c>
      <c r="C519" s="33" t="s">
        <v>16</v>
      </c>
      <c r="D519" s="33" t="s">
        <v>31</v>
      </c>
      <c r="E519" s="33" t="s">
        <v>283</v>
      </c>
      <c r="F519" s="33" t="s">
        <v>152</v>
      </c>
      <c r="G519" s="33" t="s">
        <v>136</v>
      </c>
      <c r="H519" s="33">
        <v>3.57582382841753E14</v>
      </c>
      <c r="I519" s="34" t="s">
        <v>86</v>
      </c>
      <c r="J519" s="33" t="s">
        <v>659</v>
      </c>
      <c r="K519" s="33" t="s">
        <v>375</v>
      </c>
      <c r="L519" s="35"/>
      <c r="M519" s="35"/>
      <c r="N519" s="35"/>
      <c r="O519" s="42"/>
      <c r="P519" s="35"/>
      <c r="Q519" s="35"/>
      <c r="R519" s="33" t="e">
        <v>#VALUE!</v>
      </c>
      <c r="S519" s="35"/>
      <c r="T519" s="35"/>
      <c r="U519" s="31"/>
    </row>
    <row r="520">
      <c r="A520" s="31"/>
      <c r="B520" s="37">
        <v>45733.0</v>
      </c>
      <c r="C520" s="38" t="s">
        <v>16</v>
      </c>
      <c r="D520" s="38" t="s">
        <v>31</v>
      </c>
      <c r="E520" s="38" t="s">
        <v>283</v>
      </c>
      <c r="F520" s="38" t="s">
        <v>152</v>
      </c>
      <c r="G520" s="38" t="s">
        <v>136</v>
      </c>
      <c r="H520" s="38">
        <v>3.57582382747968E14</v>
      </c>
      <c r="I520" s="41" t="s">
        <v>86</v>
      </c>
      <c r="J520" s="38" t="s">
        <v>660</v>
      </c>
      <c r="K520" s="38" t="s">
        <v>375</v>
      </c>
      <c r="L520" s="29"/>
      <c r="M520" s="29"/>
      <c r="N520" s="29"/>
      <c r="O520" s="43"/>
      <c r="P520" s="29"/>
      <c r="Q520" s="29"/>
      <c r="R520" s="38" t="e">
        <v>#VALUE!</v>
      </c>
      <c r="S520" s="29"/>
      <c r="T520" s="29"/>
      <c r="U520" s="31"/>
    </row>
    <row r="521">
      <c r="A521" s="31"/>
      <c r="B521" s="32">
        <v>45735.0</v>
      </c>
      <c r="C521" s="33" t="s">
        <v>30</v>
      </c>
      <c r="D521" s="33" t="s">
        <v>661</v>
      </c>
      <c r="E521" s="33" t="s">
        <v>343</v>
      </c>
      <c r="F521" s="33" t="s">
        <v>84</v>
      </c>
      <c r="G521" s="33" t="s">
        <v>382</v>
      </c>
      <c r="H521" s="33">
        <v>2.5290154003602E14</v>
      </c>
      <c r="I521" s="34" t="s">
        <v>78</v>
      </c>
      <c r="J521" s="35"/>
      <c r="K521" s="33" t="s">
        <v>79</v>
      </c>
      <c r="L521" s="35"/>
      <c r="M521" s="35"/>
      <c r="N521" s="35"/>
      <c r="O521" s="42"/>
      <c r="P521" s="35"/>
      <c r="Q521" s="35"/>
      <c r="R521" s="33" t="e">
        <v>#VALUE!</v>
      </c>
      <c r="S521" s="35"/>
      <c r="T521" s="35"/>
      <c r="U521" s="31"/>
    </row>
    <row r="522">
      <c r="A522" s="31"/>
      <c r="B522" s="37">
        <v>45735.0</v>
      </c>
      <c r="C522" s="38" t="s">
        <v>30</v>
      </c>
      <c r="D522" s="38" t="s">
        <v>661</v>
      </c>
      <c r="E522" s="38" t="s">
        <v>343</v>
      </c>
      <c r="F522" s="38" t="s">
        <v>84</v>
      </c>
      <c r="G522" s="38" t="s">
        <v>382</v>
      </c>
      <c r="H522" s="38">
        <v>3.52901540035998E14</v>
      </c>
      <c r="I522" s="41" t="s">
        <v>78</v>
      </c>
      <c r="J522" s="29"/>
      <c r="K522" s="38" t="s">
        <v>79</v>
      </c>
      <c r="L522" s="29"/>
      <c r="M522" s="29"/>
      <c r="N522" s="29"/>
      <c r="O522" s="43"/>
      <c r="P522" s="29"/>
      <c r="Q522" s="29"/>
      <c r="R522" s="38" t="e">
        <v>#VALUE!</v>
      </c>
      <c r="S522" s="29"/>
      <c r="T522" s="29"/>
      <c r="U522" s="31"/>
    </row>
    <row r="523">
      <c r="A523" s="31"/>
      <c r="B523" s="32">
        <v>45735.0</v>
      </c>
      <c r="C523" s="33" t="s">
        <v>30</v>
      </c>
      <c r="D523" s="33" t="s">
        <v>661</v>
      </c>
      <c r="E523" s="33" t="s">
        <v>343</v>
      </c>
      <c r="F523" s="33" t="s">
        <v>84</v>
      </c>
      <c r="G523" s="33" t="s">
        <v>384</v>
      </c>
      <c r="H523" s="33">
        <v>3.52901540005181E14</v>
      </c>
      <c r="I523" s="34" t="s">
        <v>78</v>
      </c>
      <c r="J523" s="35"/>
      <c r="K523" s="33" t="s">
        <v>79</v>
      </c>
      <c r="L523" s="35"/>
      <c r="M523" s="35"/>
      <c r="N523" s="35"/>
      <c r="O523" s="42"/>
      <c r="P523" s="35"/>
      <c r="Q523" s="35"/>
      <c r="R523" s="33" t="e">
        <v>#VALUE!</v>
      </c>
      <c r="S523" s="35"/>
      <c r="T523" s="35"/>
      <c r="U523" s="31"/>
    </row>
    <row r="524">
      <c r="A524" s="31"/>
      <c r="B524" s="37">
        <v>45735.0</v>
      </c>
      <c r="C524" s="38" t="s">
        <v>16</v>
      </c>
      <c r="D524" s="38" t="s">
        <v>31</v>
      </c>
      <c r="E524" s="38" t="s">
        <v>662</v>
      </c>
      <c r="F524" s="38" t="s">
        <v>152</v>
      </c>
      <c r="G524" s="38" t="s">
        <v>663</v>
      </c>
      <c r="H524" s="38">
        <v>3.53456152037898E14</v>
      </c>
      <c r="I524" s="41" t="s">
        <v>86</v>
      </c>
      <c r="J524" s="38" t="s">
        <v>664</v>
      </c>
      <c r="K524" s="38" t="s">
        <v>19</v>
      </c>
      <c r="L524" s="29"/>
      <c r="M524" s="29"/>
      <c r="N524" s="29"/>
      <c r="O524" s="43"/>
      <c r="P524" s="29"/>
      <c r="Q524" s="29"/>
      <c r="R524" s="38" t="e">
        <v>#VALUE!</v>
      </c>
      <c r="S524" s="29"/>
      <c r="T524" s="29"/>
      <c r="U524" s="31"/>
    </row>
    <row r="525">
      <c r="A525" s="31"/>
      <c r="B525" s="32">
        <v>45735.0</v>
      </c>
      <c r="C525" s="33" t="s">
        <v>16</v>
      </c>
      <c r="D525" s="33" t="s">
        <v>31</v>
      </c>
      <c r="E525" s="33" t="s">
        <v>662</v>
      </c>
      <c r="F525" s="33" t="s">
        <v>152</v>
      </c>
      <c r="G525" s="33" t="s">
        <v>663</v>
      </c>
      <c r="H525" s="33">
        <v>3.53456152036361E14</v>
      </c>
      <c r="I525" s="34" t="s">
        <v>86</v>
      </c>
      <c r="J525" s="35"/>
      <c r="K525" s="35"/>
      <c r="L525" s="35"/>
      <c r="M525" s="35"/>
      <c r="N525" s="35"/>
      <c r="O525" s="42"/>
      <c r="P525" s="35"/>
      <c r="Q525" s="35"/>
      <c r="R525" s="33" t="e">
        <v>#VALUE!</v>
      </c>
      <c r="S525" s="35"/>
      <c r="T525" s="35"/>
      <c r="U525" s="31"/>
    </row>
    <row r="526">
      <c r="A526" s="31"/>
      <c r="B526" s="37">
        <v>45735.0</v>
      </c>
      <c r="C526" s="38" t="s">
        <v>16</v>
      </c>
      <c r="D526" s="38" t="s">
        <v>31</v>
      </c>
      <c r="E526" s="38" t="s">
        <v>662</v>
      </c>
      <c r="F526" s="38" t="s">
        <v>152</v>
      </c>
      <c r="G526" s="38" t="s">
        <v>665</v>
      </c>
      <c r="H526" s="38">
        <v>3.53456152000375E14</v>
      </c>
      <c r="I526" s="41" t="s">
        <v>86</v>
      </c>
      <c r="J526" s="29"/>
      <c r="K526" s="29"/>
      <c r="L526" s="29"/>
      <c r="M526" s="29"/>
      <c r="N526" s="29"/>
      <c r="O526" s="43"/>
      <c r="P526" s="29"/>
      <c r="Q526" s="29"/>
      <c r="R526" s="38" t="e">
        <v>#VALUE!</v>
      </c>
      <c r="S526" s="29"/>
      <c r="T526" s="29"/>
      <c r="U526" s="31"/>
    </row>
    <row r="527">
      <c r="A527" s="31"/>
      <c r="B527" s="32">
        <v>45735.0</v>
      </c>
      <c r="C527" s="33" t="s">
        <v>16</v>
      </c>
      <c r="D527" s="33" t="s">
        <v>31</v>
      </c>
      <c r="E527" s="33" t="s">
        <v>662</v>
      </c>
      <c r="F527" s="33" t="s">
        <v>152</v>
      </c>
      <c r="G527" s="33" t="s">
        <v>666</v>
      </c>
      <c r="H527" s="33">
        <v>3.5345615202557E14</v>
      </c>
      <c r="I527" s="34" t="s">
        <v>86</v>
      </c>
      <c r="J527" s="35"/>
      <c r="K527" s="35"/>
      <c r="L527" s="35"/>
      <c r="M527" s="35"/>
      <c r="N527" s="35"/>
      <c r="O527" s="42"/>
      <c r="P527" s="35"/>
      <c r="Q527" s="35"/>
      <c r="R527" s="33" t="e">
        <v>#VALUE!</v>
      </c>
      <c r="S527" s="35"/>
      <c r="T527" s="35"/>
      <c r="U527" s="31"/>
    </row>
    <row r="528">
      <c r="A528" s="31"/>
      <c r="B528" s="37">
        <v>45735.0</v>
      </c>
      <c r="C528" s="38" t="s">
        <v>30</v>
      </c>
      <c r="D528" s="38" t="s">
        <v>42</v>
      </c>
      <c r="E528" s="38" t="s">
        <v>667</v>
      </c>
      <c r="F528" s="29"/>
      <c r="G528" s="38" t="s">
        <v>176</v>
      </c>
      <c r="H528" s="38" t="s">
        <v>668</v>
      </c>
      <c r="I528" s="41" t="s">
        <v>78</v>
      </c>
      <c r="J528" s="29"/>
      <c r="K528" s="38" t="s">
        <v>79</v>
      </c>
      <c r="L528" s="29"/>
      <c r="M528" s="29"/>
      <c r="N528" s="29"/>
      <c r="O528" s="43"/>
      <c r="P528" s="29"/>
      <c r="Q528" s="29"/>
      <c r="R528" s="38" t="e">
        <v>#VALUE!</v>
      </c>
      <c r="S528" s="29"/>
      <c r="T528" s="29"/>
      <c r="U528" s="31"/>
    </row>
    <row r="529">
      <c r="A529" s="31"/>
      <c r="B529" s="32">
        <v>45735.0</v>
      </c>
      <c r="C529" s="33" t="s">
        <v>30</v>
      </c>
      <c r="D529" s="33" t="s">
        <v>42</v>
      </c>
      <c r="E529" s="33" t="s">
        <v>667</v>
      </c>
      <c r="F529" s="35"/>
      <c r="G529" s="33" t="s">
        <v>176</v>
      </c>
      <c r="H529" s="33" t="s">
        <v>669</v>
      </c>
      <c r="I529" s="34" t="s">
        <v>78</v>
      </c>
      <c r="J529" s="35"/>
      <c r="K529" s="33" t="s">
        <v>79</v>
      </c>
      <c r="L529" s="35"/>
      <c r="M529" s="35"/>
      <c r="N529" s="35"/>
      <c r="O529" s="42"/>
      <c r="P529" s="35"/>
      <c r="Q529" s="35"/>
      <c r="R529" s="33" t="e">
        <v>#VALUE!</v>
      </c>
      <c r="S529" s="35"/>
      <c r="T529" s="35"/>
      <c r="U529" s="31"/>
    </row>
    <row r="530">
      <c r="A530" s="31"/>
      <c r="B530" s="37">
        <v>45735.0</v>
      </c>
      <c r="C530" s="38" t="s">
        <v>30</v>
      </c>
      <c r="D530" s="38" t="s">
        <v>42</v>
      </c>
      <c r="E530" s="38" t="s">
        <v>667</v>
      </c>
      <c r="F530" s="29"/>
      <c r="G530" s="38" t="s">
        <v>176</v>
      </c>
      <c r="H530" s="38">
        <v>3.55797270030812E14</v>
      </c>
      <c r="I530" s="41" t="s">
        <v>78</v>
      </c>
      <c r="J530" s="29"/>
      <c r="K530" s="38" t="s">
        <v>79</v>
      </c>
      <c r="L530" s="29"/>
      <c r="M530" s="29"/>
      <c r="N530" s="29"/>
      <c r="O530" s="43"/>
      <c r="P530" s="29"/>
      <c r="Q530" s="29"/>
      <c r="R530" s="38" t="e">
        <v>#VALUE!</v>
      </c>
      <c r="S530" s="29"/>
      <c r="T530" s="29"/>
      <c r="U530" s="31"/>
    </row>
    <row r="531">
      <c r="A531" s="31"/>
      <c r="B531" s="32">
        <v>45735.0</v>
      </c>
      <c r="C531" s="33" t="s">
        <v>30</v>
      </c>
      <c r="D531" s="33" t="s">
        <v>42</v>
      </c>
      <c r="E531" s="33" t="s">
        <v>667</v>
      </c>
      <c r="F531" s="35"/>
      <c r="G531" s="33" t="s">
        <v>176</v>
      </c>
      <c r="H531" s="33">
        <v>3.55797270089131E14</v>
      </c>
      <c r="I531" s="34" t="s">
        <v>78</v>
      </c>
      <c r="J531" s="35"/>
      <c r="K531" s="33" t="s">
        <v>79</v>
      </c>
      <c r="L531" s="35"/>
      <c r="M531" s="35"/>
      <c r="N531" s="35"/>
      <c r="O531" s="42"/>
      <c r="P531" s="35"/>
      <c r="Q531" s="35"/>
      <c r="R531" s="33" t="e">
        <v>#VALUE!</v>
      </c>
      <c r="S531" s="35"/>
      <c r="T531" s="35"/>
      <c r="U531" s="31"/>
    </row>
    <row r="532">
      <c r="A532" s="31"/>
      <c r="B532" s="37">
        <v>45735.0</v>
      </c>
      <c r="C532" s="38" t="s">
        <v>30</v>
      </c>
      <c r="D532" s="38" t="s">
        <v>42</v>
      </c>
      <c r="E532" s="38" t="s">
        <v>667</v>
      </c>
      <c r="F532" s="29"/>
      <c r="G532" s="38" t="s">
        <v>176</v>
      </c>
      <c r="H532" s="38">
        <v>3.5579727009079E14</v>
      </c>
      <c r="I532" s="41" t="s">
        <v>78</v>
      </c>
      <c r="J532" s="29"/>
      <c r="K532" s="38" t="s">
        <v>79</v>
      </c>
      <c r="L532" s="29"/>
      <c r="M532" s="29"/>
      <c r="N532" s="29"/>
      <c r="O532" s="43"/>
      <c r="P532" s="29"/>
      <c r="Q532" s="29"/>
      <c r="R532" s="38" t="e">
        <v>#VALUE!</v>
      </c>
      <c r="S532" s="29"/>
      <c r="T532" s="29"/>
      <c r="U532" s="31"/>
    </row>
    <row r="533">
      <c r="A533" s="31"/>
      <c r="B533" s="32">
        <v>45735.0</v>
      </c>
      <c r="C533" s="33" t="s">
        <v>16</v>
      </c>
      <c r="D533" s="33" t="s">
        <v>31</v>
      </c>
      <c r="E533" s="33" t="s">
        <v>670</v>
      </c>
      <c r="F533" s="33" t="s">
        <v>152</v>
      </c>
      <c r="G533" s="33" t="s">
        <v>671</v>
      </c>
      <c r="H533" s="33">
        <v>3.57703230037085E14</v>
      </c>
      <c r="I533" s="34" t="s">
        <v>86</v>
      </c>
      <c r="J533" s="33" t="s">
        <v>672</v>
      </c>
      <c r="K533" s="33" t="s">
        <v>375</v>
      </c>
      <c r="L533" s="35"/>
      <c r="M533" s="35"/>
      <c r="N533" s="35"/>
      <c r="O533" s="42"/>
      <c r="P533" s="35"/>
      <c r="Q533" s="35"/>
      <c r="R533" s="33" t="e">
        <v>#VALUE!</v>
      </c>
      <c r="S533" s="35"/>
      <c r="T533" s="35"/>
      <c r="U533" s="31"/>
    </row>
    <row r="534">
      <c r="A534" s="31"/>
      <c r="B534" s="37">
        <v>45736.0</v>
      </c>
      <c r="C534" s="38" t="s">
        <v>16</v>
      </c>
      <c r="D534" s="38" t="s">
        <v>31</v>
      </c>
      <c r="E534" s="38" t="s">
        <v>568</v>
      </c>
      <c r="F534" s="38" t="s">
        <v>152</v>
      </c>
      <c r="G534" s="38" t="s">
        <v>176</v>
      </c>
      <c r="H534" s="38">
        <v>3.50334720074482E14</v>
      </c>
      <c r="I534" s="41" t="s">
        <v>88</v>
      </c>
      <c r="J534" s="38" t="s">
        <v>400</v>
      </c>
      <c r="K534" s="38" t="s">
        <v>11</v>
      </c>
      <c r="L534" s="29"/>
      <c r="M534" s="29"/>
      <c r="N534" s="29"/>
      <c r="O534" s="43"/>
      <c r="P534" s="29"/>
      <c r="Q534" s="29"/>
      <c r="R534" s="38" t="e">
        <v>#VALUE!</v>
      </c>
      <c r="S534" s="29"/>
      <c r="T534" s="29"/>
      <c r="U534" s="31"/>
    </row>
    <row r="535">
      <c r="A535" s="31"/>
      <c r="B535" s="32">
        <v>45736.0</v>
      </c>
      <c r="C535" s="33" t="s">
        <v>16</v>
      </c>
      <c r="D535" s="33" t="s">
        <v>31</v>
      </c>
      <c r="E535" s="33" t="s">
        <v>568</v>
      </c>
      <c r="F535" s="33" t="s">
        <v>152</v>
      </c>
      <c r="G535" s="33" t="s">
        <v>572</v>
      </c>
      <c r="H535" s="33">
        <v>3.50334720136976E14</v>
      </c>
      <c r="I535" s="34" t="s">
        <v>88</v>
      </c>
      <c r="J535" s="33" t="s">
        <v>400</v>
      </c>
      <c r="K535" s="33" t="s">
        <v>11</v>
      </c>
      <c r="L535" s="35"/>
      <c r="M535" s="35"/>
      <c r="N535" s="35"/>
      <c r="O535" s="42"/>
      <c r="P535" s="35"/>
      <c r="Q535" s="35"/>
      <c r="R535" s="33" t="e">
        <v>#VALUE!</v>
      </c>
      <c r="S535" s="35"/>
      <c r="T535" s="35"/>
      <c r="U535" s="31"/>
    </row>
    <row r="536">
      <c r="A536" s="31"/>
      <c r="B536" s="37">
        <v>45736.0</v>
      </c>
      <c r="C536" s="38" t="s">
        <v>16</v>
      </c>
      <c r="D536" s="38" t="s">
        <v>31</v>
      </c>
      <c r="E536" s="38" t="s">
        <v>568</v>
      </c>
      <c r="F536" s="38" t="s">
        <v>396</v>
      </c>
      <c r="G536" s="38" t="s">
        <v>176</v>
      </c>
      <c r="H536" s="38">
        <v>3.50033472003944E15</v>
      </c>
      <c r="I536" s="41" t="s">
        <v>78</v>
      </c>
      <c r="J536" s="29"/>
      <c r="K536" s="38" t="s">
        <v>673</v>
      </c>
      <c r="L536" s="29"/>
      <c r="M536" s="29"/>
      <c r="N536" s="29"/>
      <c r="O536" s="43"/>
      <c r="P536" s="29"/>
      <c r="Q536" s="29"/>
      <c r="R536" s="38" t="e">
        <v>#VALUE!</v>
      </c>
      <c r="S536" s="29"/>
      <c r="T536" s="29"/>
      <c r="U536" s="31"/>
    </row>
    <row r="537">
      <c r="A537" s="31"/>
      <c r="B537" s="32">
        <v>45736.0</v>
      </c>
      <c r="C537" s="33" t="s">
        <v>16</v>
      </c>
      <c r="D537" s="33" t="s">
        <v>31</v>
      </c>
      <c r="E537" s="33" t="s">
        <v>568</v>
      </c>
      <c r="F537" s="33" t="s">
        <v>396</v>
      </c>
      <c r="G537" s="33" t="s">
        <v>284</v>
      </c>
      <c r="H537" s="33">
        <v>3.50033472010839E15</v>
      </c>
      <c r="I537" s="34" t="s">
        <v>78</v>
      </c>
      <c r="J537" s="35"/>
      <c r="K537" s="33" t="s">
        <v>673</v>
      </c>
      <c r="L537" s="35"/>
      <c r="M537" s="35"/>
      <c r="N537" s="35"/>
      <c r="O537" s="42"/>
      <c r="P537" s="35"/>
      <c r="Q537" s="35"/>
      <c r="R537" s="33" t="e">
        <v>#VALUE!</v>
      </c>
      <c r="S537" s="35"/>
      <c r="T537" s="35"/>
      <c r="U537" s="31"/>
    </row>
    <row r="538">
      <c r="A538" s="31"/>
      <c r="B538" s="37">
        <v>45736.0</v>
      </c>
      <c r="C538" s="38" t="s">
        <v>30</v>
      </c>
      <c r="D538" s="38" t="s">
        <v>493</v>
      </c>
      <c r="E538" s="38" t="s">
        <v>674</v>
      </c>
      <c r="F538" s="29"/>
      <c r="G538" s="38" t="s">
        <v>581</v>
      </c>
      <c r="H538" s="38" t="s">
        <v>585</v>
      </c>
      <c r="I538" s="41" t="s">
        <v>86</v>
      </c>
      <c r="J538" s="38" t="s">
        <v>385</v>
      </c>
      <c r="K538" s="38" t="s">
        <v>19</v>
      </c>
      <c r="L538" s="29"/>
      <c r="M538" s="29"/>
      <c r="N538" s="29"/>
      <c r="O538" s="43"/>
      <c r="P538" s="29"/>
      <c r="Q538" s="29"/>
      <c r="R538" s="38" t="e">
        <v>#VALUE!</v>
      </c>
      <c r="S538" s="29"/>
      <c r="T538" s="29"/>
      <c r="U538" s="31"/>
    </row>
    <row r="539">
      <c r="A539" s="31"/>
      <c r="B539" s="32">
        <v>45736.0</v>
      </c>
      <c r="C539" s="33" t="s">
        <v>30</v>
      </c>
      <c r="D539" s="33" t="s">
        <v>493</v>
      </c>
      <c r="E539" s="33" t="s">
        <v>674</v>
      </c>
      <c r="F539" s="35"/>
      <c r="G539" s="33" t="s">
        <v>581</v>
      </c>
      <c r="H539" s="33" t="s">
        <v>582</v>
      </c>
      <c r="I539" s="34" t="s">
        <v>86</v>
      </c>
      <c r="J539" s="33" t="s">
        <v>591</v>
      </c>
      <c r="K539" s="33" t="s">
        <v>19</v>
      </c>
      <c r="L539" s="35"/>
      <c r="M539" s="35"/>
      <c r="N539" s="35"/>
      <c r="O539" s="42"/>
      <c r="P539" s="35"/>
      <c r="Q539" s="35"/>
      <c r="R539" s="33" t="e">
        <v>#VALUE!</v>
      </c>
      <c r="S539" s="35"/>
      <c r="T539" s="35"/>
      <c r="U539" s="31"/>
    </row>
    <row r="540">
      <c r="A540" s="31"/>
      <c r="B540" s="37">
        <v>45736.0</v>
      </c>
      <c r="C540" s="38" t="s">
        <v>30</v>
      </c>
      <c r="D540" s="38" t="s">
        <v>493</v>
      </c>
      <c r="E540" s="38" t="s">
        <v>674</v>
      </c>
      <c r="F540" s="29"/>
      <c r="G540" s="38" t="s">
        <v>581</v>
      </c>
      <c r="H540" s="38" t="s">
        <v>583</v>
      </c>
      <c r="I540" s="41" t="s">
        <v>86</v>
      </c>
      <c r="J540" s="38" t="s">
        <v>675</v>
      </c>
      <c r="K540" s="38" t="s">
        <v>19</v>
      </c>
      <c r="L540" s="29"/>
      <c r="M540" s="29"/>
      <c r="N540" s="29"/>
      <c r="O540" s="43"/>
      <c r="P540" s="29"/>
      <c r="Q540" s="29"/>
      <c r="R540" s="38" t="e">
        <v>#VALUE!</v>
      </c>
      <c r="S540" s="29"/>
      <c r="T540" s="29"/>
      <c r="U540" s="31"/>
    </row>
    <row r="541">
      <c r="A541" s="31"/>
      <c r="B541" s="32">
        <v>45736.0</v>
      </c>
      <c r="C541" s="33" t="s">
        <v>30</v>
      </c>
      <c r="D541" s="33" t="s">
        <v>493</v>
      </c>
      <c r="E541" s="33" t="s">
        <v>674</v>
      </c>
      <c r="F541" s="35"/>
      <c r="G541" s="33" t="s">
        <v>581</v>
      </c>
      <c r="H541" s="33" t="s">
        <v>586</v>
      </c>
      <c r="I541" s="34" t="s">
        <v>86</v>
      </c>
      <c r="J541" s="33" t="s">
        <v>676</v>
      </c>
      <c r="K541" s="33" t="s">
        <v>19</v>
      </c>
      <c r="L541" s="35"/>
      <c r="M541" s="35"/>
      <c r="N541" s="35"/>
      <c r="O541" s="42"/>
      <c r="P541" s="35"/>
      <c r="Q541" s="35"/>
      <c r="R541" s="33" t="e">
        <v>#VALUE!</v>
      </c>
      <c r="S541" s="35"/>
      <c r="T541" s="35"/>
      <c r="U541" s="31"/>
    </row>
    <row r="542">
      <c r="A542" s="31"/>
      <c r="B542" s="37">
        <v>45736.0</v>
      </c>
      <c r="C542" s="38" t="s">
        <v>128</v>
      </c>
      <c r="D542" s="38" t="s">
        <v>31</v>
      </c>
      <c r="E542" s="38" t="s">
        <v>279</v>
      </c>
      <c r="F542" s="38" t="s">
        <v>84</v>
      </c>
      <c r="G542" s="38" t="s">
        <v>415</v>
      </c>
      <c r="H542" s="38">
        <v>3.55326620016787E14</v>
      </c>
      <c r="I542" s="41" t="s">
        <v>86</v>
      </c>
      <c r="J542" s="29"/>
      <c r="K542" s="29"/>
      <c r="L542" s="29"/>
      <c r="M542" s="29"/>
      <c r="N542" s="29"/>
      <c r="O542" s="43"/>
      <c r="P542" s="29"/>
      <c r="Q542" s="29"/>
      <c r="R542" s="38" t="e">
        <v>#VALUE!</v>
      </c>
      <c r="S542" s="29"/>
      <c r="T542" s="29"/>
      <c r="U542" s="31"/>
    </row>
    <row r="543">
      <c r="A543" s="31"/>
      <c r="B543" s="44">
        <v>45736.0</v>
      </c>
      <c r="C543" s="33" t="s">
        <v>128</v>
      </c>
      <c r="D543" s="33" t="s">
        <v>31</v>
      </c>
      <c r="E543" s="33" t="s">
        <v>279</v>
      </c>
      <c r="F543" s="33" t="s">
        <v>84</v>
      </c>
      <c r="G543" s="33" t="s">
        <v>415</v>
      </c>
      <c r="H543" s="33">
        <v>3.55326620026641E14</v>
      </c>
      <c r="I543" s="34" t="s">
        <v>78</v>
      </c>
      <c r="J543" s="35"/>
      <c r="K543" s="35"/>
      <c r="L543" s="35"/>
      <c r="M543" s="35"/>
      <c r="N543" s="35"/>
      <c r="O543" s="42"/>
      <c r="P543" s="35"/>
      <c r="Q543" s="35"/>
      <c r="R543" s="33" t="e">
        <v>#VALUE!</v>
      </c>
      <c r="S543" s="35"/>
      <c r="T543" s="35"/>
      <c r="U543" s="31"/>
    </row>
    <row r="544">
      <c r="A544" s="31"/>
      <c r="B544" s="37">
        <v>45736.0</v>
      </c>
      <c r="C544" s="38" t="s">
        <v>16</v>
      </c>
      <c r="D544" s="38" t="s">
        <v>31</v>
      </c>
      <c r="E544" s="38" t="s">
        <v>568</v>
      </c>
      <c r="F544" s="38" t="s">
        <v>152</v>
      </c>
      <c r="G544" s="38" t="s">
        <v>284</v>
      </c>
      <c r="H544" s="38">
        <v>3.50334720100741E14</v>
      </c>
      <c r="I544" s="41" t="s">
        <v>88</v>
      </c>
      <c r="J544" s="38" t="s">
        <v>400</v>
      </c>
      <c r="K544" s="38" t="s">
        <v>11</v>
      </c>
      <c r="L544" s="29"/>
      <c r="M544" s="29"/>
      <c r="N544" s="29"/>
      <c r="O544" s="43"/>
      <c r="P544" s="29"/>
      <c r="Q544" s="29"/>
      <c r="R544" s="38" t="e">
        <v>#VALUE!</v>
      </c>
      <c r="S544" s="29"/>
      <c r="T544" s="29"/>
      <c r="U544" s="31"/>
    </row>
    <row r="545">
      <c r="A545" s="31"/>
      <c r="B545" s="32">
        <v>45736.0</v>
      </c>
      <c r="C545" s="33" t="s">
        <v>16</v>
      </c>
      <c r="D545" s="33" t="s">
        <v>31</v>
      </c>
      <c r="E545" s="33" t="s">
        <v>568</v>
      </c>
      <c r="F545" s="33" t="s">
        <v>152</v>
      </c>
      <c r="G545" s="33" t="s">
        <v>572</v>
      </c>
      <c r="H545" s="33">
        <v>3.50334720141208E14</v>
      </c>
      <c r="I545" s="34" t="s">
        <v>88</v>
      </c>
      <c r="J545" s="33" t="s">
        <v>400</v>
      </c>
      <c r="K545" s="33" t="s">
        <v>11</v>
      </c>
      <c r="L545" s="35"/>
      <c r="M545" s="35"/>
      <c r="N545" s="35"/>
      <c r="O545" s="42"/>
      <c r="P545" s="35"/>
      <c r="Q545" s="35"/>
      <c r="R545" s="33" t="e">
        <v>#VALUE!</v>
      </c>
      <c r="S545" s="35"/>
      <c r="T545" s="35"/>
      <c r="U545" s="31"/>
    </row>
    <row r="546">
      <c r="A546" s="31"/>
      <c r="B546" s="37">
        <v>45736.0</v>
      </c>
      <c r="C546" s="38" t="s">
        <v>16</v>
      </c>
      <c r="D546" s="38" t="s">
        <v>31</v>
      </c>
      <c r="E546" s="38" t="s">
        <v>568</v>
      </c>
      <c r="F546" s="38" t="s">
        <v>152</v>
      </c>
      <c r="G546" s="38" t="s">
        <v>284</v>
      </c>
      <c r="H546" s="38">
        <v>3.50334720108397E14</v>
      </c>
      <c r="I546" s="41" t="s">
        <v>88</v>
      </c>
      <c r="J546" s="29"/>
      <c r="K546" s="38" t="s">
        <v>11</v>
      </c>
      <c r="L546" s="29"/>
      <c r="M546" s="29"/>
      <c r="N546" s="29"/>
      <c r="O546" s="43"/>
      <c r="P546" s="29"/>
      <c r="Q546" s="29"/>
      <c r="R546" s="38" t="e">
        <v>#VALUE!</v>
      </c>
      <c r="S546" s="29"/>
      <c r="T546" s="29"/>
      <c r="U546" s="31"/>
    </row>
    <row r="547">
      <c r="A547" s="31"/>
      <c r="B547" s="32">
        <v>45736.0</v>
      </c>
      <c r="C547" s="33" t="s">
        <v>16</v>
      </c>
      <c r="D547" s="33" t="s">
        <v>31</v>
      </c>
      <c r="E547" s="33" t="s">
        <v>568</v>
      </c>
      <c r="F547" s="33" t="s">
        <v>152</v>
      </c>
      <c r="G547" s="33" t="s">
        <v>176</v>
      </c>
      <c r="H547" s="33">
        <v>3.50334720039444E14</v>
      </c>
      <c r="I547" s="34" t="s">
        <v>88</v>
      </c>
      <c r="J547" s="33" t="s">
        <v>400</v>
      </c>
      <c r="K547" s="33" t="s">
        <v>11</v>
      </c>
      <c r="L547" s="35"/>
      <c r="M547" s="35"/>
      <c r="N547" s="35"/>
      <c r="O547" s="42"/>
      <c r="P547" s="35"/>
      <c r="Q547" s="35"/>
      <c r="R547" s="33" t="e">
        <v>#VALUE!</v>
      </c>
      <c r="S547" s="35"/>
      <c r="T547" s="35"/>
      <c r="U547" s="31"/>
    </row>
    <row r="548">
      <c r="A548" s="31"/>
      <c r="B548" s="37">
        <v>45737.0</v>
      </c>
      <c r="C548" s="38" t="s">
        <v>16</v>
      </c>
      <c r="D548" s="38" t="s">
        <v>31</v>
      </c>
      <c r="E548" s="38" t="s">
        <v>670</v>
      </c>
      <c r="F548" s="38" t="s">
        <v>152</v>
      </c>
      <c r="G548" s="50" t="s">
        <v>176</v>
      </c>
      <c r="H548" s="38">
        <v>3.57703230036582E14</v>
      </c>
      <c r="I548" s="41" t="s">
        <v>78</v>
      </c>
      <c r="J548" s="29"/>
      <c r="K548" s="38" t="s">
        <v>11</v>
      </c>
      <c r="L548" s="29"/>
      <c r="M548" s="29"/>
      <c r="N548" s="29"/>
      <c r="O548" s="43"/>
      <c r="P548" s="29"/>
      <c r="Q548" s="29"/>
      <c r="R548" s="38" t="e">
        <v>#VALUE!</v>
      </c>
      <c r="S548" s="29"/>
      <c r="T548" s="29"/>
      <c r="U548" s="31"/>
    </row>
    <row r="549">
      <c r="A549" s="31"/>
      <c r="B549" s="44">
        <v>45737.0</v>
      </c>
      <c r="C549" s="33" t="s">
        <v>16</v>
      </c>
      <c r="D549" s="33" t="s">
        <v>31</v>
      </c>
      <c r="E549" s="33" t="s">
        <v>670</v>
      </c>
      <c r="F549" s="33" t="s">
        <v>152</v>
      </c>
      <c r="G549" s="33" t="s">
        <v>677</v>
      </c>
      <c r="H549" s="33">
        <v>3.5439090004323E14</v>
      </c>
      <c r="I549" s="34" t="s">
        <v>78</v>
      </c>
      <c r="J549" s="35"/>
      <c r="K549" s="33" t="s">
        <v>11</v>
      </c>
      <c r="L549" s="33" t="s">
        <v>678</v>
      </c>
      <c r="M549" s="35"/>
      <c r="N549" s="35"/>
      <c r="O549" s="42"/>
      <c r="P549" s="35"/>
      <c r="Q549" s="35"/>
      <c r="R549" s="33" t="e">
        <v>#VALUE!</v>
      </c>
      <c r="S549" s="35"/>
      <c r="T549" s="35"/>
      <c r="U549" s="31"/>
    </row>
    <row r="550">
      <c r="A550" s="31"/>
      <c r="B550" s="37">
        <v>45737.0</v>
      </c>
      <c r="C550" s="38" t="s">
        <v>16</v>
      </c>
      <c r="D550" s="38" t="s">
        <v>31</v>
      </c>
      <c r="E550" s="38" t="s">
        <v>670</v>
      </c>
      <c r="F550" s="38" t="s">
        <v>84</v>
      </c>
      <c r="G550" s="38" t="s">
        <v>679</v>
      </c>
      <c r="H550" s="38">
        <v>3.54390900003424E14</v>
      </c>
      <c r="I550" s="41" t="s">
        <v>78</v>
      </c>
      <c r="J550" s="29"/>
      <c r="K550" s="38" t="s">
        <v>11</v>
      </c>
      <c r="L550" s="29"/>
      <c r="M550" s="29"/>
      <c r="N550" s="29"/>
      <c r="O550" s="43"/>
      <c r="P550" s="29"/>
      <c r="Q550" s="29"/>
      <c r="R550" s="38" t="e">
        <v>#VALUE!</v>
      </c>
      <c r="S550" s="29"/>
      <c r="T550" s="29"/>
      <c r="U550" s="31"/>
    </row>
    <row r="551">
      <c r="A551" s="31"/>
      <c r="B551" s="32">
        <v>45737.0</v>
      </c>
      <c r="C551" s="33" t="s">
        <v>16</v>
      </c>
      <c r="D551" s="33" t="s">
        <v>31</v>
      </c>
      <c r="E551" s="33" t="s">
        <v>670</v>
      </c>
      <c r="F551" s="33" t="s">
        <v>152</v>
      </c>
      <c r="G551" s="33" t="s">
        <v>677</v>
      </c>
      <c r="H551" s="33">
        <v>3.5770323000123E14</v>
      </c>
      <c r="I551" s="34" t="s">
        <v>86</v>
      </c>
      <c r="J551" s="33" t="s">
        <v>680</v>
      </c>
      <c r="K551" s="33" t="s">
        <v>11</v>
      </c>
      <c r="L551" s="33" t="s">
        <v>678</v>
      </c>
      <c r="M551" s="35"/>
      <c r="N551" s="35"/>
      <c r="O551" s="42"/>
      <c r="P551" s="35"/>
      <c r="Q551" s="35"/>
      <c r="R551" s="33" t="e">
        <v>#VALUE!</v>
      </c>
      <c r="S551" s="35"/>
      <c r="T551" s="35"/>
      <c r="U551" s="31"/>
    </row>
    <row r="552">
      <c r="A552" s="31"/>
      <c r="B552" s="37">
        <v>45737.0</v>
      </c>
      <c r="C552" s="38" t="s">
        <v>16</v>
      </c>
      <c r="D552" s="38" t="s">
        <v>31</v>
      </c>
      <c r="E552" s="38" t="s">
        <v>670</v>
      </c>
      <c r="F552" s="38" t="s">
        <v>152</v>
      </c>
      <c r="G552" s="38" t="s">
        <v>679</v>
      </c>
      <c r="H552" s="38">
        <v>3.57703230000265E14</v>
      </c>
      <c r="I552" s="41" t="s">
        <v>86</v>
      </c>
      <c r="J552" s="38" t="s">
        <v>681</v>
      </c>
      <c r="K552" s="38" t="s">
        <v>11</v>
      </c>
      <c r="L552" s="38" t="s">
        <v>678</v>
      </c>
      <c r="M552" s="29"/>
      <c r="N552" s="29"/>
      <c r="O552" s="43"/>
      <c r="P552" s="29"/>
      <c r="Q552" s="29"/>
      <c r="R552" s="38" t="e">
        <v>#VALUE!</v>
      </c>
      <c r="S552" s="29"/>
      <c r="T552" s="29"/>
      <c r="U552" s="31"/>
    </row>
    <row r="553">
      <c r="A553" s="31"/>
      <c r="B553" s="32">
        <v>45737.0</v>
      </c>
      <c r="C553" s="33" t="s">
        <v>16</v>
      </c>
      <c r="D553" s="33" t="s">
        <v>31</v>
      </c>
      <c r="E553" s="33" t="s">
        <v>670</v>
      </c>
      <c r="F553" s="33" t="s">
        <v>84</v>
      </c>
      <c r="G553" s="33" t="s">
        <v>671</v>
      </c>
      <c r="H553" s="33">
        <v>3.54390900227965E14</v>
      </c>
      <c r="I553" s="34" t="s">
        <v>682</v>
      </c>
      <c r="J553" s="35"/>
      <c r="K553" s="33" t="s">
        <v>11</v>
      </c>
      <c r="L553" s="35"/>
      <c r="M553" s="35"/>
      <c r="N553" s="35"/>
      <c r="O553" s="42"/>
      <c r="P553" s="35"/>
      <c r="Q553" s="35"/>
      <c r="R553" s="33" t="e">
        <v>#VALUE!</v>
      </c>
      <c r="S553" s="35"/>
      <c r="T553" s="35"/>
      <c r="U553" s="31"/>
    </row>
    <row r="554">
      <c r="A554" s="31"/>
      <c r="B554" s="37">
        <v>45737.0</v>
      </c>
      <c r="C554" s="38" t="s">
        <v>16</v>
      </c>
      <c r="D554" s="38" t="s">
        <v>31</v>
      </c>
      <c r="E554" s="38" t="s">
        <v>670</v>
      </c>
      <c r="F554" s="38" t="s">
        <v>84</v>
      </c>
      <c r="G554" s="38" t="s">
        <v>683</v>
      </c>
      <c r="H554" s="38">
        <v>3.54390900027076E14</v>
      </c>
      <c r="I554" s="41" t="s">
        <v>78</v>
      </c>
      <c r="J554" s="29"/>
      <c r="K554" s="38" t="s">
        <v>11</v>
      </c>
      <c r="L554" s="29"/>
      <c r="M554" s="29"/>
      <c r="N554" s="29"/>
      <c r="O554" s="43"/>
      <c r="P554" s="29"/>
      <c r="Q554" s="29"/>
      <c r="R554" s="38" t="e">
        <v>#VALUE!</v>
      </c>
      <c r="S554" s="29"/>
      <c r="T554" s="29"/>
      <c r="U554" s="31"/>
    </row>
    <row r="555">
      <c r="A555" s="31"/>
      <c r="B555" s="32">
        <v>45737.0</v>
      </c>
      <c r="C555" s="33" t="s">
        <v>16</v>
      </c>
      <c r="D555" s="33" t="s">
        <v>31</v>
      </c>
      <c r="E555" s="33" t="s">
        <v>662</v>
      </c>
      <c r="F555" s="33" t="s">
        <v>152</v>
      </c>
      <c r="G555" s="33" t="s">
        <v>665</v>
      </c>
      <c r="H555" s="33">
        <v>3.53456152000011E14</v>
      </c>
      <c r="I555" s="34" t="s">
        <v>682</v>
      </c>
      <c r="J555" s="33" t="s">
        <v>684</v>
      </c>
      <c r="K555" s="33" t="s">
        <v>11</v>
      </c>
      <c r="L555" s="35"/>
      <c r="M555" s="35"/>
      <c r="N555" s="35"/>
      <c r="O555" s="42"/>
      <c r="P555" s="35"/>
      <c r="Q555" s="35"/>
      <c r="R555" s="33" t="e">
        <v>#VALUE!</v>
      </c>
      <c r="S555" s="35"/>
      <c r="T555" s="35"/>
      <c r="U555" s="31"/>
    </row>
    <row r="556">
      <c r="A556" s="31"/>
      <c r="B556" s="44">
        <v>45737.0</v>
      </c>
      <c r="C556" s="38" t="s">
        <v>16</v>
      </c>
      <c r="D556" s="38" t="s">
        <v>31</v>
      </c>
      <c r="E556" s="38" t="s">
        <v>412</v>
      </c>
      <c r="F556" s="38" t="s">
        <v>84</v>
      </c>
      <c r="G556" s="38" t="s">
        <v>553</v>
      </c>
      <c r="H556" s="38">
        <v>3.55326620081679E14</v>
      </c>
      <c r="I556" s="41" t="s">
        <v>78</v>
      </c>
      <c r="J556" s="29"/>
      <c r="K556" s="29"/>
      <c r="L556" s="29"/>
      <c r="M556" s="29"/>
      <c r="N556" s="29"/>
      <c r="O556" s="43"/>
      <c r="P556" s="29"/>
      <c r="Q556" s="29"/>
      <c r="R556" s="38" t="e">
        <v>#VALUE!</v>
      </c>
      <c r="S556" s="29"/>
      <c r="T556" s="29"/>
      <c r="U556" s="31"/>
    </row>
    <row r="557">
      <c r="A557" s="31"/>
      <c r="B557" s="32">
        <v>45741.0</v>
      </c>
      <c r="C557" s="33" t="s">
        <v>16</v>
      </c>
      <c r="D557" s="33" t="s">
        <v>31</v>
      </c>
      <c r="E557" s="33" t="s">
        <v>662</v>
      </c>
      <c r="F557" s="33" t="s">
        <v>152</v>
      </c>
      <c r="G557" s="33" t="s">
        <v>665</v>
      </c>
      <c r="H557" s="33">
        <v>3.53456152000516E14</v>
      </c>
      <c r="I557" s="34" t="s">
        <v>78</v>
      </c>
      <c r="J557" s="35"/>
      <c r="K557" s="33" t="s">
        <v>11</v>
      </c>
      <c r="L557" s="35"/>
      <c r="M557" s="35"/>
      <c r="N557" s="35"/>
      <c r="O557" s="42"/>
      <c r="P557" s="35"/>
      <c r="Q557" s="35"/>
      <c r="R557" s="33" t="e">
        <v>#VALUE!</v>
      </c>
      <c r="S557" s="35"/>
      <c r="T557" s="35"/>
      <c r="U557" s="31"/>
    </row>
    <row r="558">
      <c r="A558" s="31"/>
      <c r="B558" s="37">
        <v>45741.0</v>
      </c>
      <c r="C558" s="38" t="s">
        <v>16</v>
      </c>
      <c r="D558" s="38" t="s">
        <v>31</v>
      </c>
      <c r="E558" s="38" t="s">
        <v>662</v>
      </c>
      <c r="F558" s="38" t="s">
        <v>152</v>
      </c>
      <c r="G558" s="38" t="s">
        <v>666</v>
      </c>
      <c r="H558" s="38">
        <v>3.53456152033434E14</v>
      </c>
      <c r="I558" s="41" t="s">
        <v>78</v>
      </c>
      <c r="J558" s="29"/>
      <c r="K558" s="38" t="s">
        <v>11</v>
      </c>
      <c r="L558" s="38" t="s">
        <v>678</v>
      </c>
      <c r="M558" s="29"/>
      <c r="N558" s="29"/>
      <c r="O558" s="43"/>
      <c r="P558" s="29"/>
      <c r="Q558" s="29"/>
      <c r="R558" s="38" t="e">
        <v>#VALUE!</v>
      </c>
      <c r="S558" s="29"/>
      <c r="T558" s="29"/>
      <c r="U558" s="31"/>
    </row>
    <row r="559">
      <c r="A559" s="31"/>
      <c r="B559" s="32">
        <v>45741.0</v>
      </c>
      <c r="C559" s="33" t="s">
        <v>16</v>
      </c>
      <c r="D559" s="33" t="s">
        <v>31</v>
      </c>
      <c r="E559" s="33" t="s">
        <v>662</v>
      </c>
      <c r="F559" s="33" t="s">
        <v>152</v>
      </c>
      <c r="G559" s="33" t="s">
        <v>685</v>
      </c>
      <c r="H559" s="33">
        <v>3.53456152006828E14</v>
      </c>
      <c r="I559" s="34" t="s">
        <v>86</v>
      </c>
      <c r="J559" s="33" t="s">
        <v>686</v>
      </c>
      <c r="K559" s="33" t="s">
        <v>11</v>
      </c>
      <c r="L559" s="35"/>
      <c r="M559" s="35"/>
      <c r="N559" s="35"/>
      <c r="O559" s="42"/>
      <c r="P559" s="35"/>
      <c r="Q559" s="35"/>
      <c r="R559" s="33" t="e">
        <v>#VALUE!</v>
      </c>
      <c r="S559" s="35"/>
      <c r="T559" s="35"/>
      <c r="U559" s="31"/>
    </row>
    <row r="560">
      <c r="A560" s="31"/>
      <c r="B560" s="37">
        <v>45741.0</v>
      </c>
      <c r="C560" s="38" t="s">
        <v>16</v>
      </c>
      <c r="D560" s="38" t="s">
        <v>31</v>
      </c>
      <c r="E560" s="38" t="s">
        <v>662</v>
      </c>
      <c r="F560" s="38" t="s">
        <v>152</v>
      </c>
      <c r="G560" s="38" t="s">
        <v>663</v>
      </c>
      <c r="H560" s="38">
        <v>3.53456152036841E14</v>
      </c>
      <c r="I560" s="41" t="s">
        <v>78</v>
      </c>
      <c r="J560" s="38" t="s">
        <v>687</v>
      </c>
      <c r="K560" s="38" t="s">
        <v>11</v>
      </c>
      <c r="L560" s="38" t="s">
        <v>678</v>
      </c>
      <c r="M560" s="29"/>
      <c r="N560" s="29"/>
      <c r="O560" s="43"/>
      <c r="P560" s="29"/>
      <c r="Q560" s="29"/>
      <c r="R560" s="38" t="e">
        <v>#VALUE!</v>
      </c>
      <c r="S560" s="29"/>
      <c r="T560" s="29"/>
      <c r="U560" s="31"/>
    </row>
    <row r="561">
      <c r="A561" s="31"/>
      <c r="B561" s="32">
        <v>45741.0</v>
      </c>
      <c r="C561" s="33" t="s">
        <v>16</v>
      </c>
      <c r="D561" s="33" t="s">
        <v>31</v>
      </c>
      <c r="E561" s="33" t="s">
        <v>662</v>
      </c>
      <c r="F561" s="33" t="s">
        <v>152</v>
      </c>
      <c r="G561" s="33" t="s">
        <v>663</v>
      </c>
      <c r="H561" s="33">
        <v>3.53456152037146E14</v>
      </c>
      <c r="I561" s="34" t="s">
        <v>86</v>
      </c>
      <c r="J561" s="33" t="s">
        <v>688</v>
      </c>
      <c r="K561" s="33" t="s">
        <v>11</v>
      </c>
      <c r="L561" s="35"/>
      <c r="M561" s="35"/>
      <c r="N561" s="35"/>
      <c r="O561" s="42"/>
      <c r="P561" s="35"/>
      <c r="Q561" s="35"/>
      <c r="R561" s="33" t="e">
        <v>#VALUE!</v>
      </c>
      <c r="S561" s="35"/>
      <c r="T561" s="35"/>
      <c r="U561" s="31"/>
    </row>
    <row r="562">
      <c r="A562" s="31"/>
      <c r="B562" s="37">
        <v>45741.0</v>
      </c>
      <c r="C562" s="38" t="s">
        <v>16</v>
      </c>
      <c r="D562" s="38" t="s">
        <v>31</v>
      </c>
      <c r="E562" s="38" t="s">
        <v>662</v>
      </c>
      <c r="F562" s="38" t="s">
        <v>152</v>
      </c>
      <c r="G562" s="38" t="s">
        <v>666</v>
      </c>
      <c r="H562" s="38">
        <v>3.53456152028459E14</v>
      </c>
      <c r="I562" s="41" t="s">
        <v>78</v>
      </c>
      <c r="J562" s="29"/>
      <c r="K562" s="38" t="s">
        <v>11</v>
      </c>
      <c r="L562" s="38" t="s">
        <v>678</v>
      </c>
      <c r="M562" s="29"/>
      <c r="N562" s="29"/>
      <c r="O562" s="43"/>
      <c r="P562" s="29"/>
      <c r="Q562" s="29"/>
      <c r="R562" s="38" t="e">
        <v>#VALUE!</v>
      </c>
      <c r="S562" s="29"/>
      <c r="T562" s="29"/>
      <c r="U562" s="31"/>
    </row>
    <row r="563">
      <c r="A563" s="31"/>
      <c r="B563" s="32">
        <v>45741.0</v>
      </c>
      <c r="C563" s="33" t="s">
        <v>16</v>
      </c>
      <c r="D563" s="33" t="s">
        <v>31</v>
      </c>
      <c r="E563" s="33" t="s">
        <v>662</v>
      </c>
      <c r="F563" s="33" t="s">
        <v>152</v>
      </c>
      <c r="G563" s="33" t="s">
        <v>685</v>
      </c>
      <c r="H563" s="33">
        <v>3.53456152005952E14</v>
      </c>
      <c r="I563" s="34" t="s">
        <v>86</v>
      </c>
      <c r="J563" s="33" t="s">
        <v>689</v>
      </c>
      <c r="K563" s="33" t="s">
        <v>11</v>
      </c>
      <c r="L563" s="35"/>
      <c r="M563" s="35"/>
      <c r="N563" s="35"/>
      <c r="O563" s="42"/>
      <c r="P563" s="35"/>
      <c r="Q563" s="35"/>
      <c r="R563" s="33" t="e">
        <v>#VALUE!</v>
      </c>
      <c r="S563" s="35"/>
      <c r="T563" s="35"/>
      <c r="U563" s="31"/>
    </row>
    <row r="564">
      <c r="A564" s="31"/>
      <c r="B564" s="37">
        <v>45741.0</v>
      </c>
      <c r="C564" s="38" t="s">
        <v>16</v>
      </c>
      <c r="D564" s="38" t="s">
        <v>31</v>
      </c>
      <c r="E564" s="38" t="s">
        <v>670</v>
      </c>
      <c r="F564" s="38" t="s">
        <v>84</v>
      </c>
      <c r="G564" s="38" t="s">
        <v>683</v>
      </c>
      <c r="H564" s="38">
        <v>3.561935900678E14</v>
      </c>
      <c r="I564" s="41" t="s">
        <v>86</v>
      </c>
      <c r="J564" s="38" t="s">
        <v>444</v>
      </c>
      <c r="K564" s="38" t="s">
        <v>19</v>
      </c>
      <c r="L564" s="29"/>
      <c r="M564" s="29"/>
      <c r="N564" s="29"/>
      <c r="O564" s="43"/>
      <c r="P564" s="29"/>
      <c r="Q564" s="29"/>
      <c r="R564" s="38" t="e">
        <v>#VALUE!</v>
      </c>
      <c r="S564" s="29"/>
      <c r="T564" s="29"/>
      <c r="U564" s="31"/>
    </row>
    <row r="565">
      <c r="A565" s="31"/>
      <c r="B565" s="32">
        <v>45741.0</v>
      </c>
      <c r="C565" s="33" t="s">
        <v>16</v>
      </c>
      <c r="D565" s="33" t="s">
        <v>31</v>
      </c>
      <c r="E565" s="33" t="s">
        <v>670</v>
      </c>
      <c r="F565" s="33" t="s">
        <v>84</v>
      </c>
      <c r="G565" s="33" t="s">
        <v>683</v>
      </c>
      <c r="H565" s="33">
        <v>3.56193590067735E14</v>
      </c>
      <c r="I565" s="42"/>
      <c r="J565" s="35"/>
      <c r="K565" s="33" t="s">
        <v>19</v>
      </c>
      <c r="L565" s="35"/>
      <c r="M565" s="35"/>
      <c r="N565" s="35"/>
      <c r="O565" s="42"/>
      <c r="P565" s="35"/>
      <c r="Q565" s="35"/>
      <c r="R565" s="33" t="e">
        <v>#VALUE!</v>
      </c>
      <c r="S565" s="35"/>
      <c r="T565" s="35"/>
      <c r="U565" s="31"/>
    </row>
    <row r="566">
      <c r="A566" s="31"/>
      <c r="B566" s="44">
        <v>45741.0</v>
      </c>
      <c r="C566" s="38" t="s">
        <v>16</v>
      </c>
      <c r="D566" s="38" t="s">
        <v>31</v>
      </c>
      <c r="E566" s="38" t="s">
        <v>670</v>
      </c>
      <c r="F566" s="38" t="s">
        <v>152</v>
      </c>
      <c r="G566" s="38" t="s">
        <v>677</v>
      </c>
      <c r="H566" s="38">
        <v>3.57703230000729E14</v>
      </c>
      <c r="I566" s="41" t="s">
        <v>86</v>
      </c>
      <c r="J566" s="38" t="s">
        <v>690</v>
      </c>
      <c r="K566" s="38" t="s">
        <v>19</v>
      </c>
      <c r="L566" s="29"/>
      <c r="M566" s="29"/>
      <c r="N566" s="29"/>
      <c r="O566" s="43"/>
      <c r="P566" s="29"/>
      <c r="Q566" s="29"/>
      <c r="R566" s="38" t="e">
        <v>#VALUE!</v>
      </c>
      <c r="S566" s="29"/>
      <c r="T566" s="29"/>
      <c r="U566" s="31"/>
    </row>
    <row r="567">
      <c r="A567" s="31"/>
      <c r="B567" s="32">
        <v>45741.0</v>
      </c>
      <c r="C567" s="33" t="s">
        <v>16</v>
      </c>
      <c r="D567" s="33" t="s">
        <v>31</v>
      </c>
      <c r="E567" s="33" t="s">
        <v>670</v>
      </c>
      <c r="F567" s="33" t="s">
        <v>152</v>
      </c>
      <c r="G567" s="33" t="s">
        <v>685</v>
      </c>
      <c r="H567" s="33">
        <v>3.57703230036707E14</v>
      </c>
      <c r="I567" s="34" t="s">
        <v>86</v>
      </c>
      <c r="J567" s="33" t="s">
        <v>691</v>
      </c>
      <c r="K567" s="33" t="s">
        <v>19</v>
      </c>
      <c r="L567" s="35"/>
      <c r="M567" s="35"/>
      <c r="N567" s="35"/>
      <c r="O567" s="42"/>
      <c r="P567" s="35"/>
      <c r="Q567" s="35"/>
      <c r="R567" s="33" t="e">
        <v>#VALUE!</v>
      </c>
      <c r="S567" s="35"/>
      <c r="T567" s="35"/>
      <c r="U567" s="31"/>
    </row>
    <row r="568">
      <c r="A568" s="31"/>
      <c r="B568" s="37">
        <v>45741.0</v>
      </c>
      <c r="C568" s="38" t="s">
        <v>16</v>
      </c>
      <c r="D568" s="38" t="s">
        <v>31</v>
      </c>
      <c r="E568" s="38" t="s">
        <v>670</v>
      </c>
      <c r="F568" s="38" t="s">
        <v>152</v>
      </c>
      <c r="G568" s="38" t="s">
        <v>679</v>
      </c>
      <c r="H568" s="38">
        <v>3.57703230000505E14</v>
      </c>
      <c r="I568" s="43"/>
      <c r="J568" s="29"/>
      <c r="K568" s="38" t="s">
        <v>19</v>
      </c>
      <c r="L568" s="29"/>
      <c r="M568" s="29"/>
      <c r="N568" s="29"/>
      <c r="O568" s="43"/>
      <c r="P568" s="29"/>
      <c r="Q568" s="29"/>
      <c r="R568" s="38" t="e">
        <v>#VALUE!</v>
      </c>
      <c r="S568" s="29"/>
      <c r="T568" s="29"/>
      <c r="U568" s="31"/>
    </row>
    <row r="569">
      <c r="A569" s="31"/>
      <c r="B569" s="32">
        <v>45741.0</v>
      </c>
      <c r="C569" s="33" t="s">
        <v>16</v>
      </c>
      <c r="D569" s="33" t="s">
        <v>31</v>
      </c>
      <c r="E569" s="33" t="s">
        <v>670</v>
      </c>
      <c r="F569" s="33" t="s">
        <v>152</v>
      </c>
      <c r="G569" s="33" t="s">
        <v>692</v>
      </c>
      <c r="H569" s="33">
        <v>3.57703230037085E14</v>
      </c>
      <c r="I569" s="34" t="s">
        <v>86</v>
      </c>
      <c r="J569" s="33" t="s">
        <v>672</v>
      </c>
      <c r="K569" s="33" t="s">
        <v>19</v>
      </c>
      <c r="L569" s="35"/>
      <c r="M569" s="35"/>
      <c r="N569" s="35"/>
      <c r="O569" s="42"/>
      <c r="P569" s="35"/>
      <c r="Q569" s="35"/>
      <c r="R569" s="33" t="e">
        <v>#VALUE!</v>
      </c>
      <c r="S569" s="35"/>
      <c r="T569" s="35"/>
      <c r="U569" s="31"/>
    </row>
    <row r="570">
      <c r="A570" s="31"/>
      <c r="B570" s="37">
        <v>45741.0</v>
      </c>
      <c r="C570" s="38" t="s">
        <v>16</v>
      </c>
      <c r="D570" s="38" t="s">
        <v>31</v>
      </c>
      <c r="E570" s="38" t="s">
        <v>662</v>
      </c>
      <c r="F570" s="38" t="s">
        <v>152</v>
      </c>
      <c r="G570" s="38" t="s">
        <v>663</v>
      </c>
      <c r="H570" s="38">
        <v>3.53456152036361E14</v>
      </c>
      <c r="I570" s="41" t="s">
        <v>86</v>
      </c>
      <c r="J570" s="38" t="s">
        <v>693</v>
      </c>
      <c r="K570" s="38" t="s">
        <v>19</v>
      </c>
      <c r="L570" s="29"/>
      <c r="M570" s="29"/>
      <c r="N570" s="29"/>
      <c r="O570" s="43"/>
      <c r="P570" s="29"/>
      <c r="Q570" s="29"/>
      <c r="R570" s="38" t="e">
        <v>#VALUE!</v>
      </c>
      <c r="S570" s="29"/>
      <c r="T570" s="29"/>
      <c r="U570" s="31"/>
    </row>
    <row r="571">
      <c r="A571" s="31"/>
      <c r="B571" s="32">
        <v>45741.0</v>
      </c>
      <c r="C571" s="33" t="s">
        <v>16</v>
      </c>
      <c r="D571" s="33" t="s">
        <v>31</v>
      </c>
      <c r="E571" s="33" t="s">
        <v>662</v>
      </c>
      <c r="F571" s="33" t="s">
        <v>152</v>
      </c>
      <c r="G571" s="33" t="s">
        <v>665</v>
      </c>
      <c r="H571" s="33">
        <v>3.53456152000375E14</v>
      </c>
      <c r="I571" s="34" t="s">
        <v>86</v>
      </c>
      <c r="J571" s="33" t="s">
        <v>694</v>
      </c>
      <c r="K571" s="33" t="s">
        <v>19</v>
      </c>
      <c r="L571" s="35"/>
      <c r="M571" s="35"/>
      <c r="N571" s="35"/>
      <c r="O571" s="42"/>
      <c r="P571" s="35"/>
      <c r="Q571" s="35"/>
      <c r="R571" s="33" t="e">
        <v>#VALUE!</v>
      </c>
      <c r="S571" s="35"/>
      <c r="T571" s="35"/>
      <c r="U571" s="31"/>
    </row>
    <row r="572">
      <c r="A572" s="31"/>
      <c r="B572" s="37">
        <v>45741.0</v>
      </c>
      <c r="C572" s="38" t="s">
        <v>16</v>
      </c>
      <c r="D572" s="38" t="s">
        <v>31</v>
      </c>
      <c r="E572" s="38" t="s">
        <v>662</v>
      </c>
      <c r="F572" s="38" t="s">
        <v>152</v>
      </c>
      <c r="G572" s="38" t="s">
        <v>666</v>
      </c>
      <c r="H572" s="38">
        <v>3.5345615202557E14</v>
      </c>
      <c r="I572" s="41" t="s">
        <v>86</v>
      </c>
      <c r="J572" s="38" t="s">
        <v>695</v>
      </c>
      <c r="K572" s="38" t="s">
        <v>19</v>
      </c>
      <c r="L572" s="29"/>
      <c r="M572" s="29"/>
      <c r="N572" s="29"/>
      <c r="O572" s="43"/>
      <c r="P572" s="29"/>
      <c r="Q572" s="29"/>
      <c r="R572" s="38" t="e">
        <v>#VALUE!</v>
      </c>
      <c r="S572" s="29"/>
      <c r="T572" s="29"/>
      <c r="U572" s="31"/>
    </row>
    <row r="573">
      <c r="A573" s="31"/>
      <c r="B573" s="32">
        <v>45741.0</v>
      </c>
      <c r="C573" s="33" t="s">
        <v>128</v>
      </c>
      <c r="D573" s="33" t="s">
        <v>44</v>
      </c>
      <c r="E573" s="33" t="s">
        <v>260</v>
      </c>
      <c r="F573" s="35"/>
      <c r="G573" s="33" t="s">
        <v>176</v>
      </c>
      <c r="H573" s="33" t="s">
        <v>696</v>
      </c>
      <c r="I573" s="34" t="s">
        <v>78</v>
      </c>
      <c r="J573" s="35"/>
      <c r="K573" s="35"/>
      <c r="L573" s="35"/>
      <c r="M573" s="35"/>
      <c r="N573" s="35"/>
      <c r="O573" s="42"/>
      <c r="P573" s="35"/>
      <c r="Q573" s="35"/>
      <c r="R573" s="33" t="e">
        <v>#VALUE!</v>
      </c>
      <c r="S573" s="35"/>
      <c r="T573" s="35"/>
      <c r="U573" s="31"/>
    </row>
    <row r="574">
      <c r="A574" s="31"/>
      <c r="B574" s="37">
        <v>45741.0</v>
      </c>
      <c r="C574" s="38" t="s">
        <v>128</v>
      </c>
      <c r="D574" s="38" t="s">
        <v>31</v>
      </c>
      <c r="E574" s="38" t="s">
        <v>265</v>
      </c>
      <c r="F574" s="38" t="s">
        <v>84</v>
      </c>
      <c r="G574" s="38" t="s">
        <v>130</v>
      </c>
      <c r="H574" s="38">
        <v>3.57696520006432E14</v>
      </c>
      <c r="I574" s="41" t="s">
        <v>78</v>
      </c>
      <c r="J574" s="29"/>
      <c r="K574" s="29"/>
      <c r="L574" s="29"/>
      <c r="M574" s="29"/>
      <c r="N574" s="29"/>
      <c r="O574" s="43"/>
      <c r="P574" s="29"/>
      <c r="Q574" s="29"/>
      <c r="R574" s="38" t="e">
        <v>#VALUE!</v>
      </c>
      <c r="S574" s="29"/>
      <c r="T574" s="29"/>
      <c r="U574" s="31"/>
    </row>
    <row r="575">
      <c r="A575" s="31"/>
      <c r="B575" s="32">
        <v>45741.0</v>
      </c>
      <c r="C575" s="33" t="s">
        <v>128</v>
      </c>
      <c r="D575" s="33" t="s">
        <v>31</v>
      </c>
      <c r="E575" s="33" t="s">
        <v>274</v>
      </c>
      <c r="F575" s="33" t="s">
        <v>84</v>
      </c>
      <c r="G575" s="33" t="s">
        <v>124</v>
      </c>
      <c r="H575" s="33">
        <v>3.5272266502485E14</v>
      </c>
      <c r="I575" s="34" t="s">
        <v>78</v>
      </c>
      <c r="J575" s="35"/>
      <c r="K575" s="35"/>
      <c r="L575" s="35"/>
      <c r="M575" s="35"/>
      <c r="N575" s="35"/>
      <c r="O575" s="42"/>
      <c r="P575" s="35"/>
      <c r="Q575" s="35"/>
      <c r="R575" s="33" t="e">
        <v>#VALUE!</v>
      </c>
      <c r="S575" s="35"/>
      <c r="T575" s="35"/>
      <c r="U575" s="31"/>
    </row>
    <row r="576">
      <c r="A576" s="31"/>
      <c r="B576" s="37">
        <v>45742.0</v>
      </c>
      <c r="C576" s="38" t="s">
        <v>49</v>
      </c>
      <c r="D576" s="38" t="s">
        <v>31</v>
      </c>
      <c r="E576" s="38" t="s">
        <v>427</v>
      </c>
      <c r="F576" s="38" t="s">
        <v>152</v>
      </c>
      <c r="G576" s="38" t="s">
        <v>280</v>
      </c>
      <c r="H576" s="38">
        <v>3.5071626000505E14</v>
      </c>
      <c r="I576" s="41" t="s">
        <v>78</v>
      </c>
      <c r="J576" s="29"/>
      <c r="K576" s="38" t="s">
        <v>375</v>
      </c>
      <c r="L576" s="29"/>
      <c r="M576" s="29"/>
      <c r="N576" s="29"/>
      <c r="O576" s="43"/>
      <c r="P576" s="29"/>
      <c r="Q576" s="29"/>
      <c r="R576" s="38" t="e">
        <v>#VALUE!</v>
      </c>
      <c r="S576" s="29"/>
      <c r="T576" s="29"/>
      <c r="U576" s="31"/>
    </row>
    <row r="577">
      <c r="A577" s="31"/>
      <c r="B577" s="44">
        <v>45742.0</v>
      </c>
      <c r="C577" s="33" t="s">
        <v>49</v>
      </c>
      <c r="D577" s="33" t="s">
        <v>31</v>
      </c>
      <c r="E577" s="33" t="s">
        <v>427</v>
      </c>
      <c r="F577" s="33" t="s">
        <v>152</v>
      </c>
      <c r="G577" s="33" t="s">
        <v>136</v>
      </c>
      <c r="H577" s="33">
        <v>3.50716260022352E14</v>
      </c>
      <c r="I577" s="34" t="s">
        <v>78</v>
      </c>
      <c r="J577" s="35"/>
      <c r="K577" s="33" t="s">
        <v>375</v>
      </c>
      <c r="L577" s="35"/>
      <c r="M577" s="35"/>
      <c r="N577" s="35"/>
      <c r="O577" s="42"/>
      <c r="P577" s="35"/>
      <c r="Q577" s="35"/>
      <c r="R577" s="33" t="e">
        <v>#VALUE!</v>
      </c>
      <c r="S577" s="35"/>
      <c r="T577" s="35"/>
      <c r="U577" s="31"/>
    </row>
    <row r="578">
      <c r="A578" s="31"/>
      <c r="B578" s="37">
        <v>45742.0</v>
      </c>
      <c r="C578" s="38" t="s">
        <v>49</v>
      </c>
      <c r="D578" s="38" t="s">
        <v>31</v>
      </c>
      <c r="E578" s="38" t="s">
        <v>427</v>
      </c>
      <c r="F578" s="38" t="s">
        <v>152</v>
      </c>
      <c r="G578" s="38" t="s">
        <v>136</v>
      </c>
      <c r="H578" s="38">
        <v>3.50716260185944E14</v>
      </c>
      <c r="I578" s="41" t="s">
        <v>78</v>
      </c>
      <c r="J578" s="29"/>
      <c r="K578" s="29"/>
      <c r="L578" s="29"/>
      <c r="M578" s="29"/>
      <c r="N578" s="29"/>
      <c r="O578" s="43"/>
      <c r="P578" s="29"/>
      <c r="Q578" s="29"/>
      <c r="R578" s="38" t="e">
        <v>#VALUE!</v>
      </c>
      <c r="S578" s="29"/>
      <c r="T578" s="29"/>
      <c r="U578" s="31"/>
    </row>
    <row r="579">
      <c r="A579" s="31"/>
      <c r="B579" s="32">
        <v>45742.0</v>
      </c>
      <c r="C579" s="33" t="s">
        <v>49</v>
      </c>
      <c r="D579" s="33" t="s">
        <v>31</v>
      </c>
      <c r="E579" s="33" t="s">
        <v>427</v>
      </c>
      <c r="F579" s="33" t="s">
        <v>152</v>
      </c>
      <c r="G579" s="33" t="s">
        <v>136</v>
      </c>
      <c r="H579" s="33">
        <v>3.50716260161952E14</v>
      </c>
      <c r="I579" s="34" t="s">
        <v>78</v>
      </c>
      <c r="J579" s="35"/>
      <c r="K579" s="35"/>
      <c r="L579" s="35"/>
      <c r="M579" s="35"/>
      <c r="N579" s="35"/>
      <c r="O579" s="42"/>
      <c r="P579" s="35"/>
      <c r="Q579" s="35"/>
      <c r="R579" s="33" t="e">
        <v>#VALUE!</v>
      </c>
      <c r="S579" s="35"/>
      <c r="T579" s="35"/>
      <c r="U579" s="31"/>
    </row>
    <row r="580">
      <c r="A580" s="31"/>
      <c r="B580" s="44">
        <v>45742.0</v>
      </c>
      <c r="C580" s="38" t="s">
        <v>49</v>
      </c>
      <c r="D580" s="38" t="s">
        <v>31</v>
      </c>
      <c r="E580" s="38" t="s">
        <v>427</v>
      </c>
      <c r="F580" s="38" t="s">
        <v>152</v>
      </c>
      <c r="G580" s="38" t="s">
        <v>136</v>
      </c>
      <c r="H580" s="38">
        <v>3.50716260143398E14</v>
      </c>
      <c r="I580" s="41" t="s">
        <v>78</v>
      </c>
      <c r="J580" s="29"/>
      <c r="K580" s="29"/>
      <c r="L580" s="29"/>
      <c r="M580" s="29"/>
      <c r="N580" s="29"/>
      <c r="O580" s="43"/>
      <c r="P580" s="29"/>
      <c r="Q580" s="29"/>
      <c r="R580" s="38" t="e">
        <v>#VALUE!</v>
      </c>
      <c r="S580" s="29"/>
      <c r="T580" s="29"/>
      <c r="U580" s="31"/>
    </row>
    <row r="581">
      <c r="A581" s="31"/>
      <c r="B581" s="44">
        <v>45742.0</v>
      </c>
      <c r="C581" s="33" t="s">
        <v>49</v>
      </c>
      <c r="D581" s="33" t="s">
        <v>31</v>
      </c>
      <c r="E581" s="33" t="s">
        <v>279</v>
      </c>
      <c r="F581" s="33" t="s">
        <v>697</v>
      </c>
      <c r="G581" s="33" t="s">
        <v>176</v>
      </c>
      <c r="H581" s="33">
        <v>3.52978780013521E14</v>
      </c>
      <c r="I581" s="34" t="s">
        <v>78</v>
      </c>
      <c r="J581" s="35"/>
      <c r="K581" s="33" t="s">
        <v>375</v>
      </c>
      <c r="L581" s="35"/>
      <c r="M581" s="35"/>
      <c r="N581" s="35"/>
      <c r="O581" s="42"/>
      <c r="P581" s="35"/>
      <c r="Q581" s="35"/>
      <c r="R581" s="33" t="e">
        <v>#VALUE!</v>
      </c>
      <c r="S581" s="35"/>
      <c r="T581" s="35"/>
      <c r="U581" s="31"/>
    </row>
    <row r="582">
      <c r="A582" s="31"/>
      <c r="B582" s="44">
        <v>45742.0</v>
      </c>
      <c r="C582" s="38" t="s">
        <v>49</v>
      </c>
      <c r="D582" s="38" t="s">
        <v>31</v>
      </c>
      <c r="E582" s="38" t="s">
        <v>279</v>
      </c>
      <c r="F582" s="38" t="s">
        <v>697</v>
      </c>
      <c r="G582" s="38" t="s">
        <v>280</v>
      </c>
      <c r="H582" s="38">
        <v>3.5297878002644E14</v>
      </c>
      <c r="I582" s="41" t="s">
        <v>78</v>
      </c>
      <c r="J582" s="29"/>
      <c r="K582" s="38" t="s">
        <v>375</v>
      </c>
      <c r="L582" s="29"/>
      <c r="M582" s="29"/>
      <c r="N582" s="29"/>
      <c r="O582" s="43"/>
      <c r="P582" s="29"/>
      <c r="Q582" s="29"/>
      <c r="R582" s="38" t="e">
        <v>#VALUE!</v>
      </c>
      <c r="S582" s="29"/>
      <c r="T582" s="29"/>
      <c r="U582" s="31"/>
    </row>
    <row r="583">
      <c r="A583" s="31"/>
      <c r="B583" s="32">
        <v>45755.0</v>
      </c>
      <c r="C583" s="33" t="s">
        <v>16</v>
      </c>
      <c r="D583" s="33" t="s">
        <v>31</v>
      </c>
      <c r="E583" s="33" t="s">
        <v>670</v>
      </c>
      <c r="F583" s="33" t="s">
        <v>84</v>
      </c>
      <c r="G583" s="33" t="s">
        <v>677</v>
      </c>
      <c r="H583" s="33">
        <v>3.54390900713311E14</v>
      </c>
      <c r="I583" s="34" t="s">
        <v>86</v>
      </c>
      <c r="J583" s="33" t="s">
        <v>698</v>
      </c>
      <c r="K583" s="33" t="s">
        <v>19</v>
      </c>
      <c r="L583" s="35"/>
      <c r="M583" s="35"/>
      <c r="N583" s="35"/>
      <c r="O583" s="42"/>
      <c r="P583" s="35"/>
      <c r="Q583" s="35"/>
      <c r="R583" s="35"/>
      <c r="S583" s="35"/>
      <c r="T583" s="35"/>
      <c r="U583" s="31"/>
    </row>
    <row r="584">
      <c r="A584" s="31"/>
      <c r="B584" s="37">
        <v>45755.0</v>
      </c>
      <c r="C584" s="38" t="s">
        <v>16</v>
      </c>
      <c r="D584" s="38" t="s">
        <v>31</v>
      </c>
      <c r="E584" s="38" t="s">
        <v>670</v>
      </c>
      <c r="F584" s="38" t="s">
        <v>84</v>
      </c>
      <c r="G584" s="38" t="s">
        <v>683</v>
      </c>
      <c r="H584" s="38">
        <v>3.5490900715753E13</v>
      </c>
      <c r="I584" s="41" t="s">
        <v>78</v>
      </c>
      <c r="J584" s="29"/>
      <c r="K584" s="38" t="s">
        <v>19</v>
      </c>
      <c r="L584" s="29"/>
      <c r="M584" s="29"/>
      <c r="N584" s="29"/>
      <c r="O584" s="43"/>
      <c r="P584" s="29"/>
      <c r="Q584" s="29"/>
      <c r="R584" s="38" t="e">
        <v>#VALUE!</v>
      </c>
      <c r="S584" s="29"/>
      <c r="T584" s="29"/>
      <c r="U584" s="31"/>
    </row>
    <row r="585">
      <c r="A585" s="31"/>
      <c r="B585" s="32">
        <v>45755.0</v>
      </c>
      <c r="C585" s="33" t="s">
        <v>16</v>
      </c>
      <c r="D585" s="33" t="s">
        <v>31</v>
      </c>
      <c r="E585" s="33" t="s">
        <v>670</v>
      </c>
      <c r="F585" s="33" t="s">
        <v>84</v>
      </c>
      <c r="G585" s="33" t="s">
        <v>683</v>
      </c>
      <c r="H585" s="33">
        <v>3.54390900714012E14</v>
      </c>
      <c r="I585" s="34" t="s">
        <v>436</v>
      </c>
      <c r="J585" s="33" t="s">
        <v>699</v>
      </c>
      <c r="K585" s="33" t="s">
        <v>19</v>
      </c>
      <c r="L585" s="35"/>
      <c r="M585" s="35"/>
      <c r="N585" s="35"/>
      <c r="O585" s="42"/>
      <c r="P585" s="35"/>
      <c r="Q585" s="35"/>
      <c r="R585" s="33" t="e">
        <v>#VALUE!</v>
      </c>
      <c r="S585" s="35"/>
      <c r="T585" s="35"/>
      <c r="U585" s="31"/>
    </row>
    <row r="586">
      <c r="A586" s="31"/>
      <c r="B586" s="37">
        <v>45763.0</v>
      </c>
      <c r="C586" s="38" t="s">
        <v>16</v>
      </c>
      <c r="D586" s="38" t="s">
        <v>31</v>
      </c>
      <c r="E586" s="38" t="s">
        <v>700</v>
      </c>
      <c r="F586" s="38" t="s">
        <v>152</v>
      </c>
      <c r="G586" s="38" t="s">
        <v>572</v>
      </c>
      <c r="H586" s="38">
        <v>3.50334720924322E14</v>
      </c>
      <c r="I586" s="41" t="s">
        <v>78</v>
      </c>
      <c r="J586" s="29"/>
      <c r="K586" s="38" t="s">
        <v>19</v>
      </c>
      <c r="L586" s="29"/>
      <c r="M586" s="29"/>
      <c r="N586" s="29"/>
      <c r="O586" s="43"/>
      <c r="P586" s="29"/>
      <c r="Q586" s="29"/>
      <c r="R586" s="38" t="e">
        <v>#VALUE!</v>
      </c>
      <c r="S586" s="29"/>
      <c r="T586" s="29"/>
      <c r="U586" s="31"/>
    </row>
    <row r="587">
      <c r="A587" s="31"/>
      <c r="B587" s="32">
        <v>45763.0</v>
      </c>
      <c r="C587" s="33" t="s">
        <v>16</v>
      </c>
      <c r="D587" s="33" t="s">
        <v>31</v>
      </c>
      <c r="E587" s="33" t="s">
        <v>700</v>
      </c>
      <c r="F587" s="33" t="s">
        <v>152</v>
      </c>
      <c r="G587" s="33" t="s">
        <v>284</v>
      </c>
      <c r="H587" s="33">
        <v>3.5033472117909E14</v>
      </c>
      <c r="I587" s="34" t="s">
        <v>78</v>
      </c>
      <c r="J587" s="33" t="s">
        <v>701</v>
      </c>
      <c r="K587" s="33" t="s">
        <v>19</v>
      </c>
      <c r="L587" s="35"/>
      <c r="M587" s="35"/>
      <c r="N587" s="35"/>
      <c r="O587" s="42"/>
      <c r="P587" s="35"/>
      <c r="Q587" s="35"/>
      <c r="R587" s="33" t="e">
        <v>#VALUE!</v>
      </c>
      <c r="S587" s="35"/>
      <c r="T587" s="35"/>
      <c r="U587" s="31"/>
    </row>
    <row r="588">
      <c r="A588" s="31"/>
      <c r="B588" s="37">
        <v>45763.0</v>
      </c>
      <c r="C588" s="38" t="s">
        <v>50</v>
      </c>
      <c r="D588" s="38" t="s">
        <v>31</v>
      </c>
      <c r="E588" s="38" t="s">
        <v>702</v>
      </c>
      <c r="F588" s="38" t="s">
        <v>84</v>
      </c>
      <c r="G588" s="38" t="s">
        <v>118</v>
      </c>
      <c r="H588" s="38">
        <v>3.53567821053288E14</v>
      </c>
      <c r="I588" s="41" t="s">
        <v>436</v>
      </c>
      <c r="J588" s="38" t="s">
        <v>703</v>
      </c>
      <c r="K588" s="38" t="s">
        <v>19</v>
      </c>
      <c r="L588" s="29"/>
      <c r="M588" s="29"/>
      <c r="N588" s="29"/>
      <c r="O588" s="43"/>
      <c r="P588" s="29"/>
      <c r="Q588" s="29"/>
      <c r="R588" s="38" t="e">
        <v>#VALUE!</v>
      </c>
      <c r="S588" s="29"/>
      <c r="T588" s="29"/>
      <c r="U588" s="31"/>
    </row>
    <row r="589">
      <c r="A589" s="31"/>
      <c r="B589" s="32">
        <v>45763.0</v>
      </c>
      <c r="C589" s="33" t="s">
        <v>50</v>
      </c>
      <c r="D589" s="33" t="s">
        <v>31</v>
      </c>
      <c r="E589" s="33" t="s">
        <v>702</v>
      </c>
      <c r="F589" s="33" t="s">
        <v>84</v>
      </c>
      <c r="G589" s="33" t="s">
        <v>176</v>
      </c>
      <c r="H589" s="33">
        <v>3.53567821140093E14</v>
      </c>
      <c r="I589" s="34" t="s">
        <v>436</v>
      </c>
      <c r="J589" s="33" t="s">
        <v>704</v>
      </c>
      <c r="K589" s="33" t="s">
        <v>19</v>
      </c>
      <c r="L589" s="35"/>
      <c r="M589" s="35"/>
      <c r="N589" s="35"/>
      <c r="O589" s="42"/>
      <c r="P589" s="35"/>
      <c r="Q589" s="35"/>
      <c r="R589" s="33" t="e">
        <v>#VALUE!</v>
      </c>
      <c r="S589" s="35"/>
      <c r="T589" s="35"/>
      <c r="U589" s="31"/>
    </row>
    <row r="590">
      <c r="A590" s="31"/>
      <c r="B590" s="37">
        <v>45763.0</v>
      </c>
      <c r="C590" s="38" t="s">
        <v>50</v>
      </c>
      <c r="D590" s="38" t="s">
        <v>31</v>
      </c>
      <c r="E590" s="38" t="s">
        <v>702</v>
      </c>
      <c r="F590" s="38" t="s">
        <v>84</v>
      </c>
      <c r="G590" s="38" t="s">
        <v>176</v>
      </c>
      <c r="H590" s="38">
        <v>3.53567821133866E14</v>
      </c>
      <c r="I590" s="41" t="s">
        <v>78</v>
      </c>
      <c r="J590" s="29"/>
      <c r="K590" s="38" t="s">
        <v>19</v>
      </c>
      <c r="L590" s="29"/>
      <c r="M590" s="29"/>
      <c r="N590" s="29"/>
      <c r="O590" s="43"/>
      <c r="P590" s="29"/>
      <c r="Q590" s="29"/>
      <c r="R590" s="38" t="e">
        <v>#VALUE!</v>
      </c>
      <c r="S590" s="29"/>
      <c r="T590" s="29"/>
      <c r="U590" s="31"/>
    </row>
    <row r="591">
      <c r="A591" s="31"/>
      <c r="B591" s="32">
        <v>45763.0</v>
      </c>
      <c r="C591" s="33" t="s">
        <v>50</v>
      </c>
      <c r="D591" s="33" t="s">
        <v>31</v>
      </c>
      <c r="E591" s="33" t="s">
        <v>702</v>
      </c>
      <c r="F591" s="33" t="s">
        <v>84</v>
      </c>
      <c r="G591" s="33" t="s">
        <v>705</v>
      </c>
      <c r="H591" s="33">
        <v>3.53567821056356E14</v>
      </c>
      <c r="I591" s="34" t="s">
        <v>78</v>
      </c>
      <c r="J591" s="35"/>
      <c r="K591" s="33" t="s">
        <v>19</v>
      </c>
      <c r="L591" s="35"/>
      <c r="M591" s="35"/>
      <c r="N591" s="35"/>
      <c r="O591" s="42"/>
      <c r="P591" s="35"/>
      <c r="Q591" s="35"/>
      <c r="R591" s="33" t="e">
        <v>#VALUE!</v>
      </c>
      <c r="S591" s="35"/>
      <c r="T591" s="35"/>
      <c r="U591" s="31"/>
    </row>
    <row r="592">
      <c r="A592" s="31"/>
      <c r="B592" s="37">
        <v>45763.0</v>
      </c>
      <c r="C592" s="38" t="s">
        <v>50</v>
      </c>
      <c r="D592" s="38" t="s">
        <v>31</v>
      </c>
      <c r="E592" s="38" t="s">
        <v>702</v>
      </c>
      <c r="F592" s="38" t="s">
        <v>84</v>
      </c>
      <c r="G592" s="38" t="s">
        <v>705</v>
      </c>
      <c r="H592" s="38">
        <v>3.53567821068104E14</v>
      </c>
      <c r="I592" s="41" t="s">
        <v>436</v>
      </c>
      <c r="J592" s="38" t="s">
        <v>706</v>
      </c>
      <c r="K592" s="38" t="s">
        <v>19</v>
      </c>
      <c r="L592" s="29"/>
      <c r="M592" s="29"/>
      <c r="N592" s="29"/>
      <c r="O592" s="43"/>
      <c r="P592" s="29"/>
      <c r="Q592" s="29"/>
      <c r="R592" s="38" t="e">
        <v>#VALUE!</v>
      </c>
      <c r="S592" s="29"/>
      <c r="T592" s="29"/>
      <c r="U592" s="31"/>
    </row>
    <row r="593">
      <c r="A593" s="31"/>
      <c r="B593" s="32">
        <v>45763.0</v>
      </c>
      <c r="C593" s="33" t="s">
        <v>50</v>
      </c>
      <c r="D593" s="33" t="s">
        <v>31</v>
      </c>
      <c r="E593" s="33" t="s">
        <v>702</v>
      </c>
      <c r="F593" s="33" t="s">
        <v>84</v>
      </c>
      <c r="G593" s="33" t="s">
        <v>118</v>
      </c>
      <c r="H593" s="33">
        <v>3.53567821046225E14</v>
      </c>
      <c r="I593" s="34" t="s">
        <v>78</v>
      </c>
      <c r="J593" s="35"/>
      <c r="K593" s="33" t="s">
        <v>19</v>
      </c>
      <c r="L593" s="35"/>
      <c r="M593" s="35"/>
      <c r="N593" s="35"/>
      <c r="O593" s="42"/>
      <c r="P593" s="35"/>
      <c r="Q593" s="35"/>
      <c r="R593" s="33" t="e">
        <v>#VALUE!</v>
      </c>
      <c r="S593" s="35"/>
      <c r="T593" s="35"/>
      <c r="U593" s="31"/>
    </row>
    <row r="594">
      <c r="A594" s="31"/>
      <c r="B594" s="37">
        <v>45763.0</v>
      </c>
      <c r="C594" s="38" t="s">
        <v>50</v>
      </c>
      <c r="D594" s="38" t="s">
        <v>31</v>
      </c>
      <c r="E594" s="38" t="s">
        <v>702</v>
      </c>
      <c r="F594" s="38" t="s">
        <v>84</v>
      </c>
      <c r="G594" s="38" t="s">
        <v>118</v>
      </c>
      <c r="H594" s="38">
        <v>3.53567821044808E14</v>
      </c>
      <c r="I594" s="41" t="s">
        <v>436</v>
      </c>
      <c r="J594" s="38" t="s">
        <v>707</v>
      </c>
      <c r="K594" s="38" t="s">
        <v>19</v>
      </c>
      <c r="L594" s="29"/>
      <c r="M594" s="29"/>
      <c r="N594" s="29"/>
      <c r="O594" s="43"/>
      <c r="P594" s="29"/>
      <c r="Q594" s="29"/>
      <c r="R594" s="38" t="e">
        <v>#VALUE!</v>
      </c>
      <c r="S594" s="29"/>
      <c r="T594" s="29"/>
      <c r="U594" s="31"/>
    </row>
    <row r="595">
      <c r="A595" s="31"/>
      <c r="B595" s="32">
        <v>45763.0</v>
      </c>
      <c r="C595" s="33" t="s">
        <v>50</v>
      </c>
      <c r="D595" s="33" t="s">
        <v>31</v>
      </c>
      <c r="E595" s="33" t="s">
        <v>702</v>
      </c>
      <c r="F595" s="33" t="s">
        <v>84</v>
      </c>
      <c r="G595" s="33" t="s">
        <v>705</v>
      </c>
      <c r="H595" s="33">
        <v>3.53567821056372E14</v>
      </c>
      <c r="I595" s="34" t="s">
        <v>436</v>
      </c>
      <c r="J595" s="33" t="s">
        <v>708</v>
      </c>
      <c r="K595" s="33" t="s">
        <v>19</v>
      </c>
      <c r="L595" s="35"/>
      <c r="M595" s="35"/>
      <c r="N595" s="35"/>
      <c r="O595" s="42"/>
      <c r="P595" s="35"/>
      <c r="Q595" s="35"/>
      <c r="R595" s="33" t="e">
        <v>#VALUE!</v>
      </c>
      <c r="S595" s="35"/>
      <c r="T595" s="35"/>
      <c r="U595" s="31"/>
    </row>
    <row r="596">
      <c r="A596" s="31"/>
      <c r="B596" s="37">
        <v>45769.0</v>
      </c>
      <c r="C596" s="29"/>
      <c r="D596" s="38" t="s">
        <v>31</v>
      </c>
      <c r="E596" s="38" t="s">
        <v>343</v>
      </c>
      <c r="F596" s="38" t="s">
        <v>84</v>
      </c>
      <c r="G596" s="38" t="s">
        <v>120</v>
      </c>
      <c r="H596" s="38">
        <v>3.52901540003004E14</v>
      </c>
      <c r="I596" s="41" t="s">
        <v>78</v>
      </c>
      <c r="J596" s="29"/>
      <c r="K596" s="38" t="s">
        <v>79</v>
      </c>
      <c r="L596" s="29"/>
      <c r="M596" s="29"/>
      <c r="N596" s="29"/>
      <c r="O596" s="43"/>
      <c r="P596" s="29"/>
      <c r="Q596" s="29"/>
      <c r="R596" s="38" t="e">
        <v>#VALUE!</v>
      </c>
      <c r="S596" s="29"/>
      <c r="T596" s="29"/>
      <c r="U596" s="31"/>
    </row>
    <row r="597">
      <c r="A597" s="31"/>
      <c r="B597" s="32">
        <v>45769.0</v>
      </c>
      <c r="C597" s="35"/>
      <c r="D597" s="33" t="s">
        <v>31</v>
      </c>
      <c r="E597" s="33" t="s">
        <v>343</v>
      </c>
      <c r="F597" s="33" t="s">
        <v>84</v>
      </c>
      <c r="G597" s="33" t="s">
        <v>382</v>
      </c>
      <c r="H597" s="33">
        <v>3.52901540036558E14</v>
      </c>
      <c r="I597" s="34" t="s">
        <v>78</v>
      </c>
      <c r="J597" s="35"/>
      <c r="K597" s="33" t="s">
        <v>79</v>
      </c>
      <c r="L597" s="35"/>
      <c r="M597" s="35"/>
      <c r="N597" s="35"/>
      <c r="O597" s="42"/>
      <c r="P597" s="35"/>
      <c r="Q597" s="35"/>
      <c r="R597" s="33" t="e">
        <v>#VALUE!</v>
      </c>
      <c r="S597" s="35"/>
      <c r="T597" s="35"/>
      <c r="U597" s="31"/>
    </row>
    <row r="598">
      <c r="A598" s="31"/>
      <c r="B598" s="37">
        <v>45769.0</v>
      </c>
      <c r="C598" s="29"/>
      <c r="D598" s="38" t="s">
        <v>31</v>
      </c>
      <c r="E598" s="38" t="s">
        <v>343</v>
      </c>
      <c r="F598" s="38" t="s">
        <v>84</v>
      </c>
      <c r="G598" s="38" t="s">
        <v>382</v>
      </c>
      <c r="H598" s="48">
        <v>3.52901540005744E14</v>
      </c>
      <c r="I598" s="41" t="s">
        <v>52</v>
      </c>
      <c r="J598" s="29"/>
      <c r="K598" s="38" t="s">
        <v>79</v>
      </c>
      <c r="L598" s="29"/>
      <c r="M598" s="29"/>
      <c r="N598" s="29"/>
      <c r="O598" s="43"/>
      <c r="P598" s="29"/>
      <c r="Q598" s="29"/>
      <c r="R598" s="38" t="e">
        <v>#VALUE!</v>
      </c>
      <c r="S598" s="29"/>
      <c r="T598" s="29"/>
      <c r="U598" s="31"/>
    </row>
    <row r="599">
      <c r="A599" s="31"/>
      <c r="B599" s="44">
        <v>45769.0</v>
      </c>
      <c r="C599" s="35"/>
      <c r="D599" s="33" t="s">
        <v>31</v>
      </c>
      <c r="E599" s="33" t="s">
        <v>343</v>
      </c>
      <c r="F599" s="33" t="s">
        <v>84</v>
      </c>
      <c r="G599" s="33" t="s">
        <v>382</v>
      </c>
      <c r="H599" s="33">
        <v>3.52901540034629E14</v>
      </c>
      <c r="I599" s="34" t="s">
        <v>78</v>
      </c>
      <c r="J599" s="35"/>
      <c r="K599" s="33" t="s">
        <v>79</v>
      </c>
      <c r="L599" s="35"/>
      <c r="M599" s="35"/>
      <c r="N599" s="35"/>
      <c r="O599" s="42"/>
      <c r="P599" s="35"/>
      <c r="Q599" s="35"/>
      <c r="R599" s="33" t="e">
        <v>#VALUE!</v>
      </c>
      <c r="S599" s="35"/>
      <c r="T599" s="35"/>
      <c r="U599" s="31"/>
    </row>
    <row r="600">
      <c r="A600" s="31"/>
      <c r="B600" s="44">
        <v>45769.0</v>
      </c>
      <c r="C600" s="29"/>
      <c r="D600" s="38" t="s">
        <v>31</v>
      </c>
      <c r="E600" s="38" t="s">
        <v>343</v>
      </c>
      <c r="F600" s="38" t="s">
        <v>84</v>
      </c>
      <c r="G600" s="38" t="s">
        <v>384</v>
      </c>
      <c r="H600" s="38">
        <v>3.52901540005314E14</v>
      </c>
      <c r="I600" s="41" t="s">
        <v>78</v>
      </c>
      <c r="J600" s="29"/>
      <c r="K600" s="38" t="s">
        <v>79</v>
      </c>
      <c r="L600" s="29"/>
      <c r="M600" s="29"/>
      <c r="N600" s="29"/>
      <c r="O600" s="43"/>
      <c r="P600" s="29"/>
      <c r="Q600" s="29"/>
      <c r="R600" s="38" t="e">
        <v>#VALUE!</v>
      </c>
      <c r="S600" s="29"/>
      <c r="T600" s="29"/>
      <c r="U600" s="31"/>
    </row>
    <row r="601">
      <c r="A601" s="31"/>
      <c r="B601" s="44">
        <v>45769.0</v>
      </c>
      <c r="C601" s="35"/>
      <c r="D601" s="33" t="s">
        <v>31</v>
      </c>
      <c r="E601" s="33" t="s">
        <v>343</v>
      </c>
      <c r="F601" s="33" t="s">
        <v>84</v>
      </c>
      <c r="G601" s="33" t="s">
        <v>384</v>
      </c>
      <c r="H601" s="33">
        <v>3.52901540005447E14</v>
      </c>
      <c r="I601" s="34" t="s">
        <v>78</v>
      </c>
      <c r="J601" s="35"/>
      <c r="K601" s="33" t="s">
        <v>79</v>
      </c>
      <c r="L601" s="35"/>
      <c r="M601" s="35"/>
      <c r="N601" s="35"/>
      <c r="O601" s="42"/>
      <c r="P601" s="35"/>
      <c r="Q601" s="35"/>
      <c r="R601" s="33" t="e">
        <v>#VALUE!</v>
      </c>
      <c r="S601" s="35"/>
      <c r="T601" s="35"/>
      <c r="U601" s="31"/>
    </row>
    <row r="602">
      <c r="A602" s="31"/>
      <c r="B602" s="44">
        <v>45769.0</v>
      </c>
      <c r="C602" s="29"/>
      <c r="D602" s="38" t="s">
        <v>31</v>
      </c>
      <c r="E602" s="38" t="s">
        <v>343</v>
      </c>
      <c r="F602" s="38" t="s">
        <v>84</v>
      </c>
      <c r="G602" s="38" t="s">
        <v>120</v>
      </c>
      <c r="H602" s="38">
        <v>3.52901540001099E14</v>
      </c>
      <c r="I602" s="41" t="s">
        <v>78</v>
      </c>
      <c r="J602" s="29"/>
      <c r="K602" s="38" t="s">
        <v>79</v>
      </c>
      <c r="L602" s="29"/>
      <c r="M602" s="29"/>
      <c r="N602" s="29"/>
      <c r="O602" s="43"/>
      <c r="P602" s="29"/>
      <c r="Q602" s="29"/>
      <c r="R602" s="38" t="e">
        <v>#VALUE!</v>
      </c>
      <c r="S602" s="29"/>
      <c r="T602" s="29"/>
      <c r="U602" s="31"/>
    </row>
    <row r="603">
      <c r="A603" s="31"/>
      <c r="B603" s="44">
        <v>45769.0</v>
      </c>
      <c r="C603" s="35"/>
      <c r="D603" s="33" t="s">
        <v>31</v>
      </c>
      <c r="E603" s="33" t="s">
        <v>339</v>
      </c>
      <c r="F603" s="33" t="s">
        <v>84</v>
      </c>
      <c r="G603" s="33" t="s">
        <v>111</v>
      </c>
      <c r="H603" s="33">
        <v>3.54166470023624E14</v>
      </c>
      <c r="I603" s="34" t="s">
        <v>78</v>
      </c>
      <c r="J603" s="35"/>
      <c r="K603" s="33" t="s">
        <v>79</v>
      </c>
      <c r="L603" s="35"/>
      <c r="M603" s="35"/>
      <c r="N603" s="35"/>
      <c r="O603" s="42"/>
      <c r="P603" s="35"/>
      <c r="Q603" s="35"/>
      <c r="R603" s="33" t="e">
        <v>#VALUE!</v>
      </c>
      <c r="S603" s="35"/>
      <c r="T603" s="35"/>
      <c r="U603" s="31"/>
    </row>
    <row r="604">
      <c r="A604" s="31"/>
      <c r="B604" s="44">
        <v>45769.0</v>
      </c>
      <c r="C604" s="29"/>
      <c r="D604" s="38" t="s">
        <v>31</v>
      </c>
      <c r="E604" s="38" t="s">
        <v>339</v>
      </c>
      <c r="F604" s="38" t="s">
        <v>84</v>
      </c>
      <c r="G604" s="38" t="s">
        <v>118</v>
      </c>
      <c r="H604" s="38">
        <v>3.54166470004087E14</v>
      </c>
      <c r="I604" s="41" t="s">
        <v>78</v>
      </c>
      <c r="J604" s="29"/>
      <c r="K604" s="38" t="s">
        <v>79</v>
      </c>
      <c r="L604" s="29"/>
      <c r="M604" s="29"/>
      <c r="N604" s="29"/>
      <c r="O604" s="43"/>
      <c r="P604" s="29"/>
      <c r="Q604" s="29"/>
      <c r="R604" s="38" t="e">
        <v>#VALUE!</v>
      </c>
      <c r="S604" s="29"/>
      <c r="T604" s="29"/>
      <c r="U604" s="31"/>
    </row>
    <row r="605">
      <c r="A605" s="31"/>
      <c r="B605" s="32">
        <v>45769.0</v>
      </c>
      <c r="C605" s="35"/>
      <c r="D605" s="33" t="s">
        <v>31</v>
      </c>
      <c r="E605" s="33" t="s">
        <v>339</v>
      </c>
      <c r="F605" s="33" t="s">
        <v>84</v>
      </c>
      <c r="G605" s="33" t="s">
        <v>115</v>
      </c>
      <c r="H605" s="48">
        <v>3.54166470027385E14</v>
      </c>
      <c r="I605" s="34" t="s">
        <v>52</v>
      </c>
      <c r="J605" s="35"/>
      <c r="K605" s="33" t="s">
        <v>79</v>
      </c>
      <c r="L605" s="35"/>
      <c r="M605" s="35"/>
      <c r="N605" s="35"/>
      <c r="O605" s="42"/>
      <c r="P605" s="35"/>
      <c r="Q605" s="35"/>
      <c r="R605" s="33" t="e">
        <v>#VALUE!</v>
      </c>
      <c r="S605" s="35"/>
      <c r="T605" s="35"/>
      <c r="U605" s="31"/>
    </row>
    <row r="606">
      <c r="A606" s="31"/>
      <c r="B606" s="37">
        <v>45769.0</v>
      </c>
      <c r="C606" s="29"/>
      <c r="D606" s="38" t="s">
        <v>31</v>
      </c>
      <c r="E606" s="38" t="s">
        <v>363</v>
      </c>
      <c r="F606" s="38" t="s">
        <v>84</v>
      </c>
      <c r="G606" s="38" t="s">
        <v>115</v>
      </c>
      <c r="H606" s="38">
        <v>3.58410185006722E14</v>
      </c>
      <c r="I606" s="41" t="s">
        <v>106</v>
      </c>
      <c r="J606" s="29"/>
      <c r="K606" s="38" t="s">
        <v>79</v>
      </c>
      <c r="L606" s="29"/>
      <c r="M606" s="29"/>
      <c r="N606" s="29"/>
      <c r="O606" s="43"/>
      <c r="P606" s="29"/>
      <c r="Q606" s="29"/>
      <c r="R606" s="38" t="e">
        <v>#VALUE!</v>
      </c>
      <c r="S606" s="29"/>
      <c r="T606" s="29"/>
      <c r="U606" s="31"/>
    </row>
    <row r="607">
      <c r="A607" s="31"/>
      <c r="B607" s="32">
        <v>45769.0</v>
      </c>
      <c r="C607" s="35"/>
      <c r="D607" s="33" t="s">
        <v>31</v>
      </c>
      <c r="E607" s="33" t="s">
        <v>363</v>
      </c>
      <c r="F607" s="33" t="s">
        <v>84</v>
      </c>
      <c r="G607" s="33" t="s">
        <v>115</v>
      </c>
      <c r="H607" s="33">
        <v>3.58410185004396E14</v>
      </c>
      <c r="I607" s="34" t="s">
        <v>78</v>
      </c>
      <c r="J607" s="35"/>
      <c r="K607" s="33" t="s">
        <v>79</v>
      </c>
      <c r="L607" s="35"/>
      <c r="M607" s="35"/>
      <c r="N607" s="35"/>
      <c r="O607" s="42"/>
      <c r="P607" s="35"/>
      <c r="Q607" s="35"/>
      <c r="R607" s="33" t="e">
        <v>#VALUE!</v>
      </c>
      <c r="S607" s="35"/>
      <c r="T607" s="35"/>
      <c r="U607" s="31"/>
    </row>
    <row r="608">
      <c r="A608" s="31"/>
      <c r="B608" s="37">
        <v>45775.0</v>
      </c>
      <c r="C608" s="38" t="s">
        <v>16</v>
      </c>
      <c r="D608" s="38" t="s">
        <v>31</v>
      </c>
      <c r="E608" s="38" t="s">
        <v>700</v>
      </c>
      <c r="F608" s="38" t="s">
        <v>152</v>
      </c>
      <c r="G608" s="38" t="s">
        <v>572</v>
      </c>
      <c r="H608" s="38">
        <v>3.50334720902997E14</v>
      </c>
      <c r="I608" s="41" t="s">
        <v>88</v>
      </c>
      <c r="J608" s="38" t="s">
        <v>400</v>
      </c>
      <c r="K608" s="38" t="s">
        <v>11</v>
      </c>
      <c r="L608" s="29"/>
      <c r="M608" s="29"/>
      <c r="N608" s="29"/>
      <c r="O608" s="43"/>
      <c r="P608" s="29"/>
      <c r="Q608" s="29"/>
      <c r="R608" s="38" t="e">
        <v>#VALUE!</v>
      </c>
      <c r="S608" s="29"/>
      <c r="T608" s="29"/>
      <c r="U608" s="31"/>
    </row>
    <row r="609">
      <c r="A609" s="31"/>
      <c r="B609" s="32">
        <v>45777.0</v>
      </c>
      <c r="C609" s="33" t="s">
        <v>46</v>
      </c>
      <c r="D609" s="33" t="s">
        <v>31</v>
      </c>
      <c r="E609" s="33" t="s">
        <v>709</v>
      </c>
      <c r="F609" s="35"/>
      <c r="G609" s="35"/>
      <c r="H609" s="35"/>
      <c r="I609" s="42"/>
      <c r="J609" s="35"/>
      <c r="K609" s="35"/>
      <c r="L609" s="35"/>
      <c r="M609" s="35"/>
      <c r="N609" s="35"/>
      <c r="O609" s="42"/>
      <c r="P609" s="35"/>
      <c r="Q609" s="35"/>
      <c r="R609" s="33" t="e">
        <v>#VALUE!</v>
      </c>
      <c r="S609" s="35"/>
      <c r="T609" s="35"/>
      <c r="U609" s="31"/>
    </row>
    <row r="610">
      <c r="A610" s="31"/>
      <c r="B610" s="51">
        <v>45782.0</v>
      </c>
      <c r="C610" s="38" t="s">
        <v>50</v>
      </c>
      <c r="D610" s="38" t="s">
        <v>31</v>
      </c>
      <c r="E610" s="38" t="s">
        <v>702</v>
      </c>
      <c r="F610" s="38" t="s">
        <v>84</v>
      </c>
      <c r="G610" s="38" t="s">
        <v>176</v>
      </c>
      <c r="H610" s="38">
        <v>3.5356782103031E14</v>
      </c>
      <c r="I610" s="41" t="s">
        <v>710</v>
      </c>
      <c r="J610" s="29"/>
      <c r="K610" s="38" t="s">
        <v>11</v>
      </c>
      <c r="L610" s="29"/>
      <c r="M610" s="29"/>
      <c r="N610" s="29"/>
      <c r="O610" s="43"/>
      <c r="P610" s="29"/>
      <c r="Q610" s="29"/>
      <c r="R610" s="38" t="e">
        <v>#VALUE!</v>
      </c>
      <c r="S610" s="29"/>
      <c r="T610" s="29"/>
      <c r="U610" s="31"/>
    </row>
    <row r="611">
      <c r="A611" s="31"/>
      <c r="B611" s="52">
        <v>45782.0</v>
      </c>
      <c r="C611" s="33" t="s">
        <v>50</v>
      </c>
      <c r="D611" s="33" t="s">
        <v>31</v>
      </c>
      <c r="E611" s="33" t="s">
        <v>702</v>
      </c>
      <c r="F611" s="33" t="s">
        <v>84</v>
      </c>
      <c r="G611" s="33" t="s">
        <v>118</v>
      </c>
      <c r="H611" s="33">
        <v>3.53567821047553E14</v>
      </c>
      <c r="I611" s="34" t="s">
        <v>710</v>
      </c>
      <c r="J611" s="35"/>
      <c r="K611" s="33" t="s">
        <v>11</v>
      </c>
      <c r="L611" s="35"/>
      <c r="M611" s="35"/>
      <c r="N611" s="35"/>
      <c r="O611" s="42"/>
      <c r="P611" s="35"/>
      <c r="Q611" s="35"/>
      <c r="R611" s="33" t="e">
        <v>#VALUE!</v>
      </c>
      <c r="S611" s="35"/>
      <c r="T611" s="35"/>
      <c r="U611" s="31"/>
    </row>
    <row r="612">
      <c r="A612" s="31"/>
      <c r="B612" s="51">
        <v>45782.0</v>
      </c>
      <c r="C612" s="38" t="s">
        <v>50</v>
      </c>
      <c r="D612" s="38" t="s">
        <v>31</v>
      </c>
      <c r="E612" s="38" t="s">
        <v>702</v>
      </c>
      <c r="F612" s="38" t="s">
        <v>84</v>
      </c>
      <c r="G612" s="38" t="s">
        <v>176</v>
      </c>
      <c r="H612" s="38">
        <v>3.5356782102753E14</v>
      </c>
      <c r="I612" s="41" t="s">
        <v>710</v>
      </c>
      <c r="J612" s="29"/>
      <c r="K612" s="38" t="s">
        <v>11</v>
      </c>
      <c r="L612" s="29"/>
      <c r="M612" s="29"/>
      <c r="N612" s="29"/>
      <c r="O612" s="43"/>
      <c r="P612" s="29"/>
      <c r="Q612" s="29"/>
      <c r="R612" s="38" t="e">
        <v>#VALUE!</v>
      </c>
      <c r="S612" s="29"/>
      <c r="T612" s="29"/>
      <c r="U612" s="31"/>
    </row>
    <row r="613">
      <c r="A613" s="31"/>
      <c r="B613" s="52">
        <v>45782.0</v>
      </c>
      <c r="C613" s="33" t="s">
        <v>50</v>
      </c>
      <c r="D613" s="33" t="s">
        <v>31</v>
      </c>
      <c r="E613" s="33" t="s">
        <v>702</v>
      </c>
      <c r="F613" s="33" t="s">
        <v>84</v>
      </c>
      <c r="G613" s="33" t="s">
        <v>176</v>
      </c>
      <c r="H613" s="33">
        <v>3.53567821028512E14</v>
      </c>
      <c r="I613" s="34" t="s">
        <v>436</v>
      </c>
      <c r="J613" s="33" t="s">
        <v>711</v>
      </c>
      <c r="K613" s="33" t="s">
        <v>11</v>
      </c>
      <c r="L613" s="35"/>
      <c r="M613" s="35"/>
      <c r="N613" s="35"/>
      <c r="O613" s="42"/>
      <c r="P613" s="35"/>
      <c r="Q613" s="35"/>
      <c r="R613" s="33" t="e">
        <v>#VALUE!</v>
      </c>
      <c r="S613" s="35"/>
      <c r="T613" s="35"/>
      <c r="U613" s="31"/>
    </row>
    <row r="614">
      <c r="A614" s="31"/>
      <c r="B614" s="51">
        <v>45782.0</v>
      </c>
      <c r="C614" s="38" t="s">
        <v>50</v>
      </c>
      <c r="D614" s="38" t="s">
        <v>31</v>
      </c>
      <c r="E614" s="38" t="s">
        <v>702</v>
      </c>
      <c r="F614" s="38" t="s">
        <v>84</v>
      </c>
      <c r="G614" s="38" t="s">
        <v>705</v>
      </c>
      <c r="H614" s="38">
        <v>3.5356782106925E14</v>
      </c>
      <c r="I614" s="41" t="s">
        <v>710</v>
      </c>
      <c r="J614" s="38" t="s">
        <v>712</v>
      </c>
      <c r="K614" s="38" t="s">
        <v>11</v>
      </c>
      <c r="L614" s="29"/>
      <c r="M614" s="29"/>
      <c r="N614" s="29"/>
      <c r="O614" s="43"/>
      <c r="P614" s="29"/>
      <c r="Q614" s="29"/>
      <c r="R614" s="38" t="e">
        <v>#VALUE!</v>
      </c>
      <c r="S614" s="29"/>
      <c r="T614" s="29"/>
      <c r="U614" s="31"/>
    </row>
    <row r="615">
      <c r="A615" s="31"/>
      <c r="B615" s="52">
        <v>45782.0</v>
      </c>
      <c r="C615" s="33" t="s">
        <v>50</v>
      </c>
      <c r="D615" s="33" t="s">
        <v>31</v>
      </c>
      <c r="E615" s="33" t="s">
        <v>702</v>
      </c>
      <c r="F615" s="33" t="s">
        <v>84</v>
      </c>
      <c r="G615" s="33" t="s">
        <v>705</v>
      </c>
      <c r="H615" s="33">
        <v>3.53567821058899E14</v>
      </c>
      <c r="I615" s="34" t="s">
        <v>710</v>
      </c>
      <c r="J615" s="33" t="s">
        <v>712</v>
      </c>
      <c r="K615" s="33" t="s">
        <v>11</v>
      </c>
      <c r="L615" s="35"/>
      <c r="M615" s="35"/>
      <c r="N615" s="35"/>
      <c r="O615" s="42"/>
      <c r="P615" s="35"/>
      <c r="Q615" s="35"/>
      <c r="R615" s="33" t="e">
        <v>#VALUE!</v>
      </c>
      <c r="S615" s="35"/>
      <c r="T615" s="35"/>
      <c r="U615" s="31"/>
    </row>
    <row r="616">
      <c r="A616" s="31"/>
      <c r="B616" s="51">
        <v>45782.0</v>
      </c>
      <c r="C616" s="38" t="s">
        <v>50</v>
      </c>
      <c r="D616" s="38" t="s">
        <v>31</v>
      </c>
      <c r="E616" s="38" t="s">
        <v>702</v>
      </c>
      <c r="F616" s="38" t="s">
        <v>84</v>
      </c>
      <c r="G616" s="38" t="s">
        <v>118</v>
      </c>
      <c r="H616" s="38">
        <v>3.53567821053502E14</v>
      </c>
      <c r="I616" s="43"/>
      <c r="J616" s="29"/>
      <c r="K616" s="38" t="s">
        <v>11</v>
      </c>
      <c r="L616" s="29"/>
      <c r="M616" s="29"/>
      <c r="N616" s="29"/>
      <c r="O616" s="43"/>
      <c r="P616" s="29"/>
      <c r="Q616" s="29"/>
      <c r="R616" s="38" t="e">
        <v>#VALUE!</v>
      </c>
      <c r="S616" s="29"/>
      <c r="T616" s="29"/>
      <c r="U616" s="31"/>
    </row>
    <row r="617">
      <c r="A617" s="31"/>
      <c r="B617" s="52">
        <v>45786.0</v>
      </c>
      <c r="C617" s="33" t="s">
        <v>47</v>
      </c>
      <c r="D617" s="33" t="s">
        <v>31</v>
      </c>
      <c r="E617" s="33" t="s">
        <v>339</v>
      </c>
      <c r="F617" s="33" t="s">
        <v>84</v>
      </c>
      <c r="G617" s="33" t="s">
        <v>111</v>
      </c>
      <c r="H617" s="33">
        <v>3.54166470024028E14</v>
      </c>
      <c r="I617" s="34" t="s">
        <v>47</v>
      </c>
      <c r="J617" s="35"/>
      <c r="K617" s="33" t="s">
        <v>11</v>
      </c>
      <c r="L617" s="35"/>
      <c r="M617" s="35"/>
      <c r="N617" s="35"/>
      <c r="O617" s="42"/>
      <c r="P617" s="35"/>
      <c r="Q617" s="35"/>
      <c r="R617" s="33" t="e">
        <v>#VALUE!</v>
      </c>
      <c r="S617" s="35"/>
      <c r="T617" s="35"/>
      <c r="U617" s="31"/>
    </row>
    <row r="618">
      <c r="A618" s="31"/>
      <c r="B618" s="51">
        <v>45786.0</v>
      </c>
      <c r="C618" s="38" t="s">
        <v>47</v>
      </c>
      <c r="D618" s="38" t="s">
        <v>31</v>
      </c>
      <c r="E618" s="38" t="s">
        <v>343</v>
      </c>
      <c r="F618" s="38" t="s">
        <v>84</v>
      </c>
      <c r="G618" s="41" t="s">
        <v>345</v>
      </c>
      <c r="H618" s="38">
        <v>3.52901540038448E14</v>
      </c>
      <c r="I618" s="41" t="s">
        <v>47</v>
      </c>
      <c r="J618" s="29"/>
      <c r="K618" s="38" t="s">
        <v>11</v>
      </c>
      <c r="L618" s="29"/>
      <c r="M618" s="29"/>
      <c r="N618" s="29"/>
      <c r="O618" s="43"/>
      <c r="P618" s="29"/>
      <c r="Q618" s="29"/>
      <c r="R618" s="38" t="e">
        <v>#VALUE!</v>
      </c>
      <c r="S618" s="29"/>
      <c r="T618" s="29"/>
      <c r="U618" s="31"/>
    </row>
    <row r="619">
      <c r="A619" s="31"/>
      <c r="B619" s="52">
        <v>45786.0</v>
      </c>
      <c r="C619" s="33" t="s">
        <v>47</v>
      </c>
      <c r="D619" s="33" t="s">
        <v>31</v>
      </c>
      <c r="E619" s="33" t="s">
        <v>713</v>
      </c>
      <c r="F619" s="33" t="s">
        <v>84</v>
      </c>
      <c r="G619" s="33" t="s">
        <v>120</v>
      </c>
      <c r="H619" s="33">
        <v>3.52901540002436E14</v>
      </c>
      <c r="I619" s="34" t="s">
        <v>47</v>
      </c>
      <c r="J619" s="35"/>
      <c r="K619" s="33" t="s">
        <v>11</v>
      </c>
      <c r="L619" s="35"/>
      <c r="M619" s="35"/>
      <c r="N619" s="35"/>
      <c r="O619" s="42"/>
      <c r="P619" s="35"/>
      <c r="Q619" s="35"/>
      <c r="R619" s="33" t="e">
        <v>#VALUE!</v>
      </c>
      <c r="S619" s="35"/>
      <c r="T619" s="35"/>
      <c r="U619" s="31"/>
    </row>
    <row r="620">
      <c r="A620" s="31"/>
      <c r="B620" s="51">
        <v>45786.0</v>
      </c>
      <c r="C620" s="38" t="s">
        <v>47</v>
      </c>
      <c r="D620" s="38" t="s">
        <v>31</v>
      </c>
      <c r="E620" s="38" t="s">
        <v>339</v>
      </c>
      <c r="F620" s="38" t="s">
        <v>84</v>
      </c>
      <c r="G620" s="38" t="s">
        <v>364</v>
      </c>
      <c r="H620" s="38">
        <v>3.54166470002941E14</v>
      </c>
      <c r="I620" s="41" t="s">
        <v>47</v>
      </c>
      <c r="J620" s="29"/>
      <c r="K620" s="38" t="s">
        <v>11</v>
      </c>
      <c r="L620" s="29"/>
      <c r="M620" s="29"/>
      <c r="N620" s="29"/>
      <c r="O620" s="43"/>
      <c r="P620" s="29"/>
      <c r="Q620" s="29"/>
      <c r="R620" s="38" t="e">
        <v>#VALUE!</v>
      </c>
      <c r="S620" s="29"/>
      <c r="T620" s="29"/>
      <c r="U620" s="31"/>
    </row>
    <row r="621">
      <c r="A621" s="31"/>
      <c r="B621" s="52">
        <v>45786.0</v>
      </c>
      <c r="C621" s="33" t="s">
        <v>47</v>
      </c>
      <c r="D621" s="33" t="s">
        <v>31</v>
      </c>
      <c r="E621" s="33" t="s">
        <v>343</v>
      </c>
      <c r="F621" s="33" t="s">
        <v>84</v>
      </c>
      <c r="G621" s="33" t="s">
        <v>120</v>
      </c>
      <c r="H621" s="33">
        <v>3.52901540002782E14</v>
      </c>
      <c r="I621" s="34" t="s">
        <v>47</v>
      </c>
      <c r="J621" s="35"/>
      <c r="K621" s="33" t="s">
        <v>11</v>
      </c>
      <c r="L621" s="35"/>
      <c r="M621" s="35"/>
      <c r="N621" s="35"/>
      <c r="O621" s="42"/>
      <c r="P621" s="35"/>
      <c r="Q621" s="35"/>
      <c r="R621" s="33" t="e">
        <v>#VALUE!</v>
      </c>
      <c r="S621" s="35"/>
      <c r="T621" s="35"/>
      <c r="U621" s="31"/>
    </row>
    <row r="622">
      <c r="A622" s="31"/>
      <c r="B622" s="51">
        <v>45786.0</v>
      </c>
      <c r="C622" s="38" t="s">
        <v>47</v>
      </c>
      <c r="D622" s="38" t="s">
        <v>31</v>
      </c>
      <c r="E622" s="38" t="s">
        <v>363</v>
      </c>
      <c r="F622" s="38" t="s">
        <v>84</v>
      </c>
      <c r="G622" s="38" t="s">
        <v>364</v>
      </c>
      <c r="H622" s="38">
        <v>3.58410185024543E14</v>
      </c>
      <c r="I622" s="41" t="s">
        <v>47</v>
      </c>
      <c r="J622" s="29"/>
      <c r="K622" s="38" t="s">
        <v>11</v>
      </c>
      <c r="L622" s="29"/>
      <c r="M622" s="29"/>
      <c r="N622" s="29"/>
      <c r="O622" s="43"/>
      <c r="P622" s="29"/>
      <c r="Q622" s="29"/>
      <c r="R622" s="38" t="e">
        <v>#VALUE!</v>
      </c>
      <c r="S622" s="29"/>
      <c r="T622" s="29"/>
      <c r="U622" s="31"/>
    </row>
    <row r="623">
      <c r="A623" s="31"/>
      <c r="B623" s="52">
        <v>45786.0</v>
      </c>
      <c r="C623" s="33" t="s">
        <v>47</v>
      </c>
      <c r="D623" s="33" t="s">
        <v>31</v>
      </c>
      <c r="E623" s="33" t="s">
        <v>339</v>
      </c>
      <c r="F623" s="33" t="s">
        <v>84</v>
      </c>
      <c r="G623" s="33" t="s">
        <v>364</v>
      </c>
      <c r="H623" s="33">
        <v>3.54166470002859E14</v>
      </c>
      <c r="I623" s="34" t="s">
        <v>47</v>
      </c>
      <c r="J623" s="35"/>
      <c r="K623" s="33" t="s">
        <v>11</v>
      </c>
      <c r="L623" s="35"/>
      <c r="M623" s="35"/>
      <c r="N623" s="35"/>
      <c r="O623" s="42"/>
      <c r="P623" s="35"/>
      <c r="Q623" s="35"/>
      <c r="R623" s="33" t="e">
        <v>#VALUE!</v>
      </c>
      <c r="S623" s="35"/>
      <c r="T623" s="35"/>
      <c r="U623" s="31"/>
    </row>
    <row r="624">
      <c r="A624" s="31"/>
      <c r="B624" s="51">
        <v>45786.0</v>
      </c>
      <c r="C624" s="38" t="s">
        <v>47</v>
      </c>
      <c r="D624" s="38" t="s">
        <v>31</v>
      </c>
      <c r="E624" s="38" t="s">
        <v>363</v>
      </c>
      <c r="F624" s="38" t="s">
        <v>84</v>
      </c>
      <c r="G624" s="38" t="s">
        <v>111</v>
      </c>
      <c r="H624" s="38">
        <v>3.58410185002861E14</v>
      </c>
      <c r="I624" s="41" t="s">
        <v>47</v>
      </c>
      <c r="J624" s="29"/>
      <c r="K624" s="38" t="s">
        <v>11</v>
      </c>
      <c r="L624" s="29"/>
      <c r="M624" s="29"/>
      <c r="N624" s="29"/>
      <c r="O624" s="43"/>
      <c r="P624" s="29"/>
      <c r="Q624" s="29"/>
      <c r="R624" s="38" t="e">
        <v>#VALUE!</v>
      </c>
      <c r="S624" s="29"/>
      <c r="T624" s="29"/>
      <c r="U624" s="31"/>
    </row>
    <row r="625">
      <c r="A625" s="31"/>
      <c r="B625" s="52">
        <v>45786.0</v>
      </c>
      <c r="C625" s="33" t="s">
        <v>47</v>
      </c>
      <c r="D625" s="33" t="s">
        <v>31</v>
      </c>
      <c r="E625" s="33" t="s">
        <v>343</v>
      </c>
      <c r="F625" s="33" t="s">
        <v>84</v>
      </c>
      <c r="G625" s="34" t="s">
        <v>714</v>
      </c>
      <c r="H625" s="33">
        <v>3.52901540006445E14</v>
      </c>
      <c r="I625" s="34" t="s">
        <v>47</v>
      </c>
      <c r="J625" s="35"/>
      <c r="K625" s="33" t="s">
        <v>11</v>
      </c>
      <c r="L625" s="35"/>
      <c r="M625" s="35"/>
      <c r="N625" s="35"/>
      <c r="O625" s="42"/>
      <c r="P625" s="35"/>
      <c r="Q625" s="35"/>
      <c r="R625" s="33" t="e">
        <v>#VALUE!</v>
      </c>
      <c r="S625" s="35"/>
      <c r="T625" s="35"/>
      <c r="U625" s="31"/>
    </row>
    <row r="626">
      <c r="A626" s="31"/>
      <c r="B626" s="51">
        <v>45786.0</v>
      </c>
      <c r="C626" s="38" t="s">
        <v>47</v>
      </c>
      <c r="D626" s="38" t="s">
        <v>31</v>
      </c>
      <c r="E626" s="38" t="s">
        <v>363</v>
      </c>
      <c r="F626" s="38" t="s">
        <v>84</v>
      </c>
      <c r="G626" s="38" t="s">
        <v>115</v>
      </c>
      <c r="H626" s="38">
        <v>3.5841018500668E14</v>
      </c>
      <c r="I626" s="41" t="s">
        <v>47</v>
      </c>
      <c r="J626" s="29"/>
      <c r="K626" s="38" t="s">
        <v>11</v>
      </c>
      <c r="L626" s="29"/>
      <c r="M626" s="29"/>
      <c r="N626" s="29"/>
      <c r="O626" s="43"/>
      <c r="P626" s="29"/>
      <c r="Q626" s="29"/>
      <c r="R626" s="38" t="e">
        <v>#VALUE!</v>
      </c>
      <c r="S626" s="29"/>
      <c r="T626" s="29"/>
      <c r="U626" s="31"/>
    </row>
    <row r="627">
      <c r="A627" s="31"/>
      <c r="B627" s="52">
        <v>45786.0</v>
      </c>
      <c r="C627" s="33" t="s">
        <v>47</v>
      </c>
      <c r="D627" s="33" t="s">
        <v>31</v>
      </c>
      <c r="E627" s="33" t="s">
        <v>363</v>
      </c>
      <c r="F627" s="33" t="s">
        <v>84</v>
      </c>
      <c r="G627" s="33" t="s">
        <v>364</v>
      </c>
      <c r="H627" s="33">
        <v>3.58410185020269E14</v>
      </c>
      <c r="I627" s="34" t="s">
        <v>47</v>
      </c>
      <c r="J627" s="35"/>
      <c r="K627" s="33" t="s">
        <v>11</v>
      </c>
      <c r="L627" s="35"/>
      <c r="M627" s="35"/>
      <c r="N627" s="35"/>
      <c r="O627" s="42"/>
      <c r="P627" s="35"/>
      <c r="Q627" s="35"/>
      <c r="R627" s="33" t="e">
        <v>#VALUE!</v>
      </c>
      <c r="S627" s="35"/>
      <c r="T627" s="35"/>
      <c r="U627" s="31"/>
    </row>
    <row r="628">
      <c r="A628" s="31"/>
      <c r="B628" s="51">
        <v>45786.0</v>
      </c>
      <c r="C628" s="38" t="s">
        <v>47</v>
      </c>
      <c r="D628" s="38" t="s">
        <v>31</v>
      </c>
      <c r="E628" s="38" t="s">
        <v>363</v>
      </c>
      <c r="F628" s="38" t="s">
        <v>84</v>
      </c>
      <c r="G628" s="38" t="s">
        <v>111</v>
      </c>
      <c r="H628" s="38">
        <v>3.58410185002424E14</v>
      </c>
      <c r="I628" s="41" t="s">
        <v>47</v>
      </c>
      <c r="J628" s="29"/>
      <c r="K628" s="38" t="s">
        <v>11</v>
      </c>
      <c r="L628" s="29"/>
      <c r="M628" s="29"/>
      <c r="N628" s="29"/>
      <c r="O628" s="43"/>
      <c r="P628" s="29"/>
      <c r="Q628" s="29"/>
      <c r="R628" s="38" t="e">
        <v>#VALUE!</v>
      </c>
      <c r="S628" s="29"/>
      <c r="T628" s="29"/>
      <c r="U628" s="31"/>
    </row>
    <row r="629">
      <c r="A629" s="31"/>
      <c r="B629" s="52">
        <v>45791.0</v>
      </c>
      <c r="C629" s="33" t="s">
        <v>128</v>
      </c>
      <c r="D629" s="33" t="s">
        <v>42</v>
      </c>
      <c r="E629" s="33" t="s">
        <v>715</v>
      </c>
      <c r="F629" s="33" t="s">
        <v>84</v>
      </c>
      <c r="G629" s="33" t="s">
        <v>136</v>
      </c>
      <c r="H629" s="33" t="s">
        <v>716</v>
      </c>
      <c r="I629" s="34" t="s">
        <v>78</v>
      </c>
      <c r="J629" s="35"/>
      <c r="K629" s="33" t="s">
        <v>11</v>
      </c>
      <c r="L629" s="35"/>
      <c r="M629" s="35"/>
      <c r="N629" s="35"/>
      <c r="O629" s="42"/>
      <c r="P629" s="35"/>
      <c r="Q629" s="35"/>
      <c r="R629" s="33" t="e">
        <v>#VALUE!</v>
      </c>
      <c r="S629" s="35"/>
      <c r="T629" s="35"/>
      <c r="U629" s="31"/>
    </row>
    <row r="630">
      <c r="A630" s="31"/>
      <c r="B630" s="51">
        <v>45791.0</v>
      </c>
      <c r="C630" s="38" t="s">
        <v>128</v>
      </c>
      <c r="D630" s="38" t="s">
        <v>42</v>
      </c>
      <c r="E630" s="38" t="s">
        <v>715</v>
      </c>
      <c r="F630" s="38" t="s">
        <v>84</v>
      </c>
      <c r="G630" s="38" t="s">
        <v>136</v>
      </c>
      <c r="H630" s="38" t="s">
        <v>717</v>
      </c>
      <c r="I630" s="41" t="s">
        <v>78</v>
      </c>
      <c r="J630" s="29"/>
      <c r="K630" s="38" t="s">
        <v>11</v>
      </c>
      <c r="L630" s="29"/>
      <c r="M630" s="29"/>
      <c r="N630" s="29"/>
      <c r="O630" s="43"/>
      <c r="P630" s="29"/>
      <c r="Q630" s="29"/>
      <c r="R630" s="38" t="e">
        <v>#VALUE!</v>
      </c>
      <c r="S630" s="29"/>
      <c r="T630" s="29"/>
      <c r="U630" s="31"/>
    </row>
    <row r="631">
      <c r="A631" s="31"/>
      <c r="B631" s="52">
        <v>45791.0</v>
      </c>
      <c r="C631" s="33" t="s">
        <v>128</v>
      </c>
      <c r="D631" s="33" t="s">
        <v>42</v>
      </c>
      <c r="E631" s="33" t="s">
        <v>718</v>
      </c>
      <c r="F631" s="33" t="s">
        <v>152</v>
      </c>
      <c r="G631" s="33" t="s">
        <v>136</v>
      </c>
      <c r="H631" s="33" t="s">
        <v>719</v>
      </c>
      <c r="I631" s="34" t="s">
        <v>78</v>
      </c>
      <c r="J631" s="35"/>
      <c r="K631" s="33" t="s">
        <v>11</v>
      </c>
      <c r="L631" s="35"/>
      <c r="M631" s="35"/>
      <c r="N631" s="35"/>
      <c r="O631" s="42"/>
      <c r="P631" s="35"/>
      <c r="Q631" s="35"/>
      <c r="R631" s="33" t="e">
        <v>#VALUE!</v>
      </c>
      <c r="S631" s="35"/>
      <c r="T631" s="35"/>
      <c r="U631" s="31"/>
    </row>
    <row r="632">
      <c r="A632" s="31"/>
      <c r="B632" s="51">
        <v>45791.0</v>
      </c>
      <c r="C632" s="38" t="s">
        <v>128</v>
      </c>
      <c r="D632" s="38" t="s">
        <v>42</v>
      </c>
      <c r="E632" s="38" t="s">
        <v>718</v>
      </c>
      <c r="F632" s="38" t="s">
        <v>152</v>
      </c>
      <c r="G632" s="38" t="s">
        <v>136</v>
      </c>
      <c r="H632" s="38" t="s">
        <v>720</v>
      </c>
      <c r="I632" s="41" t="s">
        <v>78</v>
      </c>
      <c r="J632" s="29"/>
      <c r="K632" s="38" t="s">
        <v>11</v>
      </c>
      <c r="L632" s="29"/>
      <c r="M632" s="29"/>
      <c r="N632" s="29"/>
      <c r="O632" s="43"/>
      <c r="P632" s="29"/>
      <c r="Q632" s="29"/>
      <c r="R632" s="38" t="e">
        <v>#VALUE!</v>
      </c>
      <c r="S632" s="29"/>
      <c r="T632" s="29"/>
      <c r="U632" s="31"/>
    </row>
    <row r="633">
      <c r="A633" s="31"/>
      <c r="B633" s="52">
        <v>45791.0</v>
      </c>
      <c r="C633" s="33" t="s">
        <v>16</v>
      </c>
      <c r="D633" s="33" t="s">
        <v>31</v>
      </c>
      <c r="E633" s="33" t="s">
        <v>412</v>
      </c>
      <c r="F633" s="33" t="s">
        <v>84</v>
      </c>
      <c r="G633" s="33" t="s">
        <v>413</v>
      </c>
      <c r="H633" s="33">
        <v>3.55326624948626E14</v>
      </c>
      <c r="I633" s="34" t="s">
        <v>78</v>
      </c>
      <c r="J633" s="35"/>
      <c r="K633" s="35"/>
      <c r="L633" s="35"/>
      <c r="M633" s="35"/>
      <c r="N633" s="35"/>
      <c r="O633" s="42"/>
      <c r="P633" s="35"/>
      <c r="Q633" s="35"/>
      <c r="R633" s="33" t="e">
        <v>#VALUE!</v>
      </c>
      <c r="S633" s="35"/>
      <c r="T633" s="35"/>
      <c r="U633" s="31"/>
    </row>
    <row r="634">
      <c r="A634" s="31"/>
      <c r="B634" s="51">
        <v>45791.0</v>
      </c>
      <c r="C634" s="38" t="s">
        <v>16</v>
      </c>
      <c r="D634" s="38" t="s">
        <v>31</v>
      </c>
      <c r="E634" s="38" t="s">
        <v>562</v>
      </c>
      <c r="F634" s="38" t="s">
        <v>84</v>
      </c>
      <c r="G634" s="38" t="s">
        <v>553</v>
      </c>
      <c r="H634" s="38">
        <v>3.55954710041962E14</v>
      </c>
      <c r="I634" s="41" t="s">
        <v>78</v>
      </c>
      <c r="J634" s="29"/>
      <c r="K634" s="29"/>
      <c r="L634" s="29"/>
      <c r="M634" s="29"/>
      <c r="N634" s="29"/>
      <c r="O634" s="43"/>
      <c r="P634" s="29"/>
      <c r="Q634" s="29"/>
      <c r="R634" s="38" t="e">
        <v>#VALUE!</v>
      </c>
      <c r="S634" s="29"/>
      <c r="T634" s="29"/>
      <c r="U634" s="31"/>
    </row>
    <row r="635">
      <c r="A635" s="31"/>
      <c r="B635" s="52">
        <v>45791.0</v>
      </c>
      <c r="C635" s="33" t="s">
        <v>16</v>
      </c>
      <c r="D635" s="33" t="s">
        <v>31</v>
      </c>
      <c r="E635" s="33" t="s">
        <v>562</v>
      </c>
      <c r="F635" s="33" t="s">
        <v>84</v>
      </c>
      <c r="G635" s="33" t="s">
        <v>721</v>
      </c>
      <c r="H635" s="33">
        <v>3.50716260161952E14</v>
      </c>
      <c r="I635" s="34" t="s">
        <v>78</v>
      </c>
      <c r="J635" s="35"/>
      <c r="K635" s="35"/>
      <c r="L635" s="35"/>
      <c r="M635" s="35"/>
      <c r="N635" s="35"/>
      <c r="O635" s="42"/>
      <c r="P635" s="35"/>
      <c r="Q635" s="35"/>
      <c r="R635" s="33" t="e">
        <v>#VALUE!</v>
      </c>
      <c r="S635" s="35"/>
      <c r="T635" s="35"/>
      <c r="U635" s="31"/>
    </row>
    <row r="636">
      <c r="A636" s="31"/>
      <c r="C636" s="29"/>
      <c r="D636" s="29"/>
      <c r="E636" s="38" t="s">
        <v>412</v>
      </c>
      <c r="F636" s="38" t="s">
        <v>84</v>
      </c>
      <c r="G636" s="38" t="s">
        <v>416</v>
      </c>
      <c r="H636" s="38">
        <v>3.55326620048272E14</v>
      </c>
      <c r="I636" s="41" t="s">
        <v>78</v>
      </c>
      <c r="J636" s="29"/>
      <c r="K636" s="29"/>
      <c r="L636" s="29"/>
      <c r="M636" s="29"/>
      <c r="N636" s="29"/>
      <c r="O636" s="43"/>
      <c r="P636" s="29"/>
      <c r="Q636" s="29"/>
      <c r="R636" s="38" t="e">
        <v>#VALUE!</v>
      </c>
      <c r="S636" s="29"/>
      <c r="T636" s="29"/>
      <c r="U636" s="31"/>
    </row>
    <row r="637">
      <c r="A637" s="31"/>
      <c r="C637" s="35"/>
      <c r="D637" s="35"/>
      <c r="E637" s="33" t="s">
        <v>412</v>
      </c>
      <c r="F637" s="33" t="s">
        <v>84</v>
      </c>
      <c r="G637" s="33" t="s">
        <v>553</v>
      </c>
      <c r="H637" s="33">
        <v>3.55326620077693E14</v>
      </c>
      <c r="I637" s="34" t="s">
        <v>78</v>
      </c>
      <c r="J637" s="35"/>
      <c r="K637" s="35"/>
      <c r="L637" s="35"/>
      <c r="M637" s="35"/>
      <c r="N637" s="35"/>
      <c r="O637" s="42"/>
      <c r="P637" s="35"/>
      <c r="Q637" s="35"/>
      <c r="R637" s="33" t="e">
        <v>#VALUE!</v>
      </c>
      <c r="S637" s="35"/>
      <c r="T637" s="35"/>
      <c r="U637" s="31"/>
    </row>
    <row r="638">
      <c r="A638" s="31"/>
      <c r="C638" s="38" t="s">
        <v>30</v>
      </c>
      <c r="D638" s="38" t="s">
        <v>44</v>
      </c>
      <c r="E638" s="38" t="s">
        <v>722</v>
      </c>
      <c r="F638" s="29"/>
      <c r="G638" s="38" t="s">
        <v>263</v>
      </c>
      <c r="H638" s="38" t="s">
        <v>723</v>
      </c>
      <c r="I638" s="41" t="s">
        <v>86</v>
      </c>
      <c r="J638" s="38" t="s">
        <v>549</v>
      </c>
      <c r="K638" s="29"/>
      <c r="L638" s="29"/>
      <c r="M638" s="29"/>
      <c r="N638" s="29"/>
      <c r="O638" s="43"/>
      <c r="P638" s="29"/>
      <c r="Q638" s="29"/>
      <c r="R638" s="38" t="e">
        <v>#VALUE!</v>
      </c>
      <c r="S638" s="29"/>
      <c r="T638" s="29"/>
      <c r="U638" s="31"/>
    </row>
    <row r="639">
      <c r="A639" s="31"/>
      <c r="C639" s="33" t="s">
        <v>30</v>
      </c>
      <c r="D639" s="33" t="s">
        <v>44</v>
      </c>
      <c r="E639" s="33" t="s">
        <v>722</v>
      </c>
      <c r="F639" s="35"/>
      <c r="G639" s="33" t="s">
        <v>124</v>
      </c>
      <c r="H639" s="33" t="s">
        <v>724</v>
      </c>
      <c r="I639" s="42"/>
      <c r="J639" s="35"/>
      <c r="K639" s="35"/>
      <c r="L639" s="35"/>
      <c r="M639" s="35"/>
      <c r="N639" s="35"/>
      <c r="O639" s="42"/>
      <c r="P639" s="35"/>
      <c r="Q639" s="35"/>
      <c r="R639" s="33" t="e">
        <v>#VALUE!</v>
      </c>
      <c r="S639" s="35"/>
      <c r="T639" s="35"/>
      <c r="U639" s="31"/>
    </row>
    <row r="640">
      <c r="A640" s="31"/>
      <c r="C640" s="29"/>
      <c r="D640" s="29"/>
      <c r="E640" s="38" t="s">
        <v>718</v>
      </c>
      <c r="F640" s="38" t="s">
        <v>152</v>
      </c>
      <c r="G640" s="38" t="s">
        <v>113</v>
      </c>
      <c r="H640" s="38">
        <v>3.50703930035865E14</v>
      </c>
      <c r="I640" s="43"/>
      <c r="J640" s="29"/>
      <c r="K640" s="29"/>
      <c r="L640" s="29"/>
      <c r="M640" s="29"/>
      <c r="N640" s="29"/>
      <c r="O640" s="43"/>
      <c r="P640" s="29"/>
      <c r="Q640" s="29"/>
      <c r="R640" s="38" t="e">
        <v>#VALUE!</v>
      </c>
      <c r="S640" s="29"/>
      <c r="T640" s="29"/>
      <c r="U640" s="31"/>
    </row>
    <row r="641">
      <c r="A641" s="31"/>
      <c r="C641" s="35"/>
      <c r="D641" s="35"/>
      <c r="E641" s="33" t="s">
        <v>725</v>
      </c>
      <c r="F641" s="35"/>
      <c r="G641" s="35"/>
      <c r="H641" s="33" t="s">
        <v>726</v>
      </c>
      <c r="I641" s="42"/>
      <c r="J641" s="35"/>
      <c r="K641" s="35"/>
      <c r="L641" s="35"/>
      <c r="M641" s="35"/>
      <c r="N641" s="35"/>
      <c r="O641" s="42"/>
      <c r="P641" s="35"/>
      <c r="Q641" s="35"/>
      <c r="R641" s="33" t="e">
        <v>#VALUE!</v>
      </c>
      <c r="S641" s="35"/>
      <c r="T641" s="35"/>
      <c r="U641" s="31"/>
    </row>
    <row r="642">
      <c r="A642" s="31"/>
      <c r="B642" s="51">
        <v>45796.0</v>
      </c>
      <c r="C642" s="38" t="s">
        <v>36</v>
      </c>
      <c r="D642" s="38" t="s">
        <v>31</v>
      </c>
      <c r="E642" s="38" t="s">
        <v>727</v>
      </c>
      <c r="F642" s="38" t="s">
        <v>84</v>
      </c>
      <c r="G642" s="38" t="s">
        <v>263</v>
      </c>
      <c r="H642" s="38">
        <v>3.54922130000414E14</v>
      </c>
      <c r="I642" s="41" t="s">
        <v>728</v>
      </c>
      <c r="J642" s="38" t="s">
        <v>729</v>
      </c>
      <c r="K642" s="38" t="s">
        <v>11</v>
      </c>
      <c r="L642" s="29"/>
      <c r="M642" s="29"/>
      <c r="N642" s="29"/>
      <c r="O642" s="43"/>
      <c r="P642" s="29"/>
      <c r="Q642" s="29"/>
      <c r="R642" s="38" t="s">
        <v>730</v>
      </c>
      <c r="S642" s="38" t="s">
        <v>731</v>
      </c>
      <c r="T642" s="29"/>
      <c r="U642" s="31"/>
    </row>
    <row r="643">
      <c r="A643" s="31"/>
      <c r="B643" s="52">
        <v>45796.0</v>
      </c>
      <c r="C643" s="33" t="s">
        <v>36</v>
      </c>
      <c r="D643" s="33" t="s">
        <v>31</v>
      </c>
      <c r="E643" s="33" t="s">
        <v>727</v>
      </c>
      <c r="F643" s="33" t="s">
        <v>84</v>
      </c>
      <c r="G643" s="33" t="s">
        <v>263</v>
      </c>
      <c r="H643" s="33">
        <v>3.54922130007179E14</v>
      </c>
      <c r="I643" s="34" t="s">
        <v>728</v>
      </c>
      <c r="J643" s="33" t="s">
        <v>732</v>
      </c>
      <c r="K643" s="33" t="s">
        <v>11</v>
      </c>
      <c r="L643" s="35"/>
      <c r="M643" s="35"/>
      <c r="N643" s="35"/>
      <c r="O643" s="42"/>
      <c r="P643" s="35"/>
      <c r="Q643" s="35"/>
      <c r="R643" s="33" t="s">
        <v>730</v>
      </c>
      <c r="S643" s="33" t="s">
        <v>731</v>
      </c>
      <c r="T643" s="35"/>
      <c r="U643" s="31"/>
    </row>
    <row r="644">
      <c r="A644" s="31"/>
      <c r="B644" s="51">
        <v>45796.0</v>
      </c>
      <c r="C644" s="38" t="s">
        <v>36</v>
      </c>
      <c r="D644" s="38" t="s">
        <v>31</v>
      </c>
      <c r="E644" s="38" t="s">
        <v>727</v>
      </c>
      <c r="F644" s="38" t="s">
        <v>84</v>
      </c>
      <c r="G644" s="38" t="s">
        <v>733</v>
      </c>
      <c r="H644" s="38">
        <v>3.54922130002295E14</v>
      </c>
      <c r="I644" s="41" t="s">
        <v>728</v>
      </c>
      <c r="J644" s="29"/>
      <c r="K644" s="38" t="s">
        <v>11</v>
      </c>
      <c r="L644" s="29"/>
      <c r="M644" s="29"/>
      <c r="N644" s="29"/>
      <c r="O644" s="43"/>
      <c r="P644" s="29"/>
      <c r="Q644" s="29"/>
      <c r="R644" s="38" t="s">
        <v>730</v>
      </c>
      <c r="S644" s="38" t="s">
        <v>731</v>
      </c>
      <c r="T644" s="29"/>
      <c r="U644" s="31"/>
    </row>
    <row r="645">
      <c r="A645" s="31"/>
      <c r="B645" s="52">
        <v>45796.0</v>
      </c>
      <c r="C645" s="33" t="s">
        <v>36</v>
      </c>
      <c r="D645" s="33" t="s">
        <v>31</v>
      </c>
      <c r="E645" s="33" t="s">
        <v>727</v>
      </c>
      <c r="F645" s="33" t="s">
        <v>84</v>
      </c>
      <c r="G645" s="33" t="s">
        <v>263</v>
      </c>
      <c r="H645" s="33">
        <v>3.54922130003798E14</v>
      </c>
      <c r="I645" s="34" t="s">
        <v>728</v>
      </c>
      <c r="J645" s="35"/>
      <c r="K645" s="33" t="s">
        <v>11</v>
      </c>
      <c r="L645" s="35"/>
      <c r="M645" s="35"/>
      <c r="N645" s="35"/>
      <c r="O645" s="42"/>
      <c r="P645" s="35"/>
      <c r="Q645" s="35"/>
      <c r="R645" s="33" t="s">
        <v>730</v>
      </c>
      <c r="S645" s="33" t="s">
        <v>731</v>
      </c>
      <c r="T645" s="35"/>
      <c r="U645" s="31"/>
    </row>
    <row r="646">
      <c r="A646" s="31"/>
      <c r="B646" s="51">
        <v>45796.0</v>
      </c>
      <c r="C646" s="38" t="s">
        <v>36</v>
      </c>
      <c r="D646" s="38" t="s">
        <v>31</v>
      </c>
      <c r="E646" s="38" t="s">
        <v>727</v>
      </c>
      <c r="F646" s="38" t="s">
        <v>84</v>
      </c>
      <c r="G646" s="38" t="s">
        <v>263</v>
      </c>
      <c r="H646" s="38">
        <v>3.54922130002923E14</v>
      </c>
      <c r="I646" s="41" t="s">
        <v>728</v>
      </c>
      <c r="J646" s="29"/>
      <c r="K646" s="38" t="s">
        <v>11</v>
      </c>
      <c r="L646" s="29"/>
      <c r="M646" s="29"/>
      <c r="N646" s="29"/>
      <c r="O646" s="43"/>
      <c r="P646" s="29"/>
      <c r="Q646" s="29"/>
      <c r="R646" s="38" t="s">
        <v>730</v>
      </c>
      <c r="S646" s="38" t="s">
        <v>731</v>
      </c>
      <c r="T646" s="29"/>
      <c r="U646" s="31"/>
    </row>
    <row r="647">
      <c r="A647" s="31"/>
      <c r="B647" s="52">
        <v>45796.0</v>
      </c>
      <c r="C647" s="33" t="s">
        <v>36</v>
      </c>
      <c r="D647" s="33" t="s">
        <v>31</v>
      </c>
      <c r="E647" s="33" t="s">
        <v>727</v>
      </c>
      <c r="F647" s="33" t="s">
        <v>84</v>
      </c>
      <c r="G647" s="33" t="s">
        <v>733</v>
      </c>
      <c r="H647" s="33">
        <v>3.54922130002279E14</v>
      </c>
      <c r="I647" s="34" t="s">
        <v>728</v>
      </c>
      <c r="J647" s="33" t="s">
        <v>734</v>
      </c>
      <c r="K647" s="33" t="s">
        <v>11</v>
      </c>
      <c r="L647" s="35"/>
      <c r="M647" s="35"/>
      <c r="N647" s="35"/>
      <c r="O647" s="42"/>
      <c r="P647" s="35"/>
      <c r="Q647" s="35"/>
      <c r="R647" s="33" t="s">
        <v>730</v>
      </c>
      <c r="S647" s="33" t="s">
        <v>731</v>
      </c>
      <c r="T647" s="35"/>
      <c r="U647" s="31"/>
    </row>
    <row r="648">
      <c r="A648" s="31"/>
      <c r="B648" s="51">
        <v>45796.0</v>
      </c>
      <c r="C648" s="38" t="s">
        <v>36</v>
      </c>
      <c r="D648" s="38" t="s">
        <v>31</v>
      </c>
      <c r="E648" s="38" t="s">
        <v>727</v>
      </c>
      <c r="F648" s="38" t="s">
        <v>84</v>
      </c>
      <c r="G648" s="38" t="s">
        <v>733</v>
      </c>
      <c r="H648" s="38">
        <v>3.54922130002204E14</v>
      </c>
      <c r="I648" s="41" t="s">
        <v>728</v>
      </c>
      <c r="J648" s="38" t="s">
        <v>735</v>
      </c>
      <c r="K648" s="38" t="s">
        <v>11</v>
      </c>
      <c r="L648" s="29"/>
      <c r="M648" s="29"/>
      <c r="N648" s="29"/>
      <c r="O648" s="43"/>
      <c r="P648" s="29"/>
      <c r="Q648" s="29"/>
      <c r="R648" s="38" t="s">
        <v>730</v>
      </c>
      <c r="S648" s="38" t="s">
        <v>731</v>
      </c>
      <c r="T648" s="29"/>
      <c r="U648" s="31"/>
    </row>
    <row r="649">
      <c r="A649" s="31"/>
      <c r="B649" s="52">
        <v>45796.0</v>
      </c>
      <c r="C649" s="33" t="s">
        <v>36</v>
      </c>
      <c r="D649" s="33" t="s">
        <v>31</v>
      </c>
      <c r="E649" s="33" t="s">
        <v>727</v>
      </c>
      <c r="F649" s="33" t="s">
        <v>84</v>
      </c>
      <c r="G649" s="33" t="s">
        <v>736</v>
      </c>
      <c r="H649" s="33">
        <v>3.54922130002277E14</v>
      </c>
      <c r="I649" s="34" t="s">
        <v>728</v>
      </c>
      <c r="J649" s="35"/>
      <c r="K649" s="33" t="s">
        <v>11</v>
      </c>
      <c r="L649" s="35"/>
      <c r="M649" s="35"/>
      <c r="N649" s="35"/>
      <c r="O649" s="42"/>
      <c r="P649" s="35"/>
      <c r="Q649" s="35"/>
      <c r="R649" s="33" t="s">
        <v>730</v>
      </c>
      <c r="S649" s="33" t="s">
        <v>731</v>
      </c>
      <c r="T649" s="35"/>
      <c r="U649" s="31"/>
    </row>
    <row r="650">
      <c r="A650" s="31"/>
      <c r="B650" s="51">
        <v>45796.0</v>
      </c>
      <c r="C650" s="38" t="s">
        <v>36</v>
      </c>
      <c r="D650" s="38" t="s">
        <v>31</v>
      </c>
      <c r="E650" s="38" t="s">
        <v>727</v>
      </c>
      <c r="F650" s="38" t="s">
        <v>84</v>
      </c>
      <c r="G650" s="38" t="s">
        <v>736</v>
      </c>
      <c r="H650" s="38">
        <v>3.54922130002576E14</v>
      </c>
      <c r="I650" s="41" t="s">
        <v>728</v>
      </c>
      <c r="J650" s="38" t="s">
        <v>374</v>
      </c>
      <c r="K650" s="38" t="s">
        <v>11</v>
      </c>
      <c r="L650" s="29"/>
      <c r="M650" s="29"/>
      <c r="N650" s="29"/>
      <c r="O650" s="43"/>
      <c r="P650" s="29"/>
      <c r="Q650" s="29"/>
      <c r="R650" s="38" t="s">
        <v>730</v>
      </c>
      <c r="S650" s="38" t="s">
        <v>731</v>
      </c>
      <c r="T650" s="29"/>
      <c r="U650" s="31"/>
    </row>
    <row r="651">
      <c r="A651" s="31"/>
      <c r="B651" s="52">
        <v>45796.0</v>
      </c>
      <c r="C651" s="33" t="s">
        <v>36</v>
      </c>
      <c r="D651" s="33" t="s">
        <v>31</v>
      </c>
      <c r="E651" s="33" t="s">
        <v>727</v>
      </c>
      <c r="F651" s="33" t="s">
        <v>84</v>
      </c>
      <c r="G651" s="33" t="s">
        <v>736</v>
      </c>
      <c r="H651" s="33">
        <v>3.54922130002469E14</v>
      </c>
      <c r="I651" s="34" t="s">
        <v>728</v>
      </c>
      <c r="J651" s="33" t="s">
        <v>106</v>
      </c>
      <c r="K651" s="33" t="s">
        <v>11</v>
      </c>
      <c r="L651" s="35"/>
      <c r="M651" s="35"/>
      <c r="N651" s="35"/>
      <c r="O651" s="42"/>
      <c r="P651" s="35"/>
      <c r="Q651" s="35"/>
      <c r="R651" s="33" t="s">
        <v>730</v>
      </c>
      <c r="S651" s="33" t="s">
        <v>731</v>
      </c>
      <c r="T651" s="35"/>
      <c r="U651" s="31"/>
    </row>
    <row r="652">
      <c r="A652" s="31"/>
      <c r="B652" s="51">
        <v>45796.0</v>
      </c>
      <c r="C652" s="38" t="s">
        <v>36</v>
      </c>
      <c r="D652" s="38" t="s">
        <v>31</v>
      </c>
      <c r="E652" s="38" t="s">
        <v>727</v>
      </c>
      <c r="F652" s="38" t="s">
        <v>84</v>
      </c>
      <c r="G652" s="38" t="s">
        <v>736</v>
      </c>
      <c r="H652" s="38">
        <v>3.549221300026E14</v>
      </c>
      <c r="I652" s="41" t="s">
        <v>728</v>
      </c>
      <c r="J652" s="38" t="s">
        <v>737</v>
      </c>
      <c r="K652" s="38" t="s">
        <v>11</v>
      </c>
      <c r="L652" s="29"/>
      <c r="M652" s="29"/>
      <c r="N652" s="29"/>
      <c r="O652" s="43"/>
      <c r="P652" s="29"/>
      <c r="Q652" s="29"/>
      <c r="R652" s="38" t="s">
        <v>730</v>
      </c>
      <c r="S652" s="38" t="s">
        <v>731</v>
      </c>
      <c r="T652" s="29"/>
      <c r="U652" s="31"/>
    </row>
    <row r="653">
      <c r="A653" s="31"/>
      <c r="B653" s="52">
        <v>45796.0</v>
      </c>
      <c r="C653" s="33" t="s">
        <v>36</v>
      </c>
      <c r="D653" s="33" t="s">
        <v>31</v>
      </c>
      <c r="E653" s="33" t="s">
        <v>727</v>
      </c>
      <c r="F653" s="33" t="s">
        <v>84</v>
      </c>
      <c r="G653" s="33" t="s">
        <v>263</v>
      </c>
      <c r="H653" s="33">
        <v>3.54922130003459E14</v>
      </c>
      <c r="I653" s="34" t="s">
        <v>728</v>
      </c>
      <c r="J653" s="33" t="s">
        <v>738</v>
      </c>
      <c r="K653" s="33" t="s">
        <v>11</v>
      </c>
      <c r="L653" s="35"/>
      <c r="M653" s="35"/>
      <c r="N653" s="35"/>
      <c r="O653" s="42"/>
      <c r="P653" s="35"/>
      <c r="Q653" s="35"/>
      <c r="R653" s="33" t="s">
        <v>730</v>
      </c>
      <c r="S653" s="33" t="s">
        <v>731</v>
      </c>
      <c r="T653" s="35"/>
      <c r="U653" s="31"/>
    </row>
    <row r="654">
      <c r="A654" s="31"/>
      <c r="B654" s="51">
        <v>45796.0</v>
      </c>
      <c r="C654" s="38" t="s">
        <v>36</v>
      </c>
      <c r="D654" s="38" t="s">
        <v>31</v>
      </c>
      <c r="E654" s="38" t="s">
        <v>727</v>
      </c>
      <c r="F654" s="38" t="s">
        <v>84</v>
      </c>
      <c r="G654" s="38" t="s">
        <v>263</v>
      </c>
      <c r="H654" s="38">
        <v>3.54922130000828E14</v>
      </c>
      <c r="I654" s="41" t="s">
        <v>728</v>
      </c>
      <c r="J654" s="38" t="s">
        <v>738</v>
      </c>
      <c r="K654" s="38" t="s">
        <v>11</v>
      </c>
      <c r="L654" s="29"/>
      <c r="M654" s="29"/>
      <c r="N654" s="29"/>
      <c r="O654" s="43"/>
      <c r="P654" s="29"/>
      <c r="Q654" s="29"/>
      <c r="R654" s="38" t="s">
        <v>730</v>
      </c>
      <c r="S654" s="38" t="s">
        <v>731</v>
      </c>
      <c r="T654" s="29"/>
      <c r="U654" s="31"/>
    </row>
    <row r="655">
      <c r="A655" s="31"/>
      <c r="B655" s="52">
        <v>45796.0</v>
      </c>
      <c r="C655" s="33" t="s">
        <v>36</v>
      </c>
      <c r="D655" s="33" t="s">
        <v>31</v>
      </c>
      <c r="E655" s="33" t="s">
        <v>727</v>
      </c>
      <c r="F655" s="33" t="s">
        <v>84</v>
      </c>
      <c r="G655" s="33" t="s">
        <v>263</v>
      </c>
      <c r="H655" s="33">
        <v>3.54922130006536E14</v>
      </c>
      <c r="I655" s="34" t="s">
        <v>728</v>
      </c>
      <c r="J655" s="33" t="s">
        <v>106</v>
      </c>
      <c r="K655" s="33" t="s">
        <v>11</v>
      </c>
      <c r="L655" s="35"/>
      <c r="M655" s="35"/>
      <c r="N655" s="35"/>
      <c r="O655" s="42"/>
      <c r="P655" s="35"/>
      <c r="Q655" s="35"/>
      <c r="R655" s="33" t="s">
        <v>730</v>
      </c>
      <c r="S655" s="33" t="s">
        <v>731</v>
      </c>
      <c r="T655" s="35"/>
      <c r="U655" s="31"/>
    </row>
    <row r="656">
      <c r="A656" s="31"/>
      <c r="B656" s="51">
        <v>45796.0</v>
      </c>
      <c r="C656" s="38" t="s">
        <v>36</v>
      </c>
      <c r="D656" s="38" t="s">
        <v>31</v>
      </c>
      <c r="E656" s="38" t="s">
        <v>727</v>
      </c>
      <c r="F656" s="38" t="s">
        <v>84</v>
      </c>
      <c r="G656" s="38" t="s">
        <v>263</v>
      </c>
      <c r="H656" s="38">
        <v>3.54922130008466E14</v>
      </c>
      <c r="I656" s="41" t="s">
        <v>86</v>
      </c>
      <c r="J656" s="38" t="s">
        <v>739</v>
      </c>
      <c r="K656" s="38" t="s">
        <v>11</v>
      </c>
      <c r="L656" s="29"/>
      <c r="M656" s="29"/>
      <c r="N656" s="29"/>
      <c r="O656" s="43"/>
      <c r="P656" s="29"/>
      <c r="Q656" s="29"/>
      <c r="R656" s="38" t="s">
        <v>730</v>
      </c>
      <c r="S656" s="38" t="s">
        <v>731</v>
      </c>
      <c r="T656" s="29"/>
      <c r="U656" s="31"/>
    </row>
    <row r="657">
      <c r="A657" s="31"/>
      <c r="B657" s="52">
        <v>45796.0</v>
      </c>
      <c r="C657" s="33" t="s">
        <v>36</v>
      </c>
      <c r="D657" s="33" t="s">
        <v>31</v>
      </c>
      <c r="E657" s="33" t="s">
        <v>727</v>
      </c>
      <c r="F657" s="33" t="s">
        <v>84</v>
      </c>
      <c r="G657" s="33" t="s">
        <v>263</v>
      </c>
      <c r="H657" s="33">
        <v>3.54922130006072E14</v>
      </c>
      <c r="I657" s="34" t="s">
        <v>740</v>
      </c>
      <c r="J657" s="33" t="s">
        <v>741</v>
      </c>
      <c r="K657" s="33" t="s">
        <v>11</v>
      </c>
      <c r="L657" s="35"/>
      <c r="M657" s="35"/>
      <c r="N657" s="35"/>
      <c r="O657" s="42"/>
      <c r="P657" s="35"/>
      <c r="Q657" s="35"/>
      <c r="R657" s="33" t="s">
        <v>730</v>
      </c>
      <c r="S657" s="33" t="s">
        <v>731</v>
      </c>
      <c r="T657" s="35"/>
      <c r="U657" s="31"/>
    </row>
    <row r="658">
      <c r="A658" s="31"/>
      <c r="B658" s="51">
        <v>45796.0</v>
      </c>
      <c r="C658" s="38" t="s">
        <v>128</v>
      </c>
      <c r="D658" s="38" t="s">
        <v>42</v>
      </c>
      <c r="E658" s="38" t="s">
        <v>718</v>
      </c>
      <c r="F658" s="38" t="s">
        <v>152</v>
      </c>
      <c r="G658" s="38" t="s">
        <v>113</v>
      </c>
      <c r="H658" s="38">
        <v>3.50703930038877E14</v>
      </c>
      <c r="I658" s="41" t="s">
        <v>78</v>
      </c>
      <c r="J658" s="29"/>
      <c r="K658" s="29"/>
      <c r="L658" s="29"/>
      <c r="M658" s="29"/>
      <c r="N658" s="29"/>
      <c r="O658" s="43"/>
      <c r="P658" s="29"/>
      <c r="Q658" s="29"/>
      <c r="R658" s="38" t="e">
        <v>#VALUE!</v>
      </c>
      <c r="S658" s="29"/>
      <c r="T658" s="29"/>
      <c r="U658" s="31"/>
    </row>
    <row r="659">
      <c r="A659" s="31"/>
      <c r="B659" s="52">
        <v>45796.0</v>
      </c>
      <c r="C659" s="33" t="s">
        <v>128</v>
      </c>
      <c r="D659" s="33" t="s">
        <v>159</v>
      </c>
      <c r="E659" s="33" t="s">
        <v>742</v>
      </c>
      <c r="F659" s="35"/>
      <c r="G659" s="35"/>
      <c r="H659" s="33" t="s">
        <v>743</v>
      </c>
      <c r="I659" s="34" t="s">
        <v>78</v>
      </c>
      <c r="J659" s="35"/>
      <c r="K659" s="35"/>
      <c r="L659" s="35"/>
      <c r="M659" s="35"/>
      <c r="N659" s="35"/>
      <c r="O659" s="42"/>
      <c r="P659" s="35"/>
      <c r="Q659" s="35"/>
      <c r="R659" s="33" t="e">
        <v>#VALUE!</v>
      </c>
      <c r="S659" s="35"/>
      <c r="T659" s="35"/>
      <c r="U659" s="31"/>
    </row>
    <row r="660">
      <c r="A660" s="31"/>
      <c r="B660" s="51">
        <v>45796.0</v>
      </c>
      <c r="C660" s="38" t="s">
        <v>50</v>
      </c>
      <c r="D660" s="38" t="s">
        <v>31</v>
      </c>
      <c r="E660" s="38" t="s">
        <v>744</v>
      </c>
      <c r="F660" s="38" t="s">
        <v>84</v>
      </c>
      <c r="G660" s="38" t="s">
        <v>144</v>
      </c>
      <c r="H660" s="38">
        <v>3.59890570016668E14</v>
      </c>
      <c r="I660" s="41" t="s">
        <v>78</v>
      </c>
      <c r="J660" s="29"/>
      <c r="K660" s="29"/>
      <c r="L660" s="29"/>
      <c r="M660" s="29"/>
      <c r="N660" s="29"/>
      <c r="O660" s="43"/>
      <c r="P660" s="29"/>
      <c r="Q660" s="29"/>
      <c r="R660" s="38" t="e">
        <v>#VALUE!</v>
      </c>
      <c r="S660" s="29"/>
      <c r="T660" s="29"/>
      <c r="U660" s="31"/>
    </row>
    <row r="661">
      <c r="A661" s="31"/>
      <c r="B661" s="52">
        <v>45796.0</v>
      </c>
      <c r="C661" s="33" t="s">
        <v>50</v>
      </c>
      <c r="D661" s="33" t="s">
        <v>31</v>
      </c>
      <c r="E661" s="33" t="s">
        <v>744</v>
      </c>
      <c r="F661" s="33" t="s">
        <v>84</v>
      </c>
      <c r="G661" s="33" t="s">
        <v>103</v>
      </c>
      <c r="H661" s="33">
        <v>3.59890570119389E14</v>
      </c>
      <c r="I661" s="34" t="s">
        <v>78</v>
      </c>
      <c r="J661" s="35"/>
      <c r="K661" s="35"/>
      <c r="L661" s="35"/>
      <c r="M661" s="35"/>
      <c r="N661" s="35"/>
      <c r="O661" s="42"/>
      <c r="P661" s="35"/>
      <c r="Q661" s="35"/>
      <c r="R661" s="33" t="e">
        <v>#VALUE!</v>
      </c>
      <c r="S661" s="35"/>
      <c r="T661" s="35"/>
      <c r="U661" s="31"/>
    </row>
    <row r="662">
      <c r="A662" s="31"/>
      <c r="B662" s="51">
        <v>45796.0</v>
      </c>
      <c r="C662" s="38" t="s">
        <v>50</v>
      </c>
      <c r="D662" s="38" t="s">
        <v>31</v>
      </c>
      <c r="E662" s="38" t="s">
        <v>112</v>
      </c>
      <c r="F662" s="38" t="s">
        <v>84</v>
      </c>
      <c r="G662" s="38" t="s">
        <v>114</v>
      </c>
      <c r="H662" s="38">
        <v>3.55541740042563E14</v>
      </c>
      <c r="I662" s="41" t="s">
        <v>78</v>
      </c>
      <c r="J662" s="29"/>
      <c r="K662" s="29"/>
      <c r="L662" s="29"/>
      <c r="M662" s="29"/>
      <c r="N662" s="29"/>
      <c r="O662" s="43"/>
      <c r="P662" s="29"/>
      <c r="Q662" s="29"/>
      <c r="R662" s="38" t="e">
        <v>#VALUE!</v>
      </c>
      <c r="S662" s="29"/>
      <c r="T662" s="29"/>
      <c r="U662" s="31"/>
    </row>
    <row r="663">
      <c r="A663" s="31"/>
      <c r="B663" s="52">
        <v>45796.0</v>
      </c>
      <c r="C663" s="33" t="s">
        <v>50</v>
      </c>
      <c r="D663" s="33" t="s">
        <v>31</v>
      </c>
      <c r="E663" s="33" t="s">
        <v>112</v>
      </c>
      <c r="F663" s="33" t="s">
        <v>84</v>
      </c>
      <c r="G663" s="33" t="s">
        <v>745</v>
      </c>
      <c r="H663" s="33">
        <v>3.55735480033457E14</v>
      </c>
      <c r="I663" s="34" t="s">
        <v>78</v>
      </c>
      <c r="J663" s="35"/>
      <c r="K663" s="35"/>
      <c r="L663" s="35"/>
      <c r="M663" s="35"/>
      <c r="N663" s="35"/>
      <c r="O663" s="42"/>
      <c r="P663" s="35"/>
      <c r="Q663" s="35"/>
      <c r="R663" s="33" t="e">
        <v>#VALUE!</v>
      </c>
      <c r="S663" s="35"/>
      <c r="T663" s="35"/>
      <c r="U663" s="31"/>
    </row>
    <row r="664">
      <c r="A664" s="31"/>
      <c r="B664" s="51">
        <v>45797.0</v>
      </c>
      <c r="C664" s="38" t="s">
        <v>46</v>
      </c>
      <c r="D664" s="38" t="s">
        <v>31</v>
      </c>
      <c r="E664" s="38" t="s">
        <v>746</v>
      </c>
      <c r="F664" s="38" t="s">
        <v>84</v>
      </c>
      <c r="G664" s="38" t="s">
        <v>263</v>
      </c>
      <c r="H664" s="53">
        <v>3.54922130008425E14</v>
      </c>
      <c r="I664" s="41" t="s">
        <v>436</v>
      </c>
      <c r="J664" s="38" t="s">
        <v>747</v>
      </c>
      <c r="K664" s="38" t="s">
        <v>19</v>
      </c>
      <c r="L664" s="29"/>
      <c r="M664" s="29"/>
      <c r="N664" s="29"/>
      <c r="O664" s="43"/>
      <c r="P664" s="29"/>
      <c r="Q664" s="29"/>
      <c r="R664" s="38" t="e">
        <v>#VALUE!</v>
      </c>
      <c r="S664" s="29"/>
      <c r="T664" s="29"/>
      <c r="U664" s="31"/>
    </row>
    <row r="665">
      <c r="A665" s="31"/>
      <c r="B665" s="52">
        <v>45797.0</v>
      </c>
      <c r="C665" s="33" t="s">
        <v>46</v>
      </c>
      <c r="D665" s="33" t="s">
        <v>31</v>
      </c>
      <c r="E665" s="33" t="s">
        <v>746</v>
      </c>
      <c r="F665" s="33" t="s">
        <v>84</v>
      </c>
      <c r="G665" s="33" t="s">
        <v>733</v>
      </c>
      <c r="H665" s="53">
        <v>3.54922130002196E14</v>
      </c>
      <c r="I665" s="34" t="s">
        <v>436</v>
      </c>
      <c r="J665" s="33" t="s">
        <v>748</v>
      </c>
      <c r="K665" s="33" t="s">
        <v>19</v>
      </c>
      <c r="L665" s="35"/>
      <c r="M665" s="35"/>
      <c r="N665" s="35"/>
      <c r="O665" s="42"/>
      <c r="P665" s="35"/>
      <c r="Q665" s="35"/>
      <c r="R665" s="33" t="e">
        <v>#VALUE!</v>
      </c>
      <c r="S665" s="35"/>
      <c r="T665" s="35"/>
      <c r="U665" s="31"/>
    </row>
    <row r="666">
      <c r="A666" s="54"/>
      <c r="B666" s="51">
        <v>45798.0</v>
      </c>
      <c r="C666" s="38" t="s">
        <v>46</v>
      </c>
      <c r="D666" s="38" t="s">
        <v>31</v>
      </c>
      <c r="E666" s="38" t="s">
        <v>746</v>
      </c>
      <c r="F666" s="38" t="s">
        <v>84</v>
      </c>
      <c r="G666" s="38" t="s">
        <v>733</v>
      </c>
      <c r="H666" s="53">
        <v>3.54922130002147E14</v>
      </c>
      <c r="I666" s="41" t="s">
        <v>391</v>
      </c>
      <c r="J666" s="38" t="s">
        <v>749</v>
      </c>
      <c r="K666" s="38" t="s">
        <v>19</v>
      </c>
      <c r="L666" s="29"/>
      <c r="M666" s="29"/>
      <c r="N666" s="29"/>
      <c r="O666" s="43"/>
      <c r="P666" s="29"/>
      <c r="Q666" s="29"/>
      <c r="R666" s="38" t="e">
        <v>#VALUE!</v>
      </c>
      <c r="S666" s="29"/>
      <c r="T666" s="29"/>
      <c r="U666" s="31"/>
    </row>
    <row r="667">
      <c r="A667" s="31"/>
      <c r="B667" s="52">
        <v>45798.0</v>
      </c>
      <c r="C667" s="33" t="s">
        <v>46</v>
      </c>
      <c r="D667" s="33" t="s">
        <v>31</v>
      </c>
      <c r="E667" s="33" t="s">
        <v>746</v>
      </c>
      <c r="F667" s="33" t="s">
        <v>84</v>
      </c>
      <c r="G667" s="33" t="s">
        <v>263</v>
      </c>
      <c r="H667" s="53">
        <v>3.54922130003632E14</v>
      </c>
      <c r="I667" s="34" t="s">
        <v>391</v>
      </c>
      <c r="J667" s="35"/>
      <c r="K667" s="33" t="s">
        <v>19</v>
      </c>
      <c r="L667" s="35"/>
      <c r="M667" s="35"/>
      <c r="N667" s="35"/>
      <c r="O667" s="42"/>
      <c r="P667" s="35"/>
      <c r="Q667" s="35"/>
      <c r="R667" s="33" t="e">
        <v>#VALUE!</v>
      </c>
      <c r="S667" s="35"/>
      <c r="T667" s="35"/>
      <c r="U667" s="31"/>
    </row>
    <row r="668">
      <c r="A668" s="31"/>
      <c r="B668" s="51">
        <v>45798.0</v>
      </c>
      <c r="C668" s="38" t="s">
        <v>46</v>
      </c>
      <c r="D668" s="38" t="s">
        <v>31</v>
      </c>
      <c r="E668" s="38" t="s">
        <v>746</v>
      </c>
      <c r="F668" s="38" t="s">
        <v>84</v>
      </c>
      <c r="G668" s="38" t="s">
        <v>750</v>
      </c>
      <c r="H668" s="53">
        <v>3.54922130002675E14</v>
      </c>
      <c r="I668" s="41" t="s">
        <v>391</v>
      </c>
      <c r="J668" s="29"/>
      <c r="K668" s="38" t="s">
        <v>19</v>
      </c>
      <c r="L668" s="29"/>
      <c r="M668" s="29"/>
      <c r="N668" s="29"/>
      <c r="O668" s="43"/>
      <c r="P668" s="29"/>
      <c r="Q668" s="29"/>
      <c r="R668" s="38" t="e">
        <v>#VALUE!</v>
      </c>
      <c r="S668" s="29"/>
      <c r="T668" s="29"/>
      <c r="U668" s="31"/>
    </row>
    <row r="669">
      <c r="A669" s="31"/>
      <c r="B669" s="52">
        <v>45798.0</v>
      </c>
      <c r="C669" s="33" t="s">
        <v>46</v>
      </c>
      <c r="D669" s="33" t="s">
        <v>31</v>
      </c>
      <c r="E669" s="33" t="s">
        <v>746</v>
      </c>
      <c r="F669" s="33" t="s">
        <v>84</v>
      </c>
      <c r="G669" s="33" t="s">
        <v>750</v>
      </c>
      <c r="H669" s="53">
        <v>3.54922130002634E14</v>
      </c>
      <c r="I669" s="34" t="s">
        <v>391</v>
      </c>
      <c r="J669" s="33" t="s">
        <v>751</v>
      </c>
      <c r="K669" s="33" t="s">
        <v>19</v>
      </c>
      <c r="L669" s="35"/>
      <c r="M669" s="35"/>
      <c r="N669" s="35"/>
      <c r="O669" s="42"/>
      <c r="P669" s="35"/>
      <c r="Q669" s="35"/>
      <c r="R669" s="33" t="e">
        <v>#VALUE!</v>
      </c>
      <c r="S669" s="35"/>
      <c r="T669" s="35"/>
      <c r="U669" s="31"/>
    </row>
    <row r="670">
      <c r="A670" s="31"/>
      <c r="B670" s="51">
        <v>45798.0</v>
      </c>
      <c r="C670" s="38" t="s">
        <v>752</v>
      </c>
      <c r="D670" s="38" t="s">
        <v>31</v>
      </c>
      <c r="E670" s="38" t="s">
        <v>746</v>
      </c>
      <c r="F670" s="38" t="s">
        <v>84</v>
      </c>
      <c r="G670" s="38" t="s">
        <v>750</v>
      </c>
      <c r="H670" s="53">
        <v>3.54922130002436E14</v>
      </c>
      <c r="I670" s="41" t="s">
        <v>753</v>
      </c>
      <c r="J670" s="29"/>
      <c r="K670" s="38" t="s">
        <v>19</v>
      </c>
      <c r="L670" s="29"/>
      <c r="M670" s="29"/>
      <c r="N670" s="29"/>
      <c r="O670" s="43"/>
      <c r="P670" s="29"/>
      <c r="Q670" s="29"/>
      <c r="R670" s="38" t="e">
        <v>#VALUE!</v>
      </c>
      <c r="S670" s="29"/>
      <c r="T670" s="29"/>
      <c r="U670" s="31"/>
    </row>
    <row r="671">
      <c r="A671" s="31"/>
      <c r="B671" s="52">
        <v>45798.0</v>
      </c>
      <c r="C671" s="33" t="s">
        <v>46</v>
      </c>
      <c r="D671" s="33" t="s">
        <v>31</v>
      </c>
      <c r="E671" s="33" t="s">
        <v>746</v>
      </c>
      <c r="F671" s="33" t="s">
        <v>84</v>
      </c>
      <c r="G671" s="33" t="s">
        <v>263</v>
      </c>
      <c r="H671" s="53">
        <v>3.54922130003616E14</v>
      </c>
      <c r="I671" s="34" t="s">
        <v>391</v>
      </c>
      <c r="J671" s="33" t="s">
        <v>754</v>
      </c>
      <c r="K671" s="33" t="s">
        <v>19</v>
      </c>
      <c r="L671" s="35"/>
      <c r="M671" s="35"/>
      <c r="N671" s="35"/>
      <c r="O671" s="42"/>
      <c r="P671" s="35"/>
      <c r="Q671" s="35"/>
      <c r="R671" s="33" t="e">
        <v>#VALUE!</v>
      </c>
      <c r="S671" s="35"/>
      <c r="T671" s="35"/>
      <c r="U671" s="31"/>
    </row>
    <row r="672">
      <c r="A672" s="31"/>
      <c r="B672" s="51">
        <v>45798.0</v>
      </c>
      <c r="C672" s="38" t="s">
        <v>46</v>
      </c>
      <c r="D672" s="38" t="s">
        <v>31</v>
      </c>
      <c r="E672" s="38" t="s">
        <v>746</v>
      </c>
      <c r="F672" s="38" t="s">
        <v>84</v>
      </c>
      <c r="G672" s="38" t="s">
        <v>750</v>
      </c>
      <c r="H672" s="53">
        <v>3.54922130002667E14</v>
      </c>
      <c r="I672" s="41" t="s">
        <v>436</v>
      </c>
      <c r="J672" s="38" t="s">
        <v>755</v>
      </c>
      <c r="K672" s="38" t="s">
        <v>19</v>
      </c>
      <c r="L672" s="29"/>
      <c r="M672" s="29"/>
      <c r="N672" s="29"/>
      <c r="O672" s="43"/>
      <c r="P672" s="29"/>
      <c r="Q672" s="29"/>
      <c r="R672" s="38" t="e">
        <v>#VALUE!</v>
      </c>
      <c r="S672" s="29"/>
      <c r="T672" s="29"/>
      <c r="U672" s="31"/>
    </row>
    <row r="673">
      <c r="A673" s="31"/>
      <c r="B673" s="52">
        <v>45798.0</v>
      </c>
      <c r="C673" s="33" t="s">
        <v>46</v>
      </c>
      <c r="D673" s="33" t="s">
        <v>31</v>
      </c>
      <c r="E673" s="33" t="s">
        <v>746</v>
      </c>
      <c r="F673" s="33" t="s">
        <v>84</v>
      </c>
      <c r="G673" s="33" t="s">
        <v>263</v>
      </c>
      <c r="H673" s="53">
        <v>3.54922130007476E14</v>
      </c>
      <c r="I673" s="34" t="s">
        <v>391</v>
      </c>
      <c r="J673" s="33" t="s">
        <v>756</v>
      </c>
      <c r="K673" s="33" t="s">
        <v>19</v>
      </c>
      <c r="L673" s="35"/>
      <c r="M673" s="35"/>
      <c r="N673" s="35"/>
      <c r="O673" s="42"/>
      <c r="P673" s="35"/>
      <c r="Q673" s="35"/>
      <c r="R673" s="33" t="e">
        <v>#VALUE!</v>
      </c>
      <c r="S673" s="35"/>
      <c r="T673" s="35"/>
      <c r="U673" s="31"/>
    </row>
    <row r="674">
      <c r="A674" s="31"/>
      <c r="B674" s="51">
        <v>45798.0</v>
      </c>
      <c r="C674" s="38" t="s">
        <v>752</v>
      </c>
      <c r="D674" s="38" t="s">
        <v>31</v>
      </c>
      <c r="E674" s="38" t="s">
        <v>746</v>
      </c>
      <c r="F674" s="38" t="s">
        <v>84</v>
      </c>
      <c r="G674" s="38" t="s">
        <v>263</v>
      </c>
      <c r="H674" s="53">
        <v>3.54922130002501E14</v>
      </c>
      <c r="I674" s="41" t="s">
        <v>753</v>
      </c>
      <c r="J674" s="29"/>
      <c r="K674" s="38" t="s">
        <v>19</v>
      </c>
      <c r="L674" s="29"/>
      <c r="M674" s="29"/>
      <c r="N674" s="29"/>
      <c r="O674" s="43"/>
      <c r="P674" s="29"/>
      <c r="Q674" s="29"/>
      <c r="R674" s="38" t="e">
        <v>#VALUE!</v>
      </c>
      <c r="S674" s="29"/>
      <c r="T674" s="29"/>
      <c r="U674" s="31"/>
    </row>
    <row r="675">
      <c r="A675" s="31"/>
      <c r="B675" s="52">
        <v>45798.0</v>
      </c>
      <c r="C675" s="33" t="s">
        <v>46</v>
      </c>
      <c r="D675" s="33" t="s">
        <v>31</v>
      </c>
      <c r="E675" s="33" t="s">
        <v>746</v>
      </c>
      <c r="F675" s="33" t="s">
        <v>84</v>
      </c>
      <c r="G675" s="33" t="s">
        <v>750</v>
      </c>
      <c r="H675" s="53">
        <v>3.54922130007633E14</v>
      </c>
      <c r="I675" s="34" t="s">
        <v>436</v>
      </c>
      <c r="J675" s="33" t="s">
        <v>757</v>
      </c>
      <c r="K675" s="33" t="s">
        <v>19</v>
      </c>
      <c r="L675" s="35"/>
      <c r="M675" s="35"/>
      <c r="N675" s="35"/>
      <c r="O675" s="42"/>
      <c r="P675" s="35"/>
      <c r="Q675" s="35"/>
      <c r="R675" s="33" t="e">
        <v>#VALUE!</v>
      </c>
      <c r="S675" s="35"/>
      <c r="T675" s="35"/>
      <c r="U675" s="31"/>
    </row>
    <row r="676">
      <c r="A676" s="31"/>
      <c r="B676" s="51">
        <v>45798.0</v>
      </c>
      <c r="C676" s="38" t="s">
        <v>46</v>
      </c>
      <c r="D676" s="38" t="s">
        <v>31</v>
      </c>
      <c r="E676" s="38" t="s">
        <v>746</v>
      </c>
      <c r="F676" s="38" t="s">
        <v>84</v>
      </c>
      <c r="G676" s="38" t="s">
        <v>263</v>
      </c>
      <c r="H676" s="53">
        <v>3.54922130008839E14</v>
      </c>
      <c r="I676" s="41" t="s">
        <v>391</v>
      </c>
      <c r="J676" s="38" t="s">
        <v>758</v>
      </c>
      <c r="K676" s="38" t="s">
        <v>19</v>
      </c>
      <c r="L676" s="29"/>
      <c r="M676" s="29"/>
      <c r="N676" s="29"/>
      <c r="O676" s="43"/>
      <c r="P676" s="29"/>
      <c r="Q676" s="29"/>
      <c r="R676" s="38" t="e">
        <v>#VALUE!</v>
      </c>
      <c r="S676" s="29"/>
      <c r="T676" s="29"/>
      <c r="U676" s="31"/>
    </row>
    <row r="677">
      <c r="A677" s="31"/>
      <c r="B677" s="52">
        <v>45798.0</v>
      </c>
      <c r="C677" s="33" t="s">
        <v>46</v>
      </c>
      <c r="D677" s="33" t="s">
        <v>31</v>
      </c>
      <c r="E677" s="33" t="s">
        <v>746</v>
      </c>
      <c r="F677" s="33" t="s">
        <v>84</v>
      </c>
      <c r="G677" s="33" t="s">
        <v>263</v>
      </c>
      <c r="H677" s="53">
        <v>3.54922130007567E14</v>
      </c>
      <c r="I677" s="34" t="s">
        <v>391</v>
      </c>
      <c r="J677" s="33" t="s">
        <v>759</v>
      </c>
      <c r="K677" s="33" t="s">
        <v>19</v>
      </c>
      <c r="L677" s="35"/>
      <c r="M677" s="35"/>
      <c r="N677" s="35"/>
      <c r="O677" s="42"/>
      <c r="P677" s="35"/>
      <c r="Q677" s="35"/>
      <c r="R677" s="33" t="e">
        <v>#VALUE!</v>
      </c>
      <c r="S677" s="35"/>
      <c r="T677" s="35"/>
      <c r="U677" s="31"/>
    </row>
    <row r="678">
      <c r="A678" s="31"/>
      <c r="B678" s="51">
        <v>45798.0</v>
      </c>
      <c r="C678" s="38" t="s">
        <v>46</v>
      </c>
      <c r="D678" s="38" t="s">
        <v>31</v>
      </c>
      <c r="E678" s="38" t="s">
        <v>746</v>
      </c>
      <c r="F678" s="38" t="s">
        <v>84</v>
      </c>
      <c r="G678" s="38" t="s">
        <v>263</v>
      </c>
      <c r="H678" s="53">
        <v>3.54922130007666E14</v>
      </c>
      <c r="I678" s="41" t="s">
        <v>391</v>
      </c>
      <c r="J678" s="38" t="s">
        <v>760</v>
      </c>
      <c r="K678" s="38" t="s">
        <v>19</v>
      </c>
      <c r="L678" s="29"/>
      <c r="M678" s="29"/>
      <c r="N678" s="29"/>
      <c r="O678" s="43"/>
      <c r="P678" s="29"/>
      <c r="Q678" s="29"/>
      <c r="R678" s="38" t="e">
        <v>#VALUE!</v>
      </c>
      <c r="S678" s="29"/>
      <c r="T678" s="29"/>
      <c r="U678" s="31"/>
    </row>
    <row r="679">
      <c r="A679" s="31"/>
      <c r="B679" s="52">
        <v>45798.0</v>
      </c>
      <c r="C679" s="33" t="s">
        <v>46</v>
      </c>
      <c r="D679" s="33" t="s">
        <v>31</v>
      </c>
      <c r="E679" s="33" t="s">
        <v>746</v>
      </c>
      <c r="F679" s="33" t="s">
        <v>84</v>
      </c>
      <c r="G679" s="33" t="s">
        <v>263</v>
      </c>
      <c r="H679" s="53">
        <v>3.54922130007559E14</v>
      </c>
      <c r="I679" s="34" t="s">
        <v>436</v>
      </c>
      <c r="J679" s="33" t="s">
        <v>761</v>
      </c>
      <c r="K679" s="33" t="s">
        <v>19</v>
      </c>
      <c r="L679" s="35"/>
      <c r="M679" s="35"/>
      <c r="N679" s="35"/>
      <c r="O679" s="42"/>
      <c r="P679" s="35"/>
      <c r="Q679" s="35"/>
      <c r="R679" s="33" t="e">
        <v>#VALUE!</v>
      </c>
      <c r="S679" s="35"/>
      <c r="T679" s="35"/>
      <c r="U679" s="31"/>
    </row>
    <row r="680">
      <c r="A680" s="31"/>
      <c r="B680" s="51">
        <v>45798.0</v>
      </c>
      <c r="C680" s="38" t="s">
        <v>46</v>
      </c>
      <c r="D680" s="38" t="s">
        <v>31</v>
      </c>
      <c r="E680" s="38" t="s">
        <v>746</v>
      </c>
      <c r="F680" s="38" t="s">
        <v>84</v>
      </c>
      <c r="G680" s="38" t="s">
        <v>263</v>
      </c>
      <c r="H680" s="53">
        <v>3.54922130007765E14</v>
      </c>
      <c r="I680" s="41" t="s">
        <v>436</v>
      </c>
      <c r="J680" s="38" t="s">
        <v>762</v>
      </c>
      <c r="K680" s="38" t="s">
        <v>19</v>
      </c>
      <c r="L680" s="29"/>
      <c r="M680" s="29"/>
      <c r="N680" s="29"/>
      <c r="O680" s="43"/>
      <c r="P680" s="29"/>
      <c r="Q680" s="29"/>
      <c r="R680" s="38" t="e">
        <v>#VALUE!</v>
      </c>
      <c r="S680" s="29"/>
      <c r="T680" s="29"/>
      <c r="U680" s="31"/>
    </row>
    <row r="681">
      <c r="A681" s="31"/>
      <c r="B681" s="52">
        <v>45798.0</v>
      </c>
      <c r="C681" s="33" t="s">
        <v>46</v>
      </c>
      <c r="D681" s="33" t="s">
        <v>31</v>
      </c>
      <c r="E681" s="33" t="s">
        <v>746</v>
      </c>
      <c r="F681" s="33" t="s">
        <v>84</v>
      </c>
      <c r="G681" s="33" t="s">
        <v>263</v>
      </c>
      <c r="H681" s="53">
        <v>3.54922130008557E14</v>
      </c>
      <c r="I681" s="34" t="s">
        <v>753</v>
      </c>
      <c r="J681" s="35"/>
      <c r="K681" s="33" t="s">
        <v>19</v>
      </c>
      <c r="L681" s="35"/>
      <c r="M681" s="35"/>
      <c r="N681" s="35"/>
      <c r="O681" s="42"/>
      <c r="P681" s="35"/>
      <c r="Q681" s="35"/>
      <c r="R681" s="33" t="e">
        <v>#VALUE!</v>
      </c>
      <c r="S681" s="35"/>
      <c r="T681" s="35"/>
      <c r="U681" s="31"/>
    </row>
    <row r="682">
      <c r="A682" s="31"/>
      <c r="B682" s="51">
        <v>45798.0</v>
      </c>
      <c r="C682" s="38" t="s">
        <v>46</v>
      </c>
      <c r="D682" s="38" t="s">
        <v>31</v>
      </c>
      <c r="E682" s="38" t="s">
        <v>746</v>
      </c>
      <c r="F682" s="38" t="s">
        <v>84</v>
      </c>
      <c r="G682" s="38" t="s">
        <v>263</v>
      </c>
      <c r="H682" s="53">
        <v>3.54922130003863E14</v>
      </c>
      <c r="I682" s="41" t="s">
        <v>753</v>
      </c>
      <c r="J682" s="29"/>
      <c r="K682" s="38" t="s">
        <v>19</v>
      </c>
      <c r="L682" s="29"/>
      <c r="M682" s="29"/>
      <c r="N682" s="29"/>
      <c r="O682" s="43"/>
      <c r="P682" s="29"/>
      <c r="Q682" s="29"/>
      <c r="R682" s="38" t="e">
        <v>#VALUE!</v>
      </c>
      <c r="S682" s="29"/>
      <c r="T682" s="29"/>
      <c r="U682" s="31"/>
    </row>
    <row r="683">
      <c r="A683" s="31"/>
      <c r="B683" s="52">
        <v>45798.0</v>
      </c>
      <c r="C683" s="33" t="s">
        <v>46</v>
      </c>
      <c r="D683" s="33" t="s">
        <v>31</v>
      </c>
      <c r="E683" s="33" t="s">
        <v>746</v>
      </c>
      <c r="F683" s="33" t="s">
        <v>84</v>
      </c>
      <c r="G683" s="33" t="s">
        <v>263</v>
      </c>
      <c r="H683" s="53">
        <v>3.54922130007369E14</v>
      </c>
      <c r="I683" s="34" t="s">
        <v>78</v>
      </c>
      <c r="J683" s="35"/>
      <c r="K683" s="33" t="s">
        <v>19</v>
      </c>
      <c r="L683" s="35"/>
      <c r="M683" s="35"/>
      <c r="N683" s="35"/>
      <c r="O683" s="42"/>
      <c r="P683" s="35"/>
      <c r="Q683" s="35"/>
      <c r="R683" s="33" t="e">
        <v>#VALUE!</v>
      </c>
      <c r="S683" s="35"/>
      <c r="T683" s="35"/>
      <c r="U683" s="31"/>
    </row>
    <row r="684">
      <c r="A684" s="31"/>
      <c r="B684" s="51">
        <v>45798.0</v>
      </c>
      <c r="C684" s="38" t="s">
        <v>46</v>
      </c>
      <c r="D684" s="38" t="s">
        <v>31</v>
      </c>
      <c r="E684" s="38" t="s">
        <v>746</v>
      </c>
      <c r="F684" s="38" t="s">
        <v>84</v>
      </c>
      <c r="G684" s="38" t="s">
        <v>263</v>
      </c>
      <c r="H684" s="53">
        <v>3.54922130007187E14</v>
      </c>
      <c r="I684" s="41" t="s">
        <v>78</v>
      </c>
      <c r="J684" s="29"/>
      <c r="K684" s="38" t="s">
        <v>19</v>
      </c>
      <c r="L684" s="29"/>
      <c r="M684" s="29"/>
      <c r="N684" s="29"/>
      <c r="O684" s="43"/>
      <c r="P684" s="29"/>
      <c r="Q684" s="29"/>
      <c r="R684" s="38" t="e">
        <v>#VALUE!</v>
      </c>
      <c r="S684" s="29"/>
      <c r="T684" s="29"/>
      <c r="U684" s="31"/>
    </row>
    <row r="685">
      <c r="A685" s="31"/>
      <c r="B685" s="52">
        <v>45798.0</v>
      </c>
      <c r="C685" s="33" t="s">
        <v>46</v>
      </c>
      <c r="D685" s="33" t="s">
        <v>31</v>
      </c>
      <c r="E685" s="33" t="s">
        <v>746</v>
      </c>
      <c r="F685" s="33" t="s">
        <v>84</v>
      </c>
      <c r="G685" s="33" t="s">
        <v>263</v>
      </c>
      <c r="H685" s="53">
        <v>3.54922130003087E14</v>
      </c>
      <c r="I685" s="34" t="s">
        <v>78</v>
      </c>
      <c r="J685" s="35"/>
      <c r="K685" s="33" t="s">
        <v>19</v>
      </c>
      <c r="L685" s="35"/>
      <c r="M685" s="35"/>
      <c r="N685" s="35"/>
      <c r="O685" s="42"/>
      <c r="P685" s="35"/>
      <c r="Q685" s="35"/>
      <c r="R685" s="33" t="e">
        <v>#VALUE!</v>
      </c>
      <c r="S685" s="35"/>
      <c r="T685" s="35"/>
      <c r="U685" s="31"/>
    </row>
    <row r="686">
      <c r="A686" s="31"/>
      <c r="B686" s="51">
        <v>45798.0</v>
      </c>
      <c r="C686" s="38" t="s">
        <v>46</v>
      </c>
      <c r="D686" s="38" t="s">
        <v>31</v>
      </c>
      <c r="E686" s="38" t="s">
        <v>746</v>
      </c>
      <c r="F686" s="38" t="s">
        <v>84</v>
      </c>
      <c r="G686" s="38" t="s">
        <v>263</v>
      </c>
      <c r="H686" s="53">
        <v>3.54922130007336E14</v>
      </c>
      <c r="I686" s="41" t="s">
        <v>436</v>
      </c>
      <c r="J686" s="38" t="s">
        <v>763</v>
      </c>
      <c r="K686" s="38" t="s">
        <v>19</v>
      </c>
      <c r="L686" s="29"/>
      <c r="M686" s="29"/>
      <c r="N686" s="29"/>
      <c r="O686" s="43"/>
      <c r="P686" s="29"/>
      <c r="Q686" s="29"/>
      <c r="R686" s="38" t="e">
        <v>#VALUE!</v>
      </c>
      <c r="S686" s="29"/>
      <c r="T686" s="29"/>
      <c r="U686" s="31"/>
    </row>
    <row r="687">
      <c r="A687" s="54"/>
      <c r="B687" s="52">
        <v>45798.0</v>
      </c>
      <c r="C687" s="33" t="s">
        <v>46</v>
      </c>
      <c r="D687" s="33" t="s">
        <v>31</v>
      </c>
      <c r="E687" s="33" t="s">
        <v>746</v>
      </c>
      <c r="F687" s="33" t="s">
        <v>84</v>
      </c>
      <c r="G687" s="33" t="s">
        <v>263</v>
      </c>
      <c r="H687" s="53">
        <v>3.54922130003061E14</v>
      </c>
      <c r="I687" s="34" t="s">
        <v>78</v>
      </c>
      <c r="J687" s="35"/>
      <c r="K687" s="33" t="s">
        <v>19</v>
      </c>
      <c r="L687" s="35"/>
      <c r="M687" s="35"/>
      <c r="N687" s="35"/>
      <c r="O687" s="42"/>
      <c r="P687" s="35"/>
      <c r="Q687" s="35"/>
      <c r="R687" s="33" t="e">
        <v>#VALUE!</v>
      </c>
      <c r="S687" s="35"/>
      <c r="T687" s="35"/>
      <c r="U687" s="31"/>
    </row>
    <row r="688">
      <c r="A688" s="31"/>
      <c r="B688" s="51">
        <v>45799.0</v>
      </c>
      <c r="C688" s="38" t="s">
        <v>47</v>
      </c>
      <c r="D688" s="38" t="s">
        <v>31</v>
      </c>
      <c r="E688" s="38" t="s">
        <v>343</v>
      </c>
      <c r="F688" s="38" t="s">
        <v>84</v>
      </c>
      <c r="G688" s="38" t="s">
        <v>115</v>
      </c>
      <c r="H688" s="38">
        <v>3.54222650223292E14</v>
      </c>
      <c r="I688" s="41" t="s">
        <v>78</v>
      </c>
      <c r="J688" s="29"/>
      <c r="K688" s="29"/>
      <c r="L688" s="29"/>
      <c r="M688" s="29"/>
      <c r="N688" s="29"/>
      <c r="O688" s="43"/>
      <c r="P688" s="29"/>
      <c r="Q688" s="29"/>
      <c r="R688" s="38" t="e">
        <v>#VALUE!</v>
      </c>
      <c r="S688" s="29"/>
      <c r="T688" s="29"/>
      <c r="U688" s="31"/>
    </row>
    <row r="689">
      <c r="A689" s="31"/>
      <c r="B689" s="52">
        <v>45799.0</v>
      </c>
      <c r="C689" s="33" t="s">
        <v>47</v>
      </c>
      <c r="D689" s="33" t="s">
        <v>31</v>
      </c>
      <c r="E689" s="33" t="s">
        <v>343</v>
      </c>
      <c r="F689" s="33" t="s">
        <v>84</v>
      </c>
      <c r="G689" s="33" t="s">
        <v>115</v>
      </c>
      <c r="H689" s="33">
        <v>3.54222650220389E14</v>
      </c>
      <c r="I689" s="34" t="s">
        <v>78</v>
      </c>
      <c r="J689" s="35"/>
      <c r="K689" s="35"/>
      <c r="L689" s="35"/>
      <c r="M689" s="35"/>
      <c r="N689" s="35"/>
      <c r="O689" s="42"/>
      <c r="P689" s="35"/>
      <c r="Q689" s="35"/>
      <c r="R689" s="33" t="e">
        <v>#VALUE!</v>
      </c>
      <c r="S689" s="35"/>
      <c r="T689" s="35"/>
      <c r="U689" s="31"/>
    </row>
    <row r="690">
      <c r="A690" s="31"/>
      <c r="B690" s="51">
        <v>45799.0</v>
      </c>
      <c r="C690" s="38" t="s">
        <v>47</v>
      </c>
      <c r="D690" s="38" t="s">
        <v>31</v>
      </c>
      <c r="E690" s="38" t="s">
        <v>343</v>
      </c>
      <c r="F690" s="38" t="s">
        <v>84</v>
      </c>
      <c r="G690" s="38" t="s">
        <v>115</v>
      </c>
      <c r="H690" s="38">
        <v>3.54222650221585E14</v>
      </c>
      <c r="I690" s="41" t="s">
        <v>78</v>
      </c>
      <c r="J690" s="29"/>
      <c r="K690" s="29"/>
      <c r="L690" s="29"/>
      <c r="M690" s="29"/>
      <c r="N690" s="29"/>
      <c r="O690" s="43"/>
      <c r="P690" s="29"/>
      <c r="Q690" s="29"/>
      <c r="R690" s="38" t="e">
        <v>#VALUE!</v>
      </c>
      <c r="S690" s="29"/>
      <c r="T690" s="29"/>
      <c r="U690" s="31"/>
    </row>
    <row r="691">
      <c r="A691" s="31"/>
      <c r="B691" s="52">
        <v>45800.0</v>
      </c>
      <c r="C691" s="33" t="s">
        <v>46</v>
      </c>
      <c r="D691" s="33" t="s">
        <v>31</v>
      </c>
      <c r="E691" s="33" t="s">
        <v>746</v>
      </c>
      <c r="F691" s="33" t="s">
        <v>84</v>
      </c>
      <c r="G691" s="33" t="s">
        <v>263</v>
      </c>
      <c r="H691" s="53">
        <v>3.54922130009183E14</v>
      </c>
      <c r="I691" s="42"/>
      <c r="J691" s="35"/>
      <c r="K691" s="35"/>
      <c r="L691" s="35"/>
      <c r="M691" s="33" t="s">
        <v>764</v>
      </c>
      <c r="N691" s="35"/>
      <c r="O691" s="42"/>
      <c r="P691" s="35"/>
      <c r="Q691" s="35"/>
      <c r="R691" s="33" t="e">
        <v>#VALUE!</v>
      </c>
      <c r="S691" s="35"/>
      <c r="T691" s="33" t="s">
        <v>765</v>
      </c>
      <c r="U691" s="31"/>
    </row>
    <row r="692">
      <c r="A692" s="31"/>
      <c r="B692" s="51">
        <v>45800.0</v>
      </c>
      <c r="C692" s="38" t="s">
        <v>46</v>
      </c>
      <c r="D692" s="38" t="s">
        <v>31</v>
      </c>
      <c r="E692" s="38" t="s">
        <v>746</v>
      </c>
      <c r="F692" s="38" t="s">
        <v>84</v>
      </c>
      <c r="G692" s="38" t="s">
        <v>263</v>
      </c>
      <c r="H692" s="53">
        <v>3.54922130011858E14</v>
      </c>
      <c r="I692" s="41" t="s">
        <v>78</v>
      </c>
      <c r="J692" s="29"/>
      <c r="K692" s="29"/>
      <c r="L692" s="29"/>
      <c r="M692" s="38" t="s">
        <v>764</v>
      </c>
      <c r="N692" s="29"/>
      <c r="O692" s="43"/>
      <c r="P692" s="29"/>
      <c r="Q692" s="29"/>
      <c r="R692" s="38" t="e">
        <v>#VALUE!</v>
      </c>
      <c r="S692" s="29"/>
      <c r="T692" s="38" t="s">
        <v>765</v>
      </c>
      <c r="U692" s="31"/>
    </row>
    <row r="693">
      <c r="A693" s="31"/>
      <c r="B693" s="52">
        <v>45800.0</v>
      </c>
      <c r="C693" s="33" t="s">
        <v>46</v>
      </c>
      <c r="D693" s="33" t="s">
        <v>31</v>
      </c>
      <c r="E693" s="33" t="s">
        <v>746</v>
      </c>
      <c r="F693" s="33" t="s">
        <v>84</v>
      </c>
      <c r="G693" s="33" t="s">
        <v>263</v>
      </c>
      <c r="H693" s="53">
        <v>3.54922130000133E14</v>
      </c>
      <c r="I693" s="42"/>
      <c r="J693" s="33" t="s">
        <v>766</v>
      </c>
      <c r="K693" s="35"/>
      <c r="L693" s="35"/>
      <c r="M693" s="33" t="s">
        <v>764</v>
      </c>
      <c r="N693" s="35"/>
      <c r="O693" s="42"/>
      <c r="P693" s="35"/>
      <c r="Q693" s="35"/>
      <c r="R693" s="33" t="e">
        <v>#VALUE!</v>
      </c>
      <c r="S693" s="35"/>
      <c r="T693" s="33" t="s">
        <v>765</v>
      </c>
      <c r="U693" s="31"/>
    </row>
    <row r="694">
      <c r="A694" s="31"/>
      <c r="B694" s="52">
        <v>45800.0</v>
      </c>
      <c r="C694" s="33" t="s">
        <v>46</v>
      </c>
      <c r="D694" s="33" t="s">
        <v>31</v>
      </c>
      <c r="E694" s="33" t="s">
        <v>746</v>
      </c>
      <c r="F694" s="33" t="s">
        <v>84</v>
      </c>
      <c r="G694" s="33" t="s">
        <v>263</v>
      </c>
      <c r="H694" s="53" t="s">
        <v>767</v>
      </c>
      <c r="I694" s="42"/>
      <c r="J694" s="35"/>
      <c r="K694" s="35"/>
      <c r="L694" s="35"/>
      <c r="M694" s="35"/>
      <c r="N694" s="35"/>
      <c r="O694" s="42"/>
      <c r="P694" s="35"/>
      <c r="Q694" s="35"/>
      <c r="R694" s="33" t="e">
        <v>#VALUE!</v>
      </c>
      <c r="S694" s="35"/>
      <c r="T694" s="33" t="s">
        <v>765</v>
      </c>
      <c r="U694" s="31"/>
    </row>
    <row r="695">
      <c r="A695" s="31"/>
      <c r="B695" s="52">
        <v>45805.0</v>
      </c>
      <c r="C695" s="55" t="s">
        <v>47</v>
      </c>
      <c r="D695" s="33" t="s">
        <v>31</v>
      </c>
      <c r="E695" s="33" t="s">
        <v>343</v>
      </c>
      <c r="F695" s="33" t="s">
        <v>84</v>
      </c>
      <c r="G695" s="33" t="s">
        <v>345</v>
      </c>
      <c r="H695" s="33">
        <v>3.54222650226204E14</v>
      </c>
      <c r="I695" s="42"/>
      <c r="J695" s="35"/>
      <c r="K695" s="56" t="s">
        <v>768</v>
      </c>
      <c r="L695" s="32">
        <v>45853.0</v>
      </c>
      <c r="M695" s="33" t="s">
        <v>769</v>
      </c>
      <c r="N695" s="31"/>
      <c r="O695" s="42"/>
      <c r="P695" s="32">
        <v>45853.0</v>
      </c>
      <c r="Q695" s="33" t="s">
        <v>769</v>
      </c>
      <c r="R695" s="31"/>
      <c r="S695" s="31"/>
      <c r="T695" s="31"/>
      <c r="U695" s="31"/>
    </row>
    <row r="696">
      <c r="A696" s="31"/>
      <c r="B696" s="52">
        <v>45805.0</v>
      </c>
      <c r="C696" s="55" t="s">
        <v>47</v>
      </c>
      <c r="D696" s="33" t="s">
        <v>31</v>
      </c>
      <c r="E696" s="33" t="s">
        <v>343</v>
      </c>
      <c r="F696" s="33" t="s">
        <v>84</v>
      </c>
      <c r="G696" s="33" t="s">
        <v>345</v>
      </c>
      <c r="H696" s="33">
        <v>3.54222650226717E14</v>
      </c>
      <c r="I696" s="34" t="s">
        <v>78</v>
      </c>
      <c r="J696" s="33" t="s">
        <v>770</v>
      </c>
      <c r="K696" s="56" t="s">
        <v>11</v>
      </c>
      <c r="L696" s="35"/>
      <c r="M696" s="35"/>
      <c r="N696" s="31"/>
      <c r="O696" s="42"/>
      <c r="P696" s="35"/>
      <c r="Q696" s="35"/>
      <c r="R696" s="31"/>
      <c r="S696" s="31"/>
      <c r="T696" s="31"/>
      <c r="U696" s="31"/>
    </row>
    <row r="697">
      <c r="A697" s="31"/>
      <c r="B697" s="52">
        <v>45805.0</v>
      </c>
      <c r="C697" s="55" t="s">
        <v>47</v>
      </c>
      <c r="D697" s="33" t="s">
        <v>31</v>
      </c>
      <c r="E697" s="33" t="s">
        <v>343</v>
      </c>
      <c r="F697" s="33" t="s">
        <v>84</v>
      </c>
      <c r="G697" s="33" t="s">
        <v>345</v>
      </c>
      <c r="H697" s="33">
        <v>3.54222650222658E14</v>
      </c>
      <c r="I697" s="42"/>
      <c r="J697" s="57"/>
      <c r="K697" s="56" t="s">
        <v>768</v>
      </c>
      <c r="L697" s="32">
        <v>45855.0</v>
      </c>
      <c r="M697" s="33" t="s">
        <v>769</v>
      </c>
      <c r="N697" s="31"/>
      <c r="O697" s="42"/>
      <c r="P697" s="32">
        <v>45855.0</v>
      </c>
      <c r="Q697" s="33" t="s">
        <v>769</v>
      </c>
      <c r="R697" s="31"/>
      <c r="S697" s="31"/>
      <c r="T697" s="31"/>
      <c r="U697" s="31"/>
    </row>
    <row r="698">
      <c r="A698" s="31"/>
      <c r="B698" s="52">
        <v>45805.0</v>
      </c>
      <c r="C698" s="55" t="s">
        <v>47</v>
      </c>
      <c r="D698" s="33" t="s">
        <v>31</v>
      </c>
      <c r="E698" s="33" t="s">
        <v>343</v>
      </c>
      <c r="F698" s="33" t="s">
        <v>84</v>
      </c>
      <c r="G698" s="33" t="s">
        <v>345</v>
      </c>
      <c r="H698" s="33">
        <v>3.54222650226691E14</v>
      </c>
      <c r="I698" s="42"/>
      <c r="J698" s="33" t="s">
        <v>771</v>
      </c>
      <c r="K698" s="56" t="s">
        <v>11</v>
      </c>
      <c r="L698" s="35"/>
      <c r="M698" s="35"/>
      <c r="N698" s="31"/>
      <c r="O698" s="42"/>
      <c r="P698" s="35"/>
      <c r="Q698" s="35"/>
      <c r="R698" s="31"/>
      <c r="S698" s="31"/>
      <c r="T698" s="31"/>
      <c r="U698" s="31"/>
    </row>
    <row r="699">
      <c r="A699" s="31"/>
      <c r="B699" s="52">
        <v>45805.0</v>
      </c>
      <c r="C699" s="55" t="s">
        <v>47</v>
      </c>
      <c r="D699" s="33" t="s">
        <v>31</v>
      </c>
      <c r="E699" s="33" t="s">
        <v>343</v>
      </c>
      <c r="F699" s="33" t="s">
        <v>84</v>
      </c>
      <c r="G699" s="33" t="s">
        <v>345</v>
      </c>
      <c r="H699" s="33">
        <v>3.54222650225404E14</v>
      </c>
      <c r="I699" s="42"/>
      <c r="J699" s="35"/>
      <c r="K699" s="56" t="s">
        <v>768</v>
      </c>
      <c r="L699" s="32">
        <v>45855.0</v>
      </c>
      <c r="M699" s="33" t="s">
        <v>769</v>
      </c>
      <c r="N699" s="31"/>
      <c r="O699" s="42"/>
      <c r="P699" s="32">
        <v>45855.0</v>
      </c>
      <c r="Q699" s="33" t="s">
        <v>769</v>
      </c>
      <c r="R699" s="31"/>
      <c r="S699" s="31"/>
      <c r="T699" s="31"/>
      <c r="U699" s="31"/>
    </row>
    <row r="700">
      <c r="A700" s="31"/>
      <c r="B700" s="52">
        <v>45805.0</v>
      </c>
      <c r="C700" s="55" t="s">
        <v>47</v>
      </c>
      <c r="D700" s="33" t="s">
        <v>31</v>
      </c>
      <c r="E700" s="33" t="s">
        <v>343</v>
      </c>
      <c r="F700" s="33" t="s">
        <v>84</v>
      </c>
      <c r="G700" s="33" t="s">
        <v>345</v>
      </c>
      <c r="H700" s="33">
        <v>3.54222650223615E14</v>
      </c>
      <c r="I700" s="42"/>
      <c r="J700" s="35"/>
      <c r="K700" s="56" t="s">
        <v>768</v>
      </c>
      <c r="L700" s="32">
        <v>45855.0</v>
      </c>
      <c r="M700" s="33" t="s">
        <v>769</v>
      </c>
      <c r="N700" s="31"/>
      <c r="O700" s="42"/>
      <c r="P700" s="32">
        <v>45855.0</v>
      </c>
      <c r="Q700" s="33" t="s">
        <v>769</v>
      </c>
      <c r="R700" s="31"/>
      <c r="S700" s="31"/>
      <c r="T700" s="31"/>
      <c r="U700" s="31"/>
    </row>
    <row r="701">
      <c r="A701" s="31"/>
      <c r="B701" s="52">
        <v>45805.0</v>
      </c>
      <c r="C701" s="55" t="s">
        <v>47</v>
      </c>
      <c r="D701" s="33" t="s">
        <v>31</v>
      </c>
      <c r="E701" s="33" t="s">
        <v>343</v>
      </c>
      <c r="F701" s="33" t="s">
        <v>84</v>
      </c>
      <c r="G701" s="33" t="s">
        <v>345</v>
      </c>
      <c r="H701" s="33">
        <v>3.54222650217146E14</v>
      </c>
      <c r="I701" s="42"/>
      <c r="J701" s="33" t="s">
        <v>772</v>
      </c>
      <c r="K701" s="56" t="s">
        <v>11</v>
      </c>
      <c r="L701" s="35"/>
      <c r="M701" s="35"/>
      <c r="N701" s="31"/>
      <c r="O701" s="42"/>
      <c r="P701" s="35"/>
      <c r="Q701" s="35"/>
      <c r="R701" s="31"/>
      <c r="S701" s="31"/>
      <c r="T701" s="31"/>
      <c r="U701" s="31"/>
    </row>
    <row r="702">
      <c r="A702" s="31"/>
      <c r="B702" s="52">
        <v>45805.0</v>
      </c>
      <c r="C702" s="55" t="s">
        <v>47</v>
      </c>
      <c r="D702" s="33" t="s">
        <v>31</v>
      </c>
      <c r="E702" s="33" t="s">
        <v>343</v>
      </c>
      <c r="F702" s="33" t="s">
        <v>84</v>
      </c>
      <c r="G702" s="33" t="s">
        <v>345</v>
      </c>
      <c r="H702" s="33">
        <v>3.54222650220652E14</v>
      </c>
      <c r="I702" s="34" t="s">
        <v>86</v>
      </c>
      <c r="J702" s="33" t="s">
        <v>773</v>
      </c>
      <c r="K702" s="56" t="s">
        <v>11</v>
      </c>
      <c r="L702" s="35"/>
      <c r="M702" s="35"/>
      <c r="N702" s="31"/>
      <c r="O702" s="42"/>
      <c r="P702" s="35"/>
      <c r="Q702" s="35"/>
      <c r="R702" s="31"/>
      <c r="S702" s="31"/>
      <c r="T702" s="31"/>
      <c r="U702" s="31"/>
    </row>
    <row r="703">
      <c r="A703" s="31"/>
      <c r="B703" s="52">
        <v>45805.0</v>
      </c>
      <c r="C703" s="55" t="s">
        <v>47</v>
      </c>
      <c r="D703" s="33" t="s">
        <v>31</v>
      </c>
      <c r="E703" s="33" t="s">
        <v>343</v>
      </c>
      <c r="F703" s="33" t="s">
        <v>84</v>
      </c>
      <c r="G703" s="33" t="s">
        <v>345</v>
      </c>
      <c r="H703" s="33">
        <v>3.54222650224993E14</v>
      </c>
      <c r="I703" s="42"/>
      <c r="J703" s="35"/>
      <c r="K703" s="56" t="s">
        <v>768</v>
      </c>
      <c r="L703" s="32">
        <v>45855.0</v>
      </c>
      <c r="M703" s="33" t="s">
        <v>769</v>
      </c>
      <c r="N703" s="31"/>
      <c r="O703" s="42"/>
      <c r="P703" s="32">
        <v>45855.0</v>
      </c>
      <c r="Q703" s="33" t="s">
        <v>769</v>
      </c>
      <c r="R703" s="31"/>
      <c r="S703" s="31"/>
      <c r="T703" s="31"/>
      <c r="U703" s="31"/>
    </row>
    <row r="704">
      <c r="A704" s="31"/>
      <c r="B704" s="32">
        <v>45819.0</v>
      </c>
      <c r="C704" s="55" t="s">
        <v>47</v>
      </c>
      <c r="D704" s="35"/>
      <c r="E704" s="35"/>
      <c r="F704" s="35"/>
      <c r="G704" s="33" t="s">
        <v>345</v>
      </c>
      <c r="H704" s="33">
        <v>3.54222650221585E14</v>
      </c>
      <c r="I704" s="42"/>
      <c r="J704" s="33" t="s">
        <v>774</v>
      </c>
      <c r="K704" s="56" t="s">
        <v>11</v>
      </c>
      <c r="L704" s="35"/>
      <c r="M704" s="35"/>
      <c r="N704" s="31"/>
      <c r="O704" s="42"/>
      <c r="P704" s="35"/>
      <c r="Q704" s="35"/>
      <c r="R704" s="31"/>
      <c r="S704" s="31"/>
      <c r="T704" s="31"/>
      <c r="U704" s="31"/>
    </row>
    <row r="705">
      <c r="A705" s="31"/>
      <c r="B705" s="32">
        <v>45819.0</v>
      </c>
      <c r="C705" s="55" t="s">
        <v>47</v>
      </c>
      <c r="D705" s="35"/>
      <c r="E705" s="35"/>
      <c r="F705" s="35"/>
      <c r="G705" s="33" t="s">
        <v>345</v>
      </c>
      <c r="H705" s="33">
        <v>3.54222650224415E14</v>
      </c>
      <c r="I705" s="42"/>
      <c r="J705" s="35"/>
      <c r="K705" s="56" t="s">
        <v>768</v>
      </c>
      <c r="L705" s="32">
        <v>45853.0</v>
      </c>
      <c r="M705" s="33" t="s">
        <v>769</v>
      </c>
      <c r="N705" s="31"/>
      <c r="O705" s="42"/>
      <c r="P705" s="32">
        <v>45853.0</v>
      </c>
      <c r="Q705" s="33" t="s">
        <v>769</v>
      </c>
      <c r="R705" s="31"/>
      <c r="S705" s="31"/>
      <c r="T705" s="31"/>
      <c r="U705" s="31"/>
    </row>
    <row r="706">
      <c r="A706" s="31"/>
      <c r="B706" s="32">
        <v>45819.0</v>
      </c>
      <c r="C706" s="55" t="s">
        <v>47</v>
      </c>
      <c r="D706" s="35"/>
      <c r="E706" s="35"/>
      <c r="F706" s="35"/>
      <c r="G706" s="33" t="s">
        <v>345</v>
      </c>
      <c r="H706" s="33">
        <v>3.54222650220728E14</v>
      </c>
      <c r="I706" s="42"/>
      <c r="J706" s="35"/>
      <c r="K706" s="56" t="s">
        <v>768</v>
      </c>
      <c r="L706" s="32">
        <v>45853.0</v>
      </c>
      <c r="M706" s="33" t="s">
        <v>769</v>
      </c>
      <c r="N706" s="31"/>
      <c r="O706" s="42"/>
      <c r="P706" s="32">
        <v>45853.0</v>
      </c>
      <c r="Q706" s="33" t="s">
        <v>769</v>
      </c>
      <c r="R706" s="31"/>
      <c r="S706" s="31"/>
      <c r="T706" s="31"/>
      <c r="U706" s="31"/>
    </row>
    <row r="707">
      <c r="A707" s="31"/>
      <c r="B707" s="32">
        <v>45819.0</v>
      </c>
      <c r="C707" s="55" t="s">
        <v>47</v>
      </c>
      <c r="D707" s="35"/>
      <c r="E707" s="35"/>
      <c r="F707" s="35"/>
      <c r="G707" s="33" t="s">
        <v>345</v>
      </c>
      <c r="H707" s="33">
        <v>3.54222650220389E14</v>
      </c>
      <c r="I707" s="42"/>
      <c r="J707" s="33" t="s">
        <v>775</v>
      </c>
      <c r="K707" s="56" t="s">
        <v>11</v>
      </c>
      <c r="L707" s="35"/>
      <c r="M707" s="35"/>
      <c r="N707" s="31"/>
      <c r="O707" s="42"/>
      <c r="P707" s="35"/>
      <c r="Q707" s="35"/>
      <c r="R707" s="31"/>
      <c r="S707" s="31"/>
      <c r="T707" s="31"/>
      <c r="U707" s="31"/>
    </row>
    <row r="708">
      <c r="A708" s="31"/>
      <c r="B708" s="32">
        <v>45819.0</v>
      </c>
      <c r="C708" s="55" t="s">
        <v>47</v>
      </c>
      <c r="D708" s="35"/>
      <c r="E708" s="35"/>
      <c r="F708" s="35"/>
      <c r="G708" s="33" t="s">
        <v>345</v>
      </c>
      <c r="H708" s="33">
        <v>3.54222650223292E14</v>
      </c>
      <c r="I708" s="42"/>
      <c r="J708" s="35"/>
      <c r="K708" s="56" t="s">
        <v>768</v>
      </c>
      <c r="L708" s="32">
        <v>45853.0</v>
      </c>
      <c r="M708" s="33" t="s">
        <v>769</v>
      </c>
      <c r="N708" s="31"/>
      <c r="O708" s="42"/>
      <c r="P708" s="32">
        <v>45853.0</v>
      </c>
      <c r="Q708" s="33" t="s">
        <v>769</v>
      </c>
      <c r="R708" s="31"/>
      <c r="S708" s="31"/>
      <c r="T708" s="31"/>
      <c r="U708" s="31"/>
    </row>
    <row r="709">
      <c r="A709" s="31"/>
      <c r="B709" s="32">
        <v>45819.0</v>
      </c>
      <c r="C709" s="55" t="s">
        <v>47</v>
      </c>
      <c r="D709" s="35"/>
      <c r="E709" s="35"/>
      <c r="F709" s="35"/>
      <c r="G709" s="33" t="s">
        <v>345</v>
      </c>
      <c r="H709" s="33">
        <v>3.54222650223052E14</v>
      </c>
      <c r="I709" s="42"/>
      <c r="J709" s="33" t="s">
        <v>774</v>
      </c>
      <c r="K709" s="56" t="s">
        <v>11</v>
      </c>
      <c r="L709" s="35"/>
      <c r="M709" s="35"/>
      <c r="N709" s="31"/>
      <c r="O709" s="42"/>
      <c r="P709" s="35"/>
      <c r="Q709" s="35"/>
      <c r="R709" s="31"/>
      <c r="S709" s="31"/>
      <c r="T709" s="31"/>
      <c r="U709" s="31"/>
    </row>
    <row r="710">
      <c r="A710" s="31"/>
      <c r="B710" s="32">
        <v>45849.0</v>
      </c>
      <c r="C710" s="55" t="s">
        <v>48</v>
      </c>
      <c r="D710" s="33" t="s">
        <v>31</v>
      </c>
      <c r="E710" s="33" t="s">
        <v>776</v>
      </c>
      <c r="F710" s="33" t="s">
        <v>318</v>
      </c>
      <c r="G710" s="33" t="s">
        <v>321</v>
      </c>
      <c r="H710" s="33">
        <v>3.55626620012099E14</v>
      </c>
      <c r="I710" s="34" t="s">
        <v>777</v>
      </c>
      <c r="J710" s="35"/>
      <c r="K710" s="58" t="s">
        <v>11</v>
      </c>
      <c r="L710" s="32">
        <v>46028.0</v>
      </c>
      <c r="M710" s="35"/>
      <c r="N710" s="31"/>
      <c r="O710" s="42"/>
      <c r="P710" s="35"/>
      <c r="Q710" s="35"/>
      <c r="R710" s="31"/>
      <c r="S710" s="31"/>
      <c r="T710" s="31"/>
      <c r="U710" s="31"/>
    </row>
    <row r="711">
      <c r="A711" s="31"/>
      <c r="B711" s="32">
        <v>45849.0</v>
      </c>
      <c r="C711" s="55" t="s">
        <v>48</v>
      </c>
      <c r="D711" s="33" t="s">
        <v>31</v>
      </c>
      <c r="E711" s="33" t="s">
        <v>776</v>
      </c>
      <c r="F711" s="33" t="s">
        <v>318</v>
      </c>
      <c r="G711" s="33" t="s">
        <v>778</v>
      </c>
      <c r="H711" s="33">
        <v>3.55626620019516E14</v>
      </c>
      <c r="I711" s="34" t="s">
        <v>777</v>
      </c>
      <c r="J711" s="35"/>
      <c r="K711" s="58" t="s">
        <v>11</v>
      </c>
      <c r="L711" s="32">
        <v>46028.0</v>
      </c>
      <c r="M711" s="35"/>
      <c r="N711" s="31"/>
      <c r="O711" s="42"/>
      <c r="P711" s="35"/>
      <c r="Q711" s="35"/>
      <c r="R711" s="31"/>
      <c r="S711" s="31"/>
      <c r="T711" s="31"/>
      <c r="U711" s="31"/>
    </row>
    <row r="712">
      <c r="A712" s="31"/>
      <c r="B712" s="32">
        <v>45849.0</v>
      </c>
      <c r="C712" s="55" t="s">
        <v>48</v>
      </c>
      <c r="D712" s="33" t="s">
        <v>31</v>
      </c>
      <c r="E712" s="33" t="s">
        <v>776</v>
      </c>
      <c r="F712" s="33" t="s">
        <v>318</v>
      </c>
      <c r="G712" s="33" t="s">
        <v>778</v>
      </c>
      <c r="H712" s="33">
        <v>3.55626620013626E14</v>
      </c>
      <c r="I712" s="34" t="s">
        <v>777</v>
      </c>
      <c r="J712" s="35"/>
      <c r="K712" s="58" t="s">
        <v>11</v>
      </c>
      <c r="L712" s="32">
        <v>46028.0</v>
      </c>
      <c r="M712" s="35"/>
      <c r="N712" s="31"/>
      <c r="O712" s="42"/>
      <c r="P712" s="35"/>
      <c r="Q712" s="35"/>
      <c r="R712" s="31"/>
      <c r="S712" s="31"/>
      <c r="T712" s="31"/>
      <c r="U712" s="31"/>
    </row>
    <row r="713">
      <c r="A713" s="31"/>
      <c r="B713" s="32">
        <v>45849.0</v>
      </c>
      <c r="C713" s="55" t="s">
        <v>48</v>
      </c>
      <c r="D713" s="33" t="s">
        <v>31</v>
      </c>
      <c r="E713" s="33" t="s">
        <v>776</v>
      </c>
      <c r="F713" s="33" t="s">
        <v>318</v>
      </c>
      <c r="G713" s="33" t="s">
        <v>778</v>
      </c>
      <c r="H713" s="33">
        <v>3.55626620019011E14</v>
      </c>
      <c r="I713" s="34" t="s">
        <v>777</v>
      </c>
      <c r="J713" s="35"/>
      <c r="K713" s="58" t="s">
        <v>11</v>
      </c>
      <c r="L713" s="32">
        <v>46028.0</v>
      </c>
      <c r="M713" s="35"/>
      <c r="N713" s="31"/>
      <c r="O713" s="42"/>
      <c r="P713" s="35"/>
      <c r="Q713" s="35"/>
      <c r="R713" s="31"/>
      <c r="S713" s="31"/>
      <c r="T713" s="31"/>
      <c r="U713" s="31"/>
    </row>
    <row r="714">
      <c r="A714" s="31"/>
      <c r="B714" s="32">
        <v>45849.0</v>
      </c>
      <c r="C714" s="55" t="s">
        <v>48</v>
      </c>
      <c r="D714" s="33" t="s">
        <v>31</v>
      </c>
      <c r="E714" s="33" t="s">
        <v>776</v>
      </c>
      <c r="F714" s="33" t="s">
        <v>318</v>
      </c>
      <c r="G714" s="33" t="s">
        <v>778</v>
      </c>
      <c r="H714" s="33">
        <v>3.55626620013402E14</v>
      </c>
      <c r="I714" s="34" t="s">
        <v>777</v>
      </c>
      <c r="J714" s="35"/>
      <c r="K714" s="58" t="s">
        <v>11</v>
      </c>
      <c r="L714" s="32">
        <v>46028.0</v>
      </c>
      <c r="M714" s="35"/>
      <c r="N714" s="31"/>
      <c r="O714" s="42"/>
      <c r="P714" s="35"/>
      <c r="Q714" s="35"/>
      <c r="R714" s="31"/>
      <c r="S714" s="31"/>
      <c r="T714" s="31"/>
      <c r="U714" s="31"/>
    </row>
    <row r="715">
      <c r="A715" s="31"/>
      <c r="B715" s="32">
        <v>45849.0</v>
      </c>
      <c r="C715" s="55" t="s">
        <v>48</v>
      </c>
      <c r="D715" s="33" t="s">
        <v>31</v>
      </c>
      <c r="E715" s="33" t="s">
        <v>776</v>
      </c>
      <c r="F715" s="33" t="s">
        <v>318</v>
      </c>
      <c r="G715" s="33" t="s">
        <v>779</v>
      </c>
      <c r="H715" s="33">
        <v>3.55626620002322E14</v>
      </c>
      <c r="I715" s="34" t="s">
        <v>777</v>
      </c>
      <c r="J715" s="35"/>
      <c r="K715" s="58" t="s">
        <v>11</v>
      </c>
      <c r="L715" s="32">
        <v>46028.0</v>
      </c>
      <c r="M715" s="35"/>
      <c r="N715" s="31"/>
      <c r="O715" s="42"/>
      <c r="P715" s="35"/>
      <c r="Q715" s="35"/>
      <c r="R715" s="31"/>
      <c r="S715" s="31"/>
      <c r="T715" s="31"/>
      <c r="U715" s="31"/>
    </row>
    <row r="716">
      <c r="A716" s="31"/>
      <c r="B716" s="32">
        <v>45849.0</v>
      </c>
      <c r="C716" s="55" t="s">
        <v>48</v>
      </c>
      <c r="D716" s="33" t="s">
        <v>31</v>
      </c>
      <c r="E716" s="33" t="s">
        <v>776</v>
      </c>
      <c r="F716" s="33" t="s">
        <v>318</v>
      </c>
      <c r="G716" s="33" t="s">
        <v>779</v>
      </c>
      <c r="H716" s="33">
        <v>3.55626620002728E14</v>
      </c>
      <c r="I716" s="34" t="s">
        <v>777</v>
      </c>
      <c r="J716" s="35"/>
      <c r="K716" s="58" t="s">
        <v>11</v>
      </c>
      <c r="L716" s="32">
        <v>46028.0</v>
      </c>
      <c r="M716" s="35"/>
      <c r="N716" s="31"/>
      <c r="O716" s="42"/>
      <c r="P716" s="35"/>
      <c r="Q716" s="35"/>
      <c r="R716" s="31"/>
      <c r="S716" s="31"/>
      <c r="T716" s="31"/>
      <c r="U716" s="31"/>
    </row>
    <row r="717">
      <c r="A717" s="31"/>
      <c r="B717" s="32">
        <v>45854.0</v>
      </c>
      <c r="C717" s="55" t="s">
        <v>780</v>
      </c>
      <c r="D717" s="33" t="s">
        <v>31</v>
      </c>
      <c r="E717" s="33" t="s">
        <v>781</v>
      </c>
      <c r="F717" s="33" t="s">
        <v>318</v>
      </c>
      <c r="G717" s="33" t="s">
        <v>340</v>
      </c>
      <c r="H717" s="33">
        <v>3.54312420025166E14</v>
      </c>
      <c r="I717" s="34" t="s">
        <v>782</v>
      </c>
      <c r="J717" s="35"/>
      <c r="K717" s="58" t="s">
        <v>11</v>
      </c>
      <c r="L717" s="35"/>
      <c r="M717" s="35"/>
      <c r="N717" s="31"/>
      <c r="O717" s="42"/>
      <c r="P717" s="35"/>
      <c r="Q717" s="35"/>
      <c r="R717" s="31"/>
      <c r="S717" s="31"/>
      <c r="T717" s="31"/>
      <c r="U717" s="31"/>
    </row>
    <row r="718">
      <c r="A718" s="31"/>
      <c r="B718" s="32">
        <v>45854.0</v>
      </c>
      <c r="C718" s="31"/>
      <c r="D718" s="33" t="s">
        <v>31</v>
      </c>
      <c r="E718" s="33" t="s">
        <v>781</v>
      </c>
      <c r="F718" s="33" t="s">
        <v>318</v>
      </c>
      <c r="G718" s="33" t="s">
        <v>340</v>
      </c>
      <c r="H718" s="33">
        <v>3.54312420025398E14</v>
      </c>
      <c r="I718" s="34" t="s">
        <v>782</v>
      </c>
      <c r="J718" s="35"/>
      <c r="K718" s="58" t="s">
        <v>11</v>
      </c>
      <c r="L718" s="35"/>
      <c r="M718" s="35"/>
      <c r="N718" s="31"/>
      <c r="O718" s="42"/>
      <c r="P718" s="35"/>
      <c r="Q718" s="35"/>
      <c r="R718" s="31"/>
      <c r="S718" s="31"/>
      <c r="T718" s="31"/>
      <c r="U718" s="31"/>
    </row>
    <row r="719">
      <c r="A719" s="31"/>
      <c r="B719" s="32">
        <v>45854.0</v>
      </c>
      <c r="C719" s="31"/>
      <c r="D719" s="33" t="s">
        <v>31</v>
      </c>
      <c r="E719" s="33" t="s">
        <v>781</v>
      </c>
      <c r="F719" s="33" t="s">
        <v>318</v>
      </c>
      <c r="G719" s="33" t="s">
        <v>340</v>
      </c>
      <c r="H719" s="33">
        <v>3.54312420025786E14</v>
      </c>
      <c r="I719" s="34" t="s">
        <v>782</v>
      </c>
      <c r="J719" s="35"/>
      <c r="K719" s="58" t="s">
        <v>11</v>
      </c>
      <c r="L719" s="35"/>
      <c r="M719" s="35"/>
      <c r="N719" s="31"/>
      <c r="O719" s="42"/>
      <c r="P719" s="35"/>
      <c r="Q719" s="35"/>
      <c r="R719" s="31"/>
      <c r="S719" s="31"/>
      <c r="T719" s="31"/>
      <c r="U719" s="31"/>
    </row>
    <row r="720">
      <c r="A720" s="31"/>
      <c r="B720" s="32">
        <v>45854.0</v>
      </c>
      <c r="C720" s="31"/>
      <c r="D720" s="33" t="s">
        <v>31</v>
      </c>
      <c r="E720" s="33" t="s">
        <v>781</v>
      </c>
      <c r="F720" s="33" t="s">
        <v>318</v>
      </c>
      <c r="G720" s="33" t="s">
        <v>526</v>
      </c>
      <c r="H720" s="33">
        <v>3.5431242000558E14</v>
      </c>
      <c r="I720" s="34" t="s">
        <v>782</v>
      </c>
      <c r="J720" s="35"/>
      <c r="K720" s="58" t="s">
        <v>11</v>
      </c>
      <c r="L720" s="35"/>
      <c r="M720" s="35"/>
      <c r="N720" s="31"/>
      <c r="O720" s="42"/>
      <c r="P720" s="35"/>
      <c r="Q720" s="35"/>
      <c r="R720" s="31"/>
      <c r="S720" s="31"/>
      <c r="T720" s="31"/>
      <c r="U720" s="31"/>
    </row>
    <row r="721">
      <c r="A721" s="31"/>
      <c r="B721" s="32">
        <v>45854.0</v>
      </c>
      <c r="C721" s="31"/>
      <c r="D721" s="33" t="s">
        <v>31</v>
      </c>
      <c r="E721" s="33" t="s">
        <v>781</v>
      </c>
      <c r="F721" s="33" t="s">
        <v>318</v>
      </c>
      <c r="G721" s="33" t="s">
        <v>526</v>
      </c>
      <c r="H721" s="33">
        <v>3.54312420005721E14</v>
      </c>
      <c r="I721" s="34" t="s">
        <v>782</v>
      </c>
      <c r="J721" s="35"/>
      <c r="K721" s="58" t="s">
        <v>11</v>
      </c>
      <c r="L721" s="35"/>
      <c r="M721" s="35"/>
      <c r="N721" s="31"/>
      <c r="O721" s="42"/>
      <c r="P721" s="35"/>
      <c r="Q721" s="35"/>
      <c r="R721" s="31"/>
      <c r="S721" s="31"/>
      <c r="T721" s="31"/>
      <c r="U721" s="31"/>
    </row>
    <row r="722">
      <c r="A722" s="31"/>
      <c r="B722" s="32">
        <v>45854.0</v>
      </c>
      <c r="C722" s="31"/>
      <c r="D722" s="33" t="s">
        <v>31</v>
      </c>
      <c r="E722" s="33" t="s">
        <v>781</v>
      </c>
      <c r="F722" s="33" t="s">
        <v>318</v>
      </c>
      <c r="G722" s="33" t="s">
        <v>284</v>
      </c>
      <c r="H722" s="33">
        <v>3.54312420002629E14</v>
      </c>
      <c r="I722" s="34" t="s">
        <v>782</v>
      </c>
      <c r="J722" s="35"/>
      <c r="K722" s="58" t="s">
        <v>11</v>
      </c>
      <c r="L722" s="35"/>
      <c r="M722" s="35"/>
      <c r="N722" s="31"/>
      <c r="O722" s="42"/>
      <c r="P722" s="35"/>
      <c r="Q722" s="35"/>
      <c r="R722" s="31"/>
      <c r="S722" s="31"/>
      <c r="T722" s="31"/>
      <c r="U722" s="31"/>
    </row>
    <row r="723">
      <c r="A723" s="31"/>
      <c r="B723" s="32">
        <v>45862.0</v>
      </c>
      <c r="C723" s="31"/>
      <c r="D723" s="33" t="s">
        <v>44</v>
      </c>
      <c r="E723" s="33" t="s">
        <v>783</v>
      </c>
      <c r="F723" s="35"/>
      <c r="G723" s="33" t="s">
        <v>784</v>
      </c>
      <c r="H723" s="33" t="s">
        <v>785</v>
      </c>
      <c r="I723" s="34" t="s">
        <v>86</v>
      </c>
      <c r="J723" s="33" t="s">
        <v>786</v>
      </c>
      <c r="K723" s="59"/>
      <c r="L723" s="35"/>
      <c r="M723" s="35"/>
      <c r="N723" s="31"/>
      <c r="O723" s="42"/>
      <c r="P723" s="35"/>
      <c r="Q723" s="35"/>
      <c r="R723" s="31"/>
      <c r="S723" s="31"/>
      <c r="T723" s="31"/>
      <c r="U723" s="31"/>
    </row>
    <row r="724">
      <c r="A724" s="31"/>
      <c r="B724" s="32">
        <v>45867.0</v>
      </c>
      <c r="C724" s="31"/>
      <c r="D724" s="33" t="s">
        <v>44</v>
      </c>
      <c r="E724" s="33" t="s">
        <v>787</v>
      </c>
      <c r="F724" s="35"/>
      <c r="G724" s="33" t="s">
        <v>784</v>
      </c>
      <c r="H724" s="33" t="s">
        <v>788</v>
      </c>
      <c r="I724" s="34" t="s">
        <v>86</v>
      </c>
      <c r="J724" s="33" t="s">
        <v>236</v>
      </c>
      <c r="K724" s="59"/>
      <c r="L724" s="35"/>
      <c r="M724" s="35"/>
      <c r="N724" s="31"/>
      <c r="O724" s="42"/>
      <c r="P724" s="35"/>
      <c r="Q724" s="35"/>
      <c r="R724" s="31"/>
      <c r="S724" s="31"/>
      <c r="T724" s="31"/>
      <c r="U724" s="31"/>
    </row>
    <row r="725">
      <c r="A725" s="31"/>
      <c r="B725" s="32">
        <v>45867.0</v>
      </c>
      <c r="C725" s="31"/>
      <c r="D725" s="33" t="s">
        <v>44</v>
      </c>
      <c r="E725" s="33" t="s">
        <v>787</v>
      </c>
      <c r="F725" s="35"/>
      <c r="G725" s="33" t="s">
        <v>789</v>
      </c>
      <c r="H725" s="33" t="s">
        <v>790</v>
      </c>
      <c r="I725" s="34" t="s">
        <v>86</v>
      </c>
      <c r="J725" s="33" t="s">
        <v>791</v>
      </c>
      <c r="K725" s="59"/>
      <c r="L725" s="35"/>
      <c r="M725" s="35"/>
      <c r="N725" s="31"/>
      <c r="O725" s="42"/>
      <c r="P725" s="35"/>
      <c r="Q725" s="35"/>
      <c r="R725" s="31"/>
      <c r="S725" s="31"/>
      <c r="T725" s="31"/>
      <c r="U725" s="31"/>
    </row>
    <row r="726">
      <c r="A726" s="31"/>
      <c r="B726" s="32">
        <v>45867.0</v>
      </c>
      <c r="C726" s="31"/>
      <c r="D726" s="33" t="s">
        <v>44</v>
      </c>
      <c r="E726" s="33" t="s">
        <v>783</v>
      </c>
      <c r="F726" s="35"/>
      <c r="G726" s="33" t="s">
        <v>784</v>
      </c>
      <c r="H726" s="33" t="s">
        <v>792</v>
      </c>
      <c r="I726" s="34" t="s">
        <v>86</v>
      </c>
      <c r="J726" s="33" t="s">
        <v>229</v>
      </c>
      <c r="K726" s="59"/>
      <c r="L726" s="35"/>
      <c r="M726" s="35"/>
      <c r="N726" s="31"/>
      <c r="O726" s="42"/>
      <c r="P726" s="35"/>
      <c r="Q726" s="35"/>
      <c r="R726" s="31"/>
      <c r="S726" s="31"/>
      <c r="T726" s="31"/>
      <c r="U726" s="31"/>
    </row>
    <row r="727">
      <c r="A727" s="31"/>
      <c r="B727" s="32">
        <v>45867.0</v>
      </c>
      <c r="C727" s="31"/>
      <c r="D727" s="33" t="s">
        <v>44</v>
      </c>
      <c r="E727" s="33" t="s">
        <v>783</v>
      </c>
      <c r="F727" s="35"/>
      <c r="G727" s="33" t="s">
        <v>784</v>
      </c>
      <c r="H727" s="33" t="s">
        <v>793</v>
      </c>
      <c r="I727" s="34" t="s">
        <v>794</v>
      </c>
      <c r="J727" s="33" t="s">
        <v>229</v>
      </c>
      <c r="K727" s="59"/>
      <c r="L727" s="35"/>
      <c r="M727" s="35"/>
      <c r="N727" s="31"/>
      <c r="O727" s="42"/>
      <c r="P727" s="35"/>
      <c r="Q727" s="35"/>
      <c r="R727" s="31"/>
      <c r="S727" s="31"/>
      <c r="T727" s="31"/>
      <c r="U727" s="31"/>
    </row>
    <row r="728">
      <c r="A728" s="31"/>
      <c r="B728" s="32">
        <v>45867.0</v>
      </c>
      <c r="C728" s="31"/>
      <c r="D728" s="33" t="s">
        <v>44</v>
      </c>
      <c r="E728" s="33" t="s">
        <v>783</v>
      </c>
      <c r="F728" s="35"/>
      <c r="G728" s="33" t="s">
        <v>784</v>
      </c>
      <c r="H728" s="33" t="s">
        <v>795</v>
      </c>
      <c r="I728" s="34" t="s">
        <v>794</v>
      </c>
      <c r="J728" s="33" t="s">
        <v>229</v>
      </c>
      <c r="K728" s="59"/>
      <c r="L728" s="35"/>
      <c r="M728" s="35"/>
      <c r="N728" s="31"/>
      <c r="O728" s="42"/>
      <c r="P728" s="35"/>
      <c r="Q728" s="35"/>
      <c r="R728" s="31"/>
      <c r="S728" s="31"/>
      <c r="T728" s="31"/>
      <c r="U728" s="31"/>
    </row>
    <row r="729">
      <c r="A729" s="31"/>
      <c r="B729" s="32">
        <v>45867.0</v>
      </c>
      <c r="C729" s="31"/>
      <c r="D729" s="33" t="s">
        <v>44</v>
      </c>
      <c r="E729" s="33" t="s">
        <v>796</v>
      </c>
      <c r="F729" s="35"/>
      <c r="G729" s="33" t="s">
        <v>784</v>
      </c>
      <c r="H729" s="33" t="s">
        <v>797</v>
      </c>
      <c r="I729" s="34" t="s">
        <v>794</v>
      </c>
      <c r="J729" s="33" t="s">
        <v>229</v>
      </c>
      <c r="K729" s="59"/>
      <c r="L729" s="35"/>
      <c r="M729" s="35"/>
      <c r="N729" s="31"/>
      <c r="O729" s="42"/>
      <c r="P729" s="35"/>
      <c r="Q729" s="35"/>
      <c r="R729" s="31"/>
      <c r="S729" s="31"/>
      <c r="T729" s="31"/>
      <c r="U729" s="31"/>
    </row>
    <row r="730">
      <c r="A730" s="31"/>
      <c r="B730" s="32">
        <v>45869.0</v>
      </c>
      <c r="C730" s="55" t="s">
        <v>798</v>
      </c>
      <c r="D730" s="33" t="s">
        <v>44</v>
      </c>
      <c r="E730" s="33" t="s">
        <v>783</v>
      </c>
      <c r="F730" s="35"/>
      <c r="G730" s="33" t="s">
        <v>99</v>
      </c>
      <c r="H730" s="33" t="s">
        <v>799</v>
      </c>
      <c r="I730" s="34" t="s">
        <v>78</v>
      </c>
      <c r="J730" s="35"/>
      <c r="K730" s="59"/>
      <c r="L730" s="35"/>
      <c r="M730" s="35"/>
      <c r="N730" s="55" t="s">
        <v>800</v>
      </c>
      <c r="O730" s="42"/>
      <c r="P730" s="35"/>
      <c r="Q730" s="35"/>
      <c r="R730" s="31"/>
      <c r="S730" s="31"/>
      <c r="T730" s="31"/>
      <c r="U730" s="55" t="s">
        <v>801</v>
      </c>
    </row>
    <row r="731">
      <c r="A731" s="31"/>
      <c r="B731" s="32">
        <v>45869.0</v>
      </c>
      <c r="C731" s="55" t="s">
        <v>798</v>
      </c>
      <c r="D731" s="33" t="s">
        <v>44</v>
      </c>
      <c r="E731" s="33" t="s">
        <v>783</v>
      </c>
      <c r="F731" s="35"/>
      <c r="G731" s="33" t="s">
        <v>99</v>
      </c>
      <c r="H731" s="33" t="s">
        <v>802</v>
      </c>
      <c r="I731" s="34" t="s">
        <v>86</v>
      </c>
      <c r="J731" s="33" t="s">
        <v>803</v>
      </c>
      <c r="K731" s="59"/>
      <c r="L731" s="35"/>
      <c r="M731" s="35"/>
      <c r="N731" s="55" t="s">
        <v>800</v>
      </c>
      <c r="O731" s="42"/>
      <c r="P731" s="35"/>
      <c r="Q731" s="35"/>
      <c r="R731" s="31"/>
      <c r="S731" s="31"/>
      <c r="T731" s="31"/>
      <c r="U731" s="55" t="s">
        <v>801</v>
      </c>
    </row>
    <row r="732">
      <c r="A732" s="31"/>
      <c r="B732" s="32">
        <v>45869.0</v>
      </c>
      <c r="C732" s="55" t="s">
        <v>798</v>
      </c>
      <c r="D732" s="33" t="s">
        <v>44</v>
      </c>
      <c r="E732" s="33" t="s">
        <v>783</v>
      </c>
      <c r="F732" s="35"/>
      <c r="G732" s="33" t="s">
        <v>804</v>
      </c>
      <c r="H732" s="33" t="s">
        <v>805</v>
      </c>
      <c r="I732" s="34" t="s">
        <v>86</v>
      </c>
      <c r="J732" s="33" t="s">
        <v>773</v>
      </c>
      <c r="K732" s="59"/>
      <c r="L732" s="35"/>
      <c r="M732" s="35"/>
      <c r="N732" s="55" t="s">
        <v>800</v>
      </c>
      <c r="O732" s="42"/>
      <c r="P732" s="35"/>
      <c r="Q732" s="35"/>
      <c r="R732" s="31"/>
      <c r="S732" s="31"/>
      <c r="T732" s="31"/>
      <c r="U732" s="55" t="s">
        <v>801</v>
      </c>
    </row>
    <row r="733">
      <c r="A733" s="31"/>
      <c r="B733" s="32">
        <v>45869.0</v>
      </c>
      <c r="C733" s="55" t="s">
        <v>798</v>
      </c>
      <c r="D733" s="33" t="s">
        <v>31</v>
      </c>
      <c r="E733" s="33" t="s">
        <v>806</v>
      </c>
      <c r="F733" s="33" t="s">
        <v>430</v>
      </c>
      <c r="G733" s="33" t="s">
        <v>807</v>
      </c>
      <c r="H733" s="33">
        <v>3.54629200026647E14</v>
      </c>
      <c r="I733" s="34" t="s">
        <v>78</v>
      </c>
      <c r="J733" s="35"/>
      <c r="K733" s="59"/>
      <c r="L733" s="35"/>
      <c r="M733" s="35"/>
      <c r="N733" s="55" t="s">
        <v>800</v>
      </c>
      <c r="O733" s="42"/>
      <c r="P733" s="35"/>
      <c r="Q733" s="35"/>
      <c r="R733" s="31"/>
      <c r="S733" s="31"/>
      <c r="T733" s="31"/>
      <c r="U733" s="55" t="s">
        <v>801</v>
      </c>
    </row>
    <row r="734">
      <c r="A734" s="31"/>
      <c r="B734" s="32">
        <v>45869.0</v>
      </c>
      <c r="C734" s="55" t="s">
        <v>798</v>
      </c>
      <c r="D734" s="33" t="s">
        <v>31</v>
      </c>
      <c r="E734" s="33" t="s">
        <v>808</v>
      </c>
      <c r="F734" s="33" t="s">
        <v>430</v>
      </c>
      <c r="G734" s="33" t="s">
        <v>804</v>
      </c>
      <c r="H734" s="33">
        <v>3.55626620007164E14</v>
      </c>
      <c r="I734" s="34" t="s">
        <v>78</v>
      </c>
      <c r="J734" s="35"/>
      <c r="K734" s="59"/>
      <c r="L734" s="35"/>
      <c r="M734" s="35"/>
      <c r="N734" s="55" t="s">
        <v>800</v>
      </c>
      <c r="O734" s="42"/>
      <c r="P734" s="35"/>
      <c r="Q734" s="35"/>
      <c r="R734" s="31"/>
      <c r="S734" s="31"/>
      <c r="T734" s="31"/>
      <c r="U734" s="55" t="s">
        <v>801</v>
      </c>
    </row>
    <row r="735">
      <c r="A735" s="31"/>
      <c r="B735" s="32">
        <v>45869.0</v>
      </c>
      <c r="C735" s="55" t="s">
        <v>798</v>
      </c>
      <c r="D735" s="33" t="s">
        <v>31</v>
      </c>
      <c r="E735" s="33" t="s">
        <v>808</v>
      </c>
      <c r="F735" s="33" t="s">
        <v>809</v>
      </c>
      <c r="G735" s="33" t="s">
        <v>810</v>
      </c>
      <c r="H735" s="33">
        <v>3.50966321021204E14</v>
      </c>
      <c r="I735" s="34" t="s">
        <v>78</v>
      </c>
      <c r="J735" s="35"/>
      <c r="K735" s="59"/>
      <c r="L735" s="35"/>
      <c r="M735" s="35"/>
      <c r="N735" s="55" t="s">
        <v>800</v>
      </c>
      <c r="O735" s="42"/>
      <c r="P735" s="35"/>
      <c r="Q735" s="35"/>
      <c r="R735" s="31"/>
      <c r="S735" s="31"/>
      <c r="T735" s="31"/>
      <c r="U735" s="55" t="s">
        <v>801</v>
      </c>
    </row>
    <row r="736">
      <c r="A736" s="31"/>
      <c r="B736" s="32">
        <v>45869.0</v>
      </c>
      <c r="C736" s="55" t="s">
        <v>798</v>
      </c>
      <c r="D736" s="33" t="s">
        <v>31</v>
      </c>
      <c r="E736" s="60" t="s">
        <v>811</v>
      </c>
      <c r="F736" s="60" t="s">
        <v>84</v>
      </c>
      <c r="G736" s="60" t="s">
        <v>812</v>
      </c>
      <c r="H736" s="33">
        <v>3.54312420001548E14</v>
      </c>
      <c r="I736" s="34" t="s">
        <v>78</v>
      </c>
      <c r="J736" s="35"/>
      <c r="K736" s="59"/>
      <c r="L736" s="35"/>
      <c r="M736" s="35"/>
      <c r="N736" s="55" t="s">
        <v>800</v>
      </c>
      <c r="O736" s="42"/>
      <c r="P736" s="35"/>
      <c r="Q736" s="35"/>
      <c r="R736" s="31"/>
      <c r="S736" s="31"/>
      <c r="T736" s="31"/>
      <c r="U736" s="55" t="s">
        <v>801</v>
      </c>
    </row>
    <row r="737">
      <c r="A737" s="31"/>
      <c r="B737" s="32">
        <v>45869.0</v>
      </c>
      <c r="C737" s="55" t="s">
        <v>798</v>
      </c>
      <c r="D737" s="33" t="s">
        <v>31</v>
      </c>
      <c r="E737" s="60" t="s">
        <v>811</v>
      </c>
      <c r="F737" s="60" t="s">
        <v>84</v>
      </c>
      <c r="G737" s="60" t="s">
        <v>778</v>
      </c>
      <c r="H737" s="33">
        <v>3.54312420014004E14</v>
      </c>
      <c r="I737" s="34" t="s">
        <v>78</v>
      </c>
      <c r="J737" s="35"/>
      <c r="K737" s="59"/>
      <c r="L737" s="35"/>
      <c r="M737" s="35"/>
      <c r="N737" s="55" t="s">
        <v>800</v>
      </c>
      <c r="O737" s="42"/>
      <c r="P737" s="35"/>
      <c r="Q737" s="35"/>
      <c r="R737" s="31"/>
      <c r="S737" s="31"/>
      <c r="T737" s="31"/>
      <c r="U737" s="55" t="s">
        <v>801</v>
      </c>
    </row>
    <row r="738">
      <c r="A738" s="31"/>
      <c r="B738" s="32">
        <v>45869.0</v>
      </c>
      <c r="C738" s="55" t="s">
        <v>798</v>
      </c>
      <c r="D738" s="35"/>
      <c r="E738" s="33" t="s">
        <v>314</v>
      </c>
      <c r="F738" s="35"/>
      <c r="G738" s="33" t="s">
        <v>328</v>
      </c>
      <c r="H738" s="33" t="s">
        <v>813</v>
      </c>
      <c r="I738" s="34" t="s">
        <v>78</v>
      </c>
      <c r="J738" s="35"/>
      <c r="K738" s="59"/>
      <c r="L738" s="35"/>
      <c r="M738" s="35"/>
      <c r="N738" s="31"/>
      <c r="O738" s="42"/>
      <c r="P738" s="35"/>
      <c r="Q738" s="35"/>
      <c r="R738" s="31"/>
      <c r="S738" s="31"/>
      <c r="T738" s="31"/>
      <c r="U738" s="55" t="s">
        <v>801</v>
      </c>
    </row>
    <row r="739">
      <c r="A739" s="31"/>
      <c r="B739" s="32">
        <v>45869.0</v>
      </c>
      <c r="C739" s="55" t="s">
        <v>798</v>
      </c>
      <c r="D739" s="33" t="s">
        <v>31</v>
      </c>
      <c r="E739" s="33" t="s">
        <v>808</v>
      </c>
      <c r="F739" s="33" t="s">
        <v>430</v>
      </c>
      <c r="G739" s="33" t="s">
        <v>814</v>
      </c>
      <c r="H739" s="33">
        <v>3.5633551000313E14</v>
      </c>
      <c r="I739" s="34" t="s">
        <v>78</v>
      </c>
      <c r="J739" s="35"/>
      <c r="K739" s="59"/>
      <c r="L739" s="35"/>
      <c r="M739" s="35"/>
      <c r="N739" s="31"/>
      <c r="O739" s="42"/>
      <c r="P739" s="35"/>
      <c r="Q739" s="35"/>
      <c r="R739" s="31"/>
      <c r="S739" s="31"/>
      <c r="T739" s="31"/>
      <c r="U739" s="55" t="s">
        <v>801</v>
      </c>
    </row>
    <row r="740">
      <c r="A740" s="31"/>
      <c r="B740" s="32">
        <v>45869.0</v>
      </c>
      <c r="C740" s="55" t="s">
        <v>798</v>
      </c>
      <c r="D740" s="33" t="s">
        <v>31</v>
      </c>
      <c r="E740" s="33" t="s">
        <v>815</v>
      </c>
      <c r="F740" s="33" t="s">
        <v>430</v>
      </c>
      <c r="G740" s="33" t="s">
        <v>814</v>
      </c>
      <c r="H740" s="33">
        <v>3.50966321020651E14</v>
      </c>
      <c r="I740" s="34" t="s">
        <v>78</v>
      </c>
      <c r="J740" s="35"/>
      <c r="K740" s="59"/>
      <c r="L740" s="35"/>
      <c r="M740" s="35"/>
      <c r="N740" s="31"/>
      <c r="O740" s="42"/>
      <c r="P740" s="35"/>
      <c r="Q740" s="35"/>
      <c r="R740" s="31"/>
      <c r="S740" s="31"/>
      <c r="T740" s="31"/>
      <c r="U740" s="55" t="s">
        <v>801</v>
      </c>
    </row>
    <row r="741">
      <c r="A741" s="31"/>
      <c r="B741" s="32">
        <v>45870.0</v>
      </c>
      <c r="C741" s="55" t="s">
        <v>798</v>
      </c>
      <c r="D741" s="33" t="s">
        <v>44</v>
      </c>
      <c r="E741" s="33" t="s">
        <v>783</v>
      </c>
      <c r="F741" s="35"/>
      <c r="G741" s="33" t="s">
        <v>784</v>
      </c>
      <c r="H741" s="33" t="s">
        <v>816</v>
      </c>
      <c r="I741" s="34" t="s">
        <v>86</v>
      </c>
      <c r="J741" s="33" t="s">
        <v>348</v>
      </c>
      <c r="K741" s="59"/>
      <c r="L741" s="35"/>
      <c r="M741" s="35"/>
      <c r="N741" s="31"/>
      <c r="O741" s="42"/>
      <c r="P741" s="35"/>
      <c r="Q741" s="35"/>
      <c r="R741" s="31"/>
      <c r="S741" s="31"/>
      <c r="T741" s="31"/>
      <c r="U741" s="31"/>
    </row>
    <row r="742">
      <c r="A742" s="31"/>
      <c r="B742" s="32">
        <v>45870.0</v>
      </c>
      <c r="C742" s="55" t="s">
        <v>798</v>
      </c>
      <c r="D742" s="33" t="s">
        <v>44</v>
      </c>
      <c r="E742" s="33" t="s">
        <v>787</v>
      </c>
      <c r="F742" s="35"/>
      <c r="G742" s="33" t="s">
        <v>784</v>
      </c>
      <c r="H742" s="33" t="s">
        <v>817</v>
      </c>
      <c r="I742" s="34" t="s">
        <v>86</v>
      </c>
      <c r="J742" s="33" t="s">
        <v>818</v>
      </c>
      <c r="K742" s="59"/>
      <c r="L742" s="35"/>
      <c r="M742" s="35"/>
      <c r="N742" s="31"/>
      <c r="O742" s="42"/>
      <c r="P742" s="35"/>
      <c r="Q742" s="35"/>
      <c r="R742" s="31"/>
      <c r="S742" s="31"/>
      <c r="T742" s="31"/>
      <c r="U742" s="31"/>
    </row>
    <row r="743">
      <c r="A743" s="31"/>
      <c r="B743" s="32">
        <v>45870.0</v>
      </c>
      <c r="C743" s="55" t="s">
        <v>798</v>
      </c>
      <c r="D743" s="33" t="s">
        <v>44</v>
      </c>
      <c r="E743" s="33" t="s">
        <v>783</v>
      </c>
      <c r="F743" s="35"/>
      <c r="G743" s="33" t="s">
        <v>789</v>
      </c>
      <c r="H743" s="33" t="s">
        <v>799</v>
      </c>
      <c r="I743" s="34" t="s">
        <v>86</v>
      </c>
      <c r="J743" s="33" t="s">
        <v>819</v>
      </c>
      <c r="K743" s="59"/>
      <c r="L743" s="35"/>
      <c r="M743" s="35"/>
      <c r="N743" s="31"/>
      <c r="O743" s="42"/>
      <c r="P743" s="35"/>
      <c r="Q743" s="35"/>
      <c r="R743" s="31"/>
      <c r="S743" s="31"/>
      <c r="T743" s="31"/>
      <c r="U743" s="31"/>
    </row>
    <row r="744">
      <c r="A744" s="31"/>
      <c r="B744" s="32">
        <v>45870.0</v>
      </c>
      <c r="C744" s="55" t="s">
        <v>798</v>
      </c>
      <c r="D744" s="33" t="s">
        <v>44</v>
      </c>
      <c r="E744" s="33" t="s">
        <v>783</v>
      </c>
      <c r="F744" s="35"/>
      <c r="G744" s="33" t="s">
        <v>789</v>
      </c>
      <c r="H744" s="33" t="s">
        <v>820</v>
      </c>
      <c r="I744" s="34" t="s">
        <v>86</v>
      </c>
      <c r="J744" s="33" t="s">
        <v>821</v>
      </c>
      <c r="K744" s="59"/>
      <c r="L744" s="35"/>
      <c r="M744" s="35"/>
      <c r="N744" s="31"/>
      <c r="O744" s="42"/>
      <c r="P744" s="35"/>
      <c r="Q744" s="35"/>
      <c r="R744" s="31"/>
      <c r="S744" s="31"/>
      <c r="T744" s="31"/>
      <c r="U744" s="31"/>
    </row>
    <row r="745">
      <c r="A745" s="31"/>
      <c r="B745" s="32">
        <v>45870.0</v>
      </c>
      <c r="C745" s="55" t="s">
        <v>798</v>
      </c>
      <c r="D745" s="33" t="s">
        <v>44</v>
      </c>
      <c r="E745" s="33" t="s">
        <v>783</v>
      </c>
      <c r="F745" s="35"/>
      <c r="G745" s="33" t="s">
        <v>784</v>
      </c>
      <c r="H745" s="33" t="s">
        <v>822</v>
      </c>
      <c r="I745" s="34" t="s">
        <v>86</v>
      </c>
      <c r="J745" s="33" t="s">
        <v>823</v>
      </c>
      <c r="K745" s="59"/>
      <c r="L745" s="35"/>
      <c r="M745" s="35"/>
      <c r="N745" s="31"/>
      <c r="O745" s="42"/>
      <c r="P745" s="35"/>
      <c r="Q745" s="35"/>
      <c r="R745" s="31"/>
      <c r="S745" s="31"/>
      <c r="T745" s="31"/>
      <c r="U745" s="31"/>
    </row>
    <row r="746">
      <c r="A746" s="31"/>
      <c r="B746" s="32">
        <v>45870.0</v>
      </c>
      <c r="C746" s="55" t="s">
        <v>798</v>
      </c>
      <c r="D746" s="33" t="s">
        <v>44</v>
      </c>
      <c r="E746" s="33" t="s">
        <v>783</v>
      </c>
      <c r="F746" s="35"/>
      <c r="G746" s="33" t="s">
        <v>789</v>
      </c>
      <c r="H746" s="33" t="s">
        <v>824</v>
      </c>
      <c r="I746" s="34" t="s">
        <v>569</v>
      </c>
      <c r="J746" s="33" t="s">
        <v>803</v>
      </c>
      <c r="K746" s="59"/>
      <c r="L746" s="35"/>
      <c r="M746" s="35"/>
      <c r="N746" s="31"/>
      <c r="O746" s="42"/>
      <c r="P746" s="35"/>
      <c r="Q746" s="35"/>
      <c r="R746" s="31"/>
      <c r="S746" s="31"/>
      <c r="T746" s="31"/>
      <c r="U746" s="31"/>
    </row>
    <row r="747">
      <c r="A747" s="31"/>
      <c r="B747" s="32">
        <v>45870.0</v>
      </c>
      <c r="C747" s="55" t="s">
        <v>798</v>
      </c>
      <c r="D747" s="33" t="s">
        <v>44</v>
      </c>
      <c r="E747" s="33" t="s">
        <v>787</v>
      </c>
      <c r="F747" s="35"/>
      <c r="G747" s="33" t="s">
        <v>784</v>
      </c>
      <c r="H747" s="33" t="s">
        <v>825</v>
      </c>
      <c r="I747" s="42"/>
      <c r="J747" s="35"/>
      <c r="K747" s="59"/>
      <c r="L747" s="35"/>
      <c r="M747" s="35"/>
      <c r="N747" s="31"/>
      <c r="O747" s="42"/>
      <c r="P747" s="35"/>
      <c r="Q747" s="35"/>
      <c r="R747" s="31"/>
      <c r="S747" s="31"/>
      <c r="T747" s="31"/>
      <c r="U747" s="31"/>
    </row>
    <row r="748">
      <c r="A748" s="31"/>
      <c r="B748" s="32">
        <v>45870.0</v>
      </c>
      <c r="C748" s="55" t="s">
        <v>798</v>
      </c>
      <c r="D748" s="33" t="s">
        <v>44</v>
      </c>
      <c r="E748" s="33" t="s">
        <v>787</v>
      </c>
      <c r="F748" s="35"/>
      <c r="G748" s="33" t="s">
        <v>789</v>
      </c>
      <c r="H748" s="33" t="s">
        <v>826</v>
      </c>
      <c r="I748" s="42"/>
      <c r="J748" s="35"/>
      <c r="K748" s="59"/>
      <c r="L748" s="35"/>
      <c r="M748" s="35"/>
      <c r="N748" s="31"/>
      <c r="O748" s="42"/>
      <c r="P748" s="35"/>
      <c r="Q748" s="35"/>
      <c r="R748" s="31"/>
      <c r="S748" s="31"/>
      <c r="T748" s="31"/>
      <c r="U748" s="31"/>
    </row>
    <row r="749">
      <c r="A749" s="31"/>
      <c r="B749" s="32">
        <v>45870.0</v>
      </c>
      <c r="C749" s="55" t="s">
        <v>798</v>
      </c>
      <c r="D749" s="33" t="s">
        <v>44</v>
      </c>
      <c r="E749" s="33" t="s">
        <v>783</v>
      </c>
      <c r="F749" s="35"/>
      <c r="G749" s="33" t="s">
        <v>784</v>
      </c>
      <c r="H749" s="33" t="s">
        <v>827</v>
      </c>
      <c r="I749" s="34" t="s">
        <v>86</v>
      </c>
      <c r="J749" s="33" t="s">
        <v>828</v>
      </c>
      <c r="K749" s="59"/>
      <c r="L749" s="35"/>
      <c r="M749" s="35"/>
      <c r="N749" s="31"/>
      <c r="O749" s="42"/>
      <c r="P749" s="35"/>
      <c r="Q749" s="35"/>
      <c r="R749" s="31"/>
      <c r="S749" s="31"/>
      <c r="T749" s="31"/>
      <c r="U749" s="31"/>
    </row>
    <row r="750">
      <c r="A750" s="31"/>
      <c r="B750" s="32">
        <v>45870.0</v>
      </c>
      <c r="C750" s="55" t="s">
        <v>798</v>
      </c>
      <c r="D750" s="33" t="s">
        <v>44</v>
      </c>
      <c r="E750" s="33" t="s">
        <v>783</v>
      </c>
      <c r="F750" s="35"/>
      <c r="G750" s="33" t="s">
        <v>789</v>
      </c>
      <c r="H750" s="33" t="s">
        <v>829</v>
      </c>
      <c r="I750" s="42"/>
      <c r="J750" s="35"/>
      <c r="K750" s="58" t="s">
        <v>11</v>
      </c>
      <c r="L750" s="35"/>
      <c r="M750" s="35"/>
      <c r="N750" s="31"/>
      <c r="O750" s="42"/>
      <c r="P750" s="35"/>
      <c r="Q750" s="35"/>
      <c r="R750" s="31"/>
      <c r="S750" s="31"/>
      <c r="T750" s="31"/>
      <c r="U750" s="31"/>
    </row>
    <row r="751">
      <c r="A751" s="31"/>
      <c r="B751" s="32">
        <v>45870.0</v>
      </c>
      <c r="C751" s="55" t="s">
        <v>798</v>
      </c>
      <c r="D751" s="33" t="s">
        <v>44</v>
      </c>
      <c r="E751" s="33" t="s">
        <v>783</v>
      </c>
      <c r="F751" s="35"/>
      <c r="G751" s="33" t="s">
        <v>789</v>
      </c>
      <c r="H751" s="33" t="s">
        <v>830</v>
      </c>
      <c r="I751" s="34" t="s">
        <v>86</v>
      </c>
      <c r="J751" s="35"/>
      <c r="K751" s="58" t="s">
        <v>11</v>
      </c>
      <c r="L751" s="35"/>
      <c r="M751" s="35"/>
      <c r="N751" s="31"/>
      <c r="O751" s="42"/>
      <c r="P751" s="35"/>
      <c r="Q751" s="35"/>
      <c r="R751" s="31"/>
      <c r="S751" s="31"/>
      <c r="T751" s="31"/>
      <c r="U751" s="31"/>
    </row>
    <row r="752">
      <c r="A752" s="31"/>
      <c r="B752" s="32">
        <v>45870.0</v>
      </c>
      <c r="C752" s="55" t="s">
        <v>798</v>
      </c>
      <c r="D752" s="33" t="s">
        <v>44</v>
      </c>
      <c r="E752" s="33" t="s">
        <v>783</v>
      </c>
      <c r="F752" s="35"/>
      <c r="G752" s="33" t="s">
        <v>789</v>
      </c>
      <c r="H752" s="33" t="s">
        <v>831</v>
      </c>
      <c r="I752" s="42"/>
      <c r="J752" s="35"/>
      <c r="K752" s="58" t="s">
        <v>11</v>
      </c>
      <c r="L752" s="35"/>
      <c r="M752" s="35"/>
      <c r="N752" s="31"/>
      <c r="O752" s="42"/>
      <c r="P752" s="35"/>
      <c r="Q752" s="35"/>
      <c r="R752" s="31"/>
      <c r="S752" s="31"/>
      <c r="T752" s="31"/>
      <c r="U752" s="31"/>
    </row>
    <row r="753">
      <c r="A753" s="31"/>
      <c r="B753" s="32">
        <v>45870.0</v>
      </c>
      <c r="C753" s="55" t="s">
        <v>798</v>
      </c>
      <c r="D753" s="33" t="s">
        <v>44</v>
      </c>
      <c r="E753" s="33" t="s">
        <v>783</v>
      </c>
      <c r="F753" s="35"/>
      <c r="G753" s="33" t="s">
        <v>789</v>
      </c>
      <c r="H753" s="33" t="s">
        <v>832</v>
      </c>
      <c r="I753" s="42"/>
      <c r="J753" s="35"/>
      <c r="K753" s="58" t="s">
        <v>11</v>
      </c>
      <c r="L753" s="35"/>
      <c r="M753" s="35"/>
      <c r="N753" s="31"/>
      <c r="O753" s="42"/>
      <c r="P753" s="35"/>
      <c r="Q753" s="35"/>
      <c r="R753" s="31"/>
      <c r="S753" s="31"/>
      <c r="T753" s="31"/>
      <c r="U753" s="31"/>
    </row>
    <row r="754">
      <c r="A754" s="31"/>
      <c r="B754" s="32">
        <v>45870.0</v>
      </c>
      <c r="C754" s="55" t="s">
        <v>798</v>
      </c>
      <c r="D754" s="33" t="s">
        <v>44</v>
      </c>
      <c r="E754" s="33" t="s">
        <v>783</v>
      </c>
      <c r="F754" s="35"/>
      <c r="G754" s="33" t="s">
        <v>784</v>
      </c>
      <c r="H754" s="33" t="s">
        <v>833</v>
      </c>
      <c r="I754" s="34" t="s">
        <v>86</v>
      </c>
      <c r="J754" s="33" t="s">
        <v>834</v>
      </c>
      <c r="K754" s="58" t="s">
        <v>11</v>
      </c>
      <c r="L754" s="35"/>
      <c r="M754" s="35"/>
      <c r="N754" s="31"/>
      <c r="O754" s="42"/>
      <c r="P754" s="35"/>
      <c r="Q754" s="35"/>
      <c r="R754" s="31"/>
      <c r="S754" s="31"/>
      <c r="T754" s="31"/>
      <c r="U754" s="31"/>
    </row>
    <row r="755">
      <c r="A755" s="31"/>
      <c r="B755" s="32">
        <v>45870.0</v>
      </c>
      <c r="C755" s="55" t="s">
        <v>798</v>
      </c>
      <c r="D755" s="33" t="s">
        <v>44</v>
      </c>
      <c r="E755" s="33" t="s">
        <v>783</v>
      </c>
      <c r="F755" s="35"/>
      <c r="G755" s="33" t="s">
        <v>784</v>
      </c>
      <c r="H755" s="33" t="s">
        <v>805</v>
      </c>
      <c r="I755" s="42"/>
      <c r="J755" s="35"/>
      <c r="K755" s="58" t="s">
        <v>11</v>
      </c>
      <c r="L755" s="35"/>
      <c r="M755" s="35"/>
      <c r="N755" s="31"/>
      <c r="O755" s="42"/>
      <c r="P755" s="35"/>
      <c r="Q755" s="35"/>
      <c r="R755" s="31"/>
      <c r="S755" s="31"/>
      <c r="T755" s="31"/>
      <c r="U755" s="31"/>
    </row>
    <row r="756">
      <c r="A756" s="31"/>
      <c r="B756" s="32">
        <v>45870.0</v>
      </c>
      <c r="C756" s="55" t="s">
        <v>798</v>
      </c>
      <c r="D756" s="33" t="s">
        <v>44</v>
      </c>
      <c r="E756" s="33" t="s">
        <v>783</v>
      </c>
      <c r="F756" s="35"/>
      <c r="G756" s="33" t="s">
        <v>784</v>
      </c>
      <c r="H756" s="33" t="s">
        <v>835</v>
      </c>
      <c r="I756" s="34" t="s">
        <v>86</v>
      </c>
      <c r="J756" s="33" t="s">
        <v>803</v>
      </c>
      <c r="K756" s="58" t="s">
        <v>11</v>
      </c>
      <c r="L756" s="35"/>
      <c r="M756" s="35"/>
      <c r="N756" s="31"/>
      <c r="O756" s="42"/>
      <c r="P756" s="35"/>
      <c r="Q756" s="35"/>
      <c r="R756" s="31"/>
      <c r="S756" s="31"/>
      <c r="T756" s="31"/>
      <c r="U756" s="31"/>
    </row>
    <row r="757">
      <c r="A757" s="31"/>
      <c r="B757" s="32">
        <v>45870.0</v>
      </c>
      <c r="C757" s="55" t="s">
        <v>798</v>
      </c>
      <c r="D757" s="33" t="s">
        <v>44</v>
      </c>
      <c r="E757" s="33" t="s">
        <v>783</v>
      </c>
      <c r="F757" s="35"/>
      <c r="G757" s="33" t="s">
        <v>789</v>
      </c>
      <c r="H757" s="33" t="s">
        <v>836</v>
      </c>
      <c r="I757" s="42"/>
      <c r="J757" s="35"/>
      <c r="K757" s="58" t="s">
        <v>11</v>
      </c>
      <c r="L757" s="35"/>
      <c r="M757" s="35"/>
      <c r="N757" s="31"/>
      <c r="O757" s="42"/>
      <c r="P757" s="35"/>
      <c r="Q757" s="35"/>
      <c r="R757" s="31"/>
      <c r="S757" s="31"/>
      <c r="T757" s="31"/>
      <c r="U757" s="31"/>
    </row>
    <row r="758">
      <c r="A758" s="31"/>
      <c r="B758" s="32">
        <v>45870.0</v>
      </c>
      <c r="C758" s="55" t="s">
        <v>798</v>
      </c>
      <c r="D758" s="33" t="s">
        <v>44</v>
      </c>
      <c r="E758" s="33" t="s">
        <v>783</v>
      </c>
      <c r="F758" s="35"/>
      <c r="G758" s="33" t="s">
        <v>784</v>
      </c>
      <c r="H758" s="33" t="s">
        <v>837</v>
      </c>
      <c r="I758" s="42"/>
      <c r="J758" s="35"/>
      <c r="K758" s="58" t="s">
        <v>11</v>
      </c>
      <c r="L758" s="35"/>
      <c r="M758" s="35"/>
      <c r="N758" s="31"/>
      <c r="O758" s="42"/>
      <c r="P758" s="35"/>
      <c r="Q758" s="35"/>
      <c r="R758" s="31"/>
      <c r="S758" s="31"/>
      <c r="T758" s="31"/>
      <c r="U758" s="31"/>
    </row>
    <row r="759">
      <c r="A759" s="31"/>
      <c r="B759" s="32">
        <v>45870.0</v>
      </c>
      <c r="C759" s="55" t="s">
        <v>798</v>
      </c>
      <c r="D759" s="33" t="s">
        <v>44</v>
      </c>
      <c r="E759" s="33" t="s">
        <v>787</v>
      </c>
      <c r="F759" s="35"/>
      <c r="G759" s="33" t="s">
        <v>784</v>
      </c>
      <c r="H759" s="33" t="s">
        <v>838</v>
      </c>
      <c r="I759" s="42"/>
      <c r="J759" s="35"/>
      <c r="K759" s="58" t="s">
        <v>11</v>
      </c>
      <c r="L759" s="35"/>
      <c r="M759" s="35"/>
      <c r="N759" s="31"/>
      <c r="O759" s="42"/>
      <c r="P759" s="35"/>
      <c r="Q759" s="35"/>
      <c r="R759" s="31"/>
      <c r="S759" s="31"/>
      <c r="T759" s="31"/>
      <c r="U759" s="31"/>
    </row>
    <row r="760">
      <c r="A760" s="31"/>
      <c r="B760" s="32">
        <v>45870.0</v>
      </c>
      <c r="C760" s="55" t="s">
        <v>798</v>
      </c>
      <c r="D760" s="33" t="s">
        <v>44</v>
      </c>
      <c r="E760" s="33" t="s">
        <v>787</v>
      </c>
      <c r="F760" s="35"/>
      <c r="G760" s="33" t="s">
        <v>784</v>
      </c>
      <c r="H760" s="33" t="s">
        <v>839</v>
      </c>
      <c r="I760" s="42"/>
      <c r="J760" s="35"/>
      <c r="K760" s="58" t="s">
        <v>11</v>
      </c>
      <c r="L760" s="35"/>
      <c r="M760" s="35"/>
      <c r="N760" s="31"/>
      <c r="O760" s="42"/>
      <c r="P760" s="35"/>
      <c r="Q760" s="35"/>
      <c r="R760" s="31"/>
      <c r="S760" s="31"/>
      <c r="T760" s="31"/>
      <c r="U760" s="31"/>
    </row>
    <row r="761">
      <c r="A761" s="31"/>
      <c r="B761" s="32">
        <v>45870.0</v>
      </c>
      <c r="C761" s="55" t="s">
        <v>798</v>
      </c>
      <c r="D761" s="33" t="s">
        <v>44</v>
      </c>
      <c r="E761" s="33" t="s">
        <v>783</v>
      </c>
      <c r="F761" s="35"/>
      <c r="G761" s="33" t="s">
        <v>784</v>
      </c>
      <c r="H761" s="33" t="s">
        <v>840</v>
      </c>
      <c r="I761" s="34" t="s">
        <v>86</v>
      </c>
      <c r="J761" s="33" t="s">
        <v>841</v>
      </c>
      <c r="K761" s="58" t="s">
        <v>11</v>
      </c>
      <c r="L761" s="35"/>
      <c r="M761" s="35"/>
      <c r="N761" s="31"/>
      <c r="O761" s="42"/>
      <c r="P761" s="35"/>
      <c r="Q761" s="35"/>
      <c r="R761" s="31"/>
      <c r="S761" s="31"/>
      <c r="T761" s="31"/>
      <c r="U761" s="31"/>
    </row>
    <row r="762">
      <c r="A762" s="31"/>
      <c r="B762" s="61">
        <v>46254.0</v>
      </c>
      <c r="C762" s="55" t="s">
        <v>47</v>
      </c>
      <c r="D762" s="33" t="s">
        <v>31</v>
      </c>
      <c r="E762" s="33" t="s">
        <v>842</v>
      </c>
      <c r="F762" s="35"/>
      <c r="G762" s="33" t="s">
        <v>843</v>
      </c>
      <c r="H762" s="33">
        <v>3.57703230001057E14</v>
      </c>
      <c r="I762" s="42"/>
      <c r="J762" s="35"/>
      <c r="K762" s="58" t="s">
        <v>11</v>
      </c>
      <c r="L762" s="35"/>
      <c r="M762" s="35"/>
      <c r="N762" s="31"/>
      <c r="O762" s="42"/>
      <c r="P762" s="35"/>
      <c r="Q762" s="35"/>
      <c r="R762" s="31"/>
      <c r="S762" s="31"/>
      <c r="T762" s="31"/>
      <c r="U762" s="31"/>
    </row>
    <row r="763">
      <c r="A763" s="31"/>
      <c r="B763" s="61">
        <v>46254.0</v>
      </c>
      <c r="C763" s="55" t="s">
        <v>47</v>
      </c>
      <c r="D763" s="33" t="s">
        <v>31</v>
      </c>
      <c r="E763" s="33" t="s">
        <v>842</v>
      </c>
      <c r="F763" s="35"/>
      <c r="G763" s="33" t="s">
        <v>789</v>
      </c>
      <c r="H763" s="33">
        <v>3.57703230036459E14</v>
      </c>
      <c r="I763" s="42"/>
      <c r="J763" s="35"/>
      <c r="K763" s="58" t="s">
        <v>11</v>
      </c>
      <c r="L763" s="35"/>
      <c r="M763" s="35"/>
      <c r="N763" s="31"/>
      <c r="O763" s="42"/>
      <c r="P763" s="35"/>
      <c r="Q763" s="35"/>
      <c r="R763" s="31"/>
      <c r="S763" s="31"/>
      <c r="T763" s="31"/>
      <c r="U763" s="31"/>
    </row>
    <row r="764">
      <c r="A764" s="31"/>
      <c r="B764" s="61">
        <v>46254.0</v>
      </c>
      <c r="C764" s="55" t="s">
        <v>47</v>
      </c>
      <c r="D764" s="33" t="s">
        <v>31</v>
      </c>
      <c r="E764" s="33" t="s">
        <v>842</v>
      </c>
      <c r="F764" s="35"/>
      <c r="G764" s="33" t="s">
        <v>843</v>
      </c>
      <c r="H764" s="33">
        <v>3.57703230001024E14</v>
      </c>
      <c r="I764" s="42"/>
      <c r="J764" s="35"/>
      <c r="K764" s="58" t="s">
        <v>11</v>
      </c>
      <c r="L764" s="35"/>
      <c r="M764" s="35"/>
      <c r="N764" s="31"/>
      <c r="O764" s="42"/>
      <c r="P764" s="35"/>
      <c r="Q764" s="35"/>
      <c r="R764" s="31"/>
      <c r="S764" s="31"/>
      <c r="T764" s="31"/>
      <c r="U764" s="31"/>
    </row>
    <row r="765">
      <c r="A765" s="31"/>
      <c r="B765" s="61">
        <v>46254.0</v>
      </c>
      <c r="C765" s="55" t="s">
        <v>47</v>
      </c>
      <c r="D765" s="33" t="s">
        <v>31</v>
      </c>
      <c r="E765" s="33" t="s">
        <v>844</v>
      </c>
      <c r="F765" s="35"/>
      <c r="G765" s="33" t="s">
        <v>789</v>
      </c>
      <c r="H765" s="33">
        <v>3.51225500000011E14</v>
      </c>
      <c r="I765" s="42"/>
      <c r="J765" s="35"/>
      <c r="K765" s="58" t="s">
        <v>19</v>
      </c>
      <c r="L765" s="35"/>
      <c r="M765" s="35"/>
      <c r="N765" s="31"/>
      <c r="O765" s="42"/>
      <c r="P765" s="35"/>
      <c r="Q765" s="35"/>
      <c r="R765" s="31"/>
      <c r="S765" s="31"/>
      <c r="T765" s="31"/>
      <c r="U765" s="31"/>
    </row>
    <row r="766">
      <c r="A766" s="31"/>
      <c r="B766" s="61">
        <v>46254.0</v>
      </c>
      <c r="C766" s="55" t="s">
        <v>47</v>
      </c>
      <c r="D766" s="33" t="s">
        <v>31</v>
      </c>
      <c r="E766" s="33" t="s">
        <v>844</v>
      </c>
      <c r="F766" s="35"/>
      <c r="G766" s="33" t="s">
        <v>789</v>
      </c>
      <c r="H766" s="33">
        <v>3.50576850054938E14</v>
      </c>
      <c r="I766" s="42"/>
      <c r="J766" s="35"/>
      <c r="K766" s="58" t="s">
        <v>19</v>
      </c>
      <c r="L766" s="35"/>
      <c r="M766" s="35"/>
      <c r="N766" s="31"/>
      <c r="O766" s="42"/>
      <c r="P766" s="35"/>
      <c r="Q766" s="35"/>
      <c r="R766" s="31"/>
      <c r="S766" s="31"/>
      <c r="T766" s="31"/>
      <c r="U766" s="31"/>
    </row>
    <row r="767">
      <c r="A767" s="31"/>
      <c r="B767" s="61">
        <v>46254.0</v>
      </c>
      <c r="C767" s="55" t="s">
        <v>47</v>
      </c>
      <c r="D767" s="33" t="s">
        <v>31</v>
      </c>
      <c r="E767" s="33" t="s">
        <v>844</v>
      </c>
      <c r="F767" s="35"/>
      <c r="G767" s="33" t="s">
        <v>845</v>
      </c>
      <c r="H767" s="33">
        <v>3.505768501293E14</v>
      </c>
      <c r="I767" s="42"/>
      <c r="J767" s="35"/>
      <c r="K767" s="58" t="s">
        <v>19</v>
      </c>
      <c r="L767" s="35"/>
      <c r="M767" s="35"/>
      <c r="N767" s="31"/>
      <c r="O767" s="42"/>
      <c r="P767" s="35"/>
      <c r="Q767" s="35"/>
      <c r="R767" s="31"/>
      <c r="S767" s="31"/>
      <c r="T767" s="31"/>
      <c r="U767" s="31"/>
    </row>
    <row r="768">
      <c r="A768" s="31"/>
      <c r="B768" s="61">
        <v>46254.0</v>
      </c>
      <c r="C768" s="55" t="s">
        <v>47</v>
      </c>
      <c r="D768" s="33" t="s">
        <v>31</v>
      </c>
      <c r="E768" s="33" t="s">
        <v>844</v>
      </c>
      <c r="F768" s="35"/>
      <c r="G768" s="33" t="s">
        <v>845</v>
      </c>
      <c r="H768" s="33">
        <v>3.51225500002967E14</v>
      </c>
      <c r="I768" s="42"/>
      <c r="J768" s="35"/>
      <c r="K768" s="58" t="s">
        <v>19</v>
      </c>
      <c r="L768" s="35"/>
      <c r="M768" s="35"/>
      <c r="N768" s="31"/>
      <c r="O768" s="42"/>
      <c r="P768" s="35"/>
      <c r="Q768" s="35"/>
      <c r="R768" s="31"/>
      <c r="S768" s="31"/>
      <c r="T768" s="31"/>
      <c r="U768" s="31"/>
    </row>
    <row r="769">
      <c r="A769" s="31"/>
      <c r="B769" s="61">
        <v>46254.0</v>
      </c>
      <c r="C769" s="55" t="s">
        <v>47</v>
      </c>
      <c r="D769" s="33" t="s">
        <v>31</v>
      </c>
      <c r="E769" s="33" t="s">
        <v>844</v>
      </c>
      <c r="F769" s="35"/>
      <c r="G769" s="33" t="s">
        <v>846</v>
      </c>
      <c r="H769" s="33">
        <v>3.50576850139416E14</v>
      </c>
      <c r="I769" s="42"/>
      <c r="J769" s="35"/>
      <c r="K769" s="58" t="s">
        <v>19</v>
      </c>
      <c r="L769" s="35"/>
      <c r="M769" s="35"/>
      <c r="N769" s="31"/>
      <c r="O769" s="42"/>
      <c r="P769" s="35"/>
      <c r="Q769" s="35"/>
      <c r="R769" s="31"/>
      <c r="S769" s="31"/>
      <c r="T769" s="31"/>
      <c r="U769" s="31"/>
    </row>
    <row r="770">
      <c r="A770" s="31"/>
      <c r="B770" s="61">
        <v>46254.0</v>
      </c>
      <c r="C770" s="55" t="s">
        <v>47</v>
      </c>
      <c r="D770" s="33" t="s">
        <v>31</v>
      </c>
      <c r="E770" s="33" t="s">
        <v>844</v>
      </c>
      <c r="F770" s="35"/>
      <c r="G770" s="33" t="s">
        <v>846</v>
      </c>
      <c r="H770" s="33">
        <v>3.5122550006335E13</v>
      </c>
      <c r="I770" s="42"/>
      <c r="J770" s="35"/>
      <c r="K770" s="58" t="s">
        <v>19</v>
      </c>
      <c r="L770" s="35"/>
      <c r="M770" s="35"/>
      <c r="N770" s="31"/>
      <c r="O770" s="42"/>
      <c r="P770" s="35"/>
      <c r="Q770" s="35"/>
      <c r="R770" s="31"/>
      <c r="S770" s="31"/>
      <c r="T770" s="31"/>
      <c r="U770" s="31"/>
    </row>
    <row r="771">
      <c r="A771" s="31"/>
      <c r="B771" s="61">
        <v>46254.0</v>
      </c>
      <c r="C771" s="55" t="s">
        <v>47</v>
      </c>
      <c r="D771" s="33" t="s">
        <v>31</v>
      </c>
      <c r="E771" s="33" t="s">
        <v>847</v>
      </c>
      <c r="F771" s="35"/>
      <c r="G771" s="33" t="s">
        <v>77</v>
      </c>
      <c r="H771" s="33">
        <v>3.55851150229349E14</v>
      </c>
      <c r="I771" s="42"/>
      <c r="J771" s="35"/>
      <c r="K771" s="58" t="s">
        <v>19</v>
      </c>
      <c r="L771" s="35"/>
      <c r="M771" s="35"/>
      <c r="N771" s="31"/>
      <c r="O771" s="42"/>
      <c r="P771" s="35"/>
      <c r="Q771" s="35"/>
      <c r="R771" s="31"/>
      <c r="S771" s="31"/>
      <c r="T771" s="31"/>
      <c r="U771" s="31"/>
    </row>
    <row r="772">
      <c r="A772" s="31"/>
      <c r="B772" s="61">
        <v>46254.0</v>
      </c>
      <c r="C772" s="55" t="s">
        <v>47</v>
      </c>
      <c r="D772" s="33" t="s">
        <v>31</v>
      </c>
      <c r="E772" s="33" t="s">
        <v>847</v>
      </c>
      <c r="F772" s="35"/>
      <c r="G772" s="33" t="s">
        <v>77</v>
      </c>
      <c r="H772" s="33">
        <v>3.55851150229372E14</v>
      </c>
      <c r="I772" s="42"/>
      <c r="J772" s="35"/>
      <c r="K772" s="58" t="s">
        <v>19</v>
      </c>
      <c r="L772" s="35"/>
      <c r="M772" s="35"/>
      <c r="N772" s="31"/>
      <c r="O772" s="42"/>
      <c r="P772" s="35"/>
      <c r="Q772" s="35"/>
      <c r="R772" s="31"/>
      <c r="S772" s="31"/>
      <c r="T772" s="31"/>
      <c r="U772" s="31"/>
    </row>
    <row r="773">
      <c r="A773" s="31"/>
      <c r="B773" s="61">
        <v>46254.0</v>
      </c>
      <c r="C773" s="55" t="s">
        <v>47</v>
      </c>
      <c r="D773" s="33" t="s">
        <v>31</v>
      </c>
      <c r="E773" s="33" t="s">
        <v>847</v>
      </c>
      <c r="F773" s="35"/>
      <c r="G773" s="33" t="s">
        <v>77</v>
      </c>
      <c r="H773" s="33">
        <v>3.55851150217377E14</v>
      </c>
      <c r="I773" s="42"/>
      <c r="J773" s="35"/>
      <c r="K773" s="58" t="s">
        <v>19</v>
      </c>
      <c r="L773" s="35"/>
      <c r="M773" s="35"/>
      <c r="N773" s="31"/>
      <c r="O773" s="42"/>
      <c r="P773" s="35"/>
      <c r="Q773" s="35"/>
      <c r="R773" s="31"/>
      <c r="S773" s="31"/>
      <c r="T773" s="31"/>
      <c r="U773" s="31"/>
    </row>
    <row r="774">
      <c r="A774" s="31"/>
      <c r="B774" s="61">
        <v>46254.0</v>
      </c>
      <c r="C774" s="55" t="s">
        <v>47</v>
      </c>
      <c r="D774" s="33" t="s">
        <v>31</v>
      </c>
      <c r="E774" s="33" t="s">
        <v>847</v>
      </c>
      <c r="F774" s="35"/>
      <c r="G774" s="33" t="s">
        <v>721</v>
      </c>
      <c r="H774" s="33">
        <v>3.55851150277777E14</v>
      </c>
      <c r="I774" s="42"/>
      <c r="J774" s="35"/>
      <c r="K774" s="58" t="s">
        <v>19</v>
      </c>
      <c r="L774" s="35"/>
      <c r="M774" s="35"/>
      <c r="N774" s="31"/>
      <c r="O774" s="42"/>
      <c r="P774" s="35"/>
      <c r="Q774" s="35"/>
      <c r="R774" s="31"/>
      <c r="S774" s="31"/>
      <c r="T774" s="31"/>
      <c r="U774" s="31"/>
    </row>
    <row r="775">
      <c r="A775" s="31"/>
      <c r="B775" s="61">
        <v>46254.0</v>
      </c>
      <c r="C775" s="55" t="s">
        <v>47</v>
      </c>
      <c r="D775" s="33" t="s">
        <v>31</v>
      </c>
      <c r="E775" s="33" t="s">
        <v>847</v>
      </c>
      <c r="F775" s="35"/>
      <c r="G775" s="33" t="s">
        <v>789</v>
      </c>
      <c r="H775" s="33">
        <v>3.5585115029572E14</v>
      </c>
      <c r="I775" s="42"/>
      <c r="J775" s="35"/>
      <c r="K775" s="58" t="s">
        <v>19</v>
      </c>
      <c r="L775" s="35"/>
      <c r="M775" s="35"/>
      <c r="N775" s="31"/>
      <c r="O775" s="42"/>
      <c r="P775" s="35"/>
      <c r="Q775" s="35"/>
      <c r="R775" s="31"/>
      <c r="S775" s="31"/>
      <c r="T775" s="31"/>
      <c r="U775" s="31"/>
    </row>
    <row r="776">
      <c r="A776" s="31"/>
      <c r="B776" s="61">
        <v>46259.0</v>
      </c>
      <c r="C776" s="55" t="s">
        <v>47</v>
      </c>
      <c r="D776" s="35"/>
      <c r="E776" s="35"/>
      <c r="F776" s="35"/>
      <c r="G776" s="33" t="s">
        <v>845</v>
      </c>
      <c r="H776" s="33">
        <v>3.51225500059751E14</v>
      </c>
      <c r="I776" s="42"/>
      <c r="J776" s="35"/>
      <c r="K776" s="58" t="s">
        <v>11</v>
      </c>
      <c r="L776" s="35"/>
      <c r="M776" s="35"/>
      <c r="N776" s="31"/>
      <c r="O776" s="42"/>
      <c r="P776" s="35"/>
      <c r="Q776" s="35"/>
      <c r="R776" s="31"/>
      <c r="S776" s="31"/>
      <c r="T776" s="31"/>
      <c r="U776" s="31"/>
    </row>
    <row r="777">
      <c r="A777" s="31"/>
      <c r="B777" s="61">
        <v>46259.0</v>
      </c>
      <c r="C777" s="55" t="s">
        <v>47</v>
      </c>
      <c r="D777" s="35"/>
      <c r="E777" s="35"/>
      <c r="F777" s="35"/>
      <c r="G777" s="33" t="s">
        <v>845</v>
      </c>
      <c r="H777" s="33">
        <v>3.51225500056948E14</v>
      </c>
      <c r="I777" s="42"/>
      <c r="J777" s="35"/>
      <c r="K777" s="58" t="s">
        <v>11</v>
      </c>
      <c r="L777" s="35"/>
      <c r="M777" s="35"/>
      <c r="N777" s="31"/>
      <c r="O777" s="42"/>
      <c r="P777" s="35"/>
      <c r="Q777" s="35"/>
      <c r="R777" s="31"/>
      <c r="S777" s="31"/>
      <c r="T777" s="31"/>
      <c r="U777" s="31"/>
    </row>
    <row r="778">
      <c r="A778" s="31"/>
      <c r="B778" s="61">
        <v>46259.0</v>
      </c>
      <c r="C778" s="55" t="s">
        <v>47</v>
      </c>
      <c r="D778" s="35"/>
      <c r="E778" s="35"/>
      <c r="F778" s="35"/>
      <c r="G778" s="33" t="s">
        <v>789</v>
      </c>
      <c r="H778" s="33">
        <v>3.51225500001118E14</v>
      </c>
      <c r="I778" s="42"/>
      <c r="J778" s="35"/>
      <c r="K778" s="58" t="s">
        <v>11</v>
      </c>
      <c r="L778" s="35"/>
      <c r="M778" s="35"/>
      <c r="N778" s="31"/>
      <c r="O778" s="42"/>
      <c r="P778" s="35"/>
      <c r="Q778" s="35"/>
      <c r="R778" s="31"/>
      <c r="S778" s="31"/>
      <c r="T778" s="31"/>
      <c r="U778" s="31"/>
    </row>
    <row r="779">
      <c r="A779" s="31"/>
      <c r="B779" s="61">
        <v>46259.0</v>
      </c>
      <c r="C779" s="55" t="s">
        <v>47</v>
      </c>
      <c r="D779" s="35"/>
      <c r="E779" s="35"/>
      <c r="F779" s="35"/>
      <c r="G779" s="33" t="s">
        <v>789</v>
      </c>
      <c r="H779" s="33">
        <v>3.51225500191588E14</v>
      </c>
      <c r="I779" s="42"/>
      <c r="J779" s="35"/>
      <c r="K779" s="58" t="s">
        <v>11</v>
      </c>
      <c r="L779" s="35"/>
      <c r="M779" s="35"/>
      <c r="N779" s="31"/>
      <c r="O779" s="42"/>
      <c r="P779" s="35"/>
      <c r="Q779" s="35"/>
      <c r="R779" s="31"/>
      <c r="S779" s="31"/>
      <c r="T779" s="31"/>
      <c r="U779" s="31"/>
    </row>
    <row r="780">
      <c r="A780" s="31"/>
      <c r="B780" s="61">
        <v>46259.0</v>
      </c>
      <c r="C780" s="55" t="s">
        <v>47</v>
      </c>
      <c r="D780" s="35"/>
      <c r="E780" s="35"/>
      <c r="F780" s="35"/>
      <c r="G780" s="33" t="s">
        <v>846</v>
      </c>
      <c r="H780" s="33">
        <v>3.51225500006786E14</v>
      </c>
      <c r="I780" s="42"/>
      <c r="J780" s="35"/>
      <c r="K780" s="58" t="s">
        <v>11</v>
      </c>
      <c r="L780" s="35"/>
      <c r="M780" s="35"/>
      <c r="N780" s="31"/>
      <c r="O780" s="42"/>
      <c r="P780" s="35"/>
      <c r="Q780" s="35"/>
      <c r="R780" s="31"/>
      <c r="S780" s="31"/>
      <c r="T780" s="31"/>
      <c r="U780" s="31"/>
    </row>
    <row r="781">
      <c r="A781" s="31"/>
      <c r="B781" s="61">
        <v>46259.0</v>
      </c>
      <c r="C781" s="55" t="s">
        <v>47</v>
      </c>
      <c r="D781" s="35"/>
      <c r="E781" s="35"/>
      <c r="F781" s="35"/>
      <c r="G781" s="33" t="s">
        <v>846</v>
      </c>
      <c r="H781" s="33">
        <v>3.50576850139309E14</v>
      </c>
      <c r="I781" s="42"/>
      <c r="J781" s="35"/>
      <c r="K781" s="58" t="s">
        <v>11</v>
      </c>
      <c r="L781" s="35"/>
      <c r="M781" s="35"/>
      <c r="N781" s="31"/>
      <c r="O781" s="42"/>
      <c r="P781" s="35"/>
      <c r="Q781" s="35"/>
      <c r="R781" s="31"/>
      <c r="S781" s="31"/>
      <c r="T781" s="31"/>
      <c r="U781" s="31"/>
    </row>
    <row r="782">
      <c r="A782" s="31"/>
      <c r="B782" s="61">
        <v>46273.0</v>
      </c>
      <c r="C782" s="55" t="s">
        <v>45</v>
      </c>
      <c r="D782" s="33" t="s">
        <v>42</v>
      </c>
      <c r="E782" s="33" t="s">
        <v>848</v>
      </c>
      <c r="F782" s="33" t="s">
        <v>152</v>
      </c>
      <c r="G782" s="33" t="s">
        <v>721</v>
      </c>
      <c r="H782" s="33">
        <v>3.50197440004679E14</v>
      </c>
      <c r="I782" s="42"/>
      <c r="J782" s="35"/>
      <c r="K782" s="58" t="s">
        <v>19</v>
      </c>
      <c r="L782" s="35"/>
      <c r="M782" s="35"/>
      <c r="N782" s="31"/>
      <c r="O782" s="42"/>
      <c r="P782" s="35"/>
      <c r="Q782" s="35"/>
      <c r="R782" s="31"/>
      <c r="S782" s="31"/>
      <c r="T782" s="31"/>
      <c r="U782" s="31"/>
    </row>
    <row r="783">
      <c r="A783" s="31"/>
      <c r="B783" s="61">
        <v>46273.0</v>
      </c>
      <c r="C783" s="55" t="s">
        <v>45</v>
      </c>
      <c r="D783" s="33" t="s">
        <v>849</v>
      </c>
      <c r="E783" s="34" t="s">
        <v>850</v>
      </c>
      <c r="F783" s="35"/>
      <c r="G783" s="33" t="s">
        <v>789</v>
      </c>
      <c r="H783" s="33" t="s">
        <v>851</v>
      </c>
      <c r="I783" s="42"/>
      <c r="J783" s="35"/>
      <c r="K783" s="58" t="s">
        <v>852</v>
      </c>
      <c r="L783" s="35"/>
      <c r="M783" s="35"/>
      <c r="N783" s="31"/>
      <c r="O783" s="42"/>
      <c r="P783" s="35"/>
      <c r="Q783" s="35"/>
      <c r="R783" s="31"/>
      <c r="S783" s="31"/>
      <c r="T783" s="31"/>
      <c r="U783" s="31"/>
    </row>
    <row r="784">
      <c r="A784" s="31"/>
      <c r="B784" s="61">
        <v>46273.0</v>
      </c>
      <c r="C784" s="55" t="s">
        <v>45</v>
      </c>
      <c r="D784" s="33" t="s">
        <v>42</v>
      </c>
      <c r="E784" s="33" t="s">
        <v>848</v>
      </c>
      <c r="F784" s="33" t="s">
        <v>152</v>
      </c>
      <c r="G784" s="33" t="s">
        <v>853</v>
      </c>
      <c r="H784" s="33" t="s">
        <v>854</v>
      </c>
      <c r="I784" s="42"/>
      <c r="J784" s="35"/>
      <c r="K784" s="59"/>
      <c r="L784" s="35"/>
      <c r="M784" s="35"/>
      <c r="N784" s="31"/>
      <c r="O784" s="42"/>
      <c r="P784" s="35"/>
      <c r="Q784" s="35"/>
      <c r="R784" s="31"/>
      <c r="S784" s="31"/>
      <c r="T784" s="31"/>
      <c r="U784" s="31"/>
    </row>
    <row r="785">
      <c r="A785" s="31"/>
      <c r="B785" s="61">
        <v>46273.0</v>
      </c>
      <c r="C785" s="55" t="s">
        <v>45</v>
      </c>
      <c r="D785" s="33" t="s">
        <v>849</v>
      </c>
      <c r="E785" s="34" t="s">
        <v>850</v>
      </c>
      <c r="F785" s="35"/>
      <c r="G785" s="33" t="s">
        <v>789</v>
      </c>
      <c r="H785" s="33" t="s">
        <v>855</v>
      </c>
      <c r="I785" s="42"/>
      <c r="J785" s="35"/>
      <c r="K785" s="59"/>
      <c r="L785" s="35"/>
      <c r="M785" s="35"/>
      <c r="N785" s="31"/>
      <c r="O785" s="42"/>
      <c r="P785" s="35"/>
      <c r="Q785" s="35"/>
      <c r="R785" s="31"/>
      <c r="S785" s="31"/>
      <c r="T785" s="31"/>
      <c r="U785" s="31"/>
    </row>
    <row r="786">
      <c r="A786" s="31"/>
      <c r="B786" s="61">
        <v>46273.0</v>
      </c>
      <c r="C786" s="55" t="s">
        <v>45</v>
      </c>
      <c r="D786" s="33" t="s">
        <v>42</v>
      </c>
      <c r="E786" s="33" t="s">
        <v>848</v>
      </c>
      <c r="F786" s="33" t="s">
        <v>152</v>
      </c>
      <c r="G786" s="33" t="s">
        <v>853</v>
      </c>
      <c r="H786" s="33" t="s">
        <v>856</v>
      </c>
      <c r="I786" s="34" t="s">
        <v>86</v>
      </c>
      <c r="J786" s="33" t="s">
        <v>857</v>
      </c>
      <c r="K786" s="59"/>
      <c r="L786" s="35"/>
      <c r="M786" s="35"/>
      <c r="N786" s="31"/>
      <c r="O786" s="42"/>
      <c r="P786" s="35"/>
      <c r="Q786" s="35"/>
      <c r="R786" s="31"/>
      <c r="S786" s="31"/>
      <c r="T786" s="31"/>
      <c r="U786" s="31"/>
    </row>
    <row r="787">
      <c r="A787" s="31"/>
      <c r="B787" s="61">
        <v>46273.0</v>
      </c>
      <c r="C787" s="55" t="s">
        <v>45</v>
      </c>
      <c r="D787" s="33" t="s">
        <v>849</v>
      </c>
      <c r="E787" s="34" t="s">
        <v>850</v>
      </c>
      <c r="F787" s="35"/>
      <c r="G787" s="33" t="s">
        <v>789</v>
      </c>
      <c r="H787" s="33" t="s">
        <v>858</v>
      </c>
      <c r="I787" s="42"/>
      <c r="J787" s="35"/>
      <c r="K787" s="59"/>
      <c r="L787" s="35"/>
      <c r="M787" s="35"/>
      <c r="N787" s="31"/>
      <c r="O787" s="42"/>
      <c r="P787" s="35"/>
      <c r="Q787" s="35"/>
      <c r="R787" s="31"/>
      <c r="S787" s="31"/>
      <c r="T787" s="31"/>
      <c r="U787" s="31"/>
    </row>
    <row r="788">
      <c r="A788" s="31"/>
      <c r="B788" s="61">
        <v>46273.0</v>
      </c>
      <c r="C788" s="55" t="s">
        <v>45</v>
      </c>
      <c r="D788" s="33" t="s">
        <v>42</v>
      </c>
      <c r="E788" s="33" t="s">
        <v>848</v>
      </c>
      <c r="F788" s="33" t="s">
        <v>152</v>
      </c>
      <c r="G788" s="33" t="s">
        <v>721</v>
      </c>
      <c r="H788" s="33">
        <v>3.50197440005353E14</v>
      </c>
      <c r="I788" s="42"/>
      <c r="J788" s="35"/>
      <c r="K788" s="59"/>
      <c r="L788" s="35"/>
      <c r="M788" s="35"/>
      <c r="N788" s="31"/>
      <c r="O788" s="42"/>
      <c r="P788" s="35"/>
      <c r="Q788" s="35"/>
      <c r="R788" s="31"/>
      <c r="S788" s="31"/>
      <c r="T788" s="31"/>
      <c r="U788" s="31"/>
    </row>
    <row r="789">
      <c r="A789" s="31"/>
      <c r="B789" s="61">
        <v>46273.0</v>
      </c>
      <c r="C789" s="55" t="s">
        <v>45</v>
      </c>
      <c r="D789" s="33" t="s">
        <v>849</v>
      </c>
      <c r="E789" s="34" t="s">
        <v>850</v>
      </c>
      <c r="F789" s="35"/>
      <c r="G789" s="33" t="s">
        <v>789</v>
      </c>
      <c r="H789" s="33" t="s">
        <v>859</v>
      </c>
      <c r="I789" s="42"/>
      <c r="J789" s="35"/>
      <c r="K789" s="59"/>
      <c r="L789" s="35"/>
      <c r="M789" s="35"/>
      <c r="N789" s="31"/>
      <c r="O789" s="42"/>
      <c r="P789" s="35"/>
      <c r="Q789" s="35"/>
      <c r="R789" s="31"/>
      <c r="S789" s="31"/>
      <c r="T789" s="31"/>
      <c r="U789" s="31"/>
    </row>
    <row r="790">
      <c r="A790" s="31"/>
      <c r="B790" s="32">
        <v>45909.0</v>
      </c>
      <c r="C790" s="55" t="s">
        <v>52</v>
      </c>
      <c r="D790" s="33" t="s">
        <v>31</v>
      </c>
      <c r="E790" s="33" t="s">
        <v>860</v>
      </c>
      <c r="F790" s="33" t="s">
        <v>318</v>
      </c>
      <c r="G790" s="33" t="s">
        <v>115</v>
      </c>
      <c r="H790" s="33">
        <v>3.58410185007423E14</v>
      </c>
      <c r="I790" s="34" t="s">
        <v>106</v>
      </c>
      <c r="J790" s="35"/>
      <c r="K790" s="59"/>
      <c r="L790" s="35"/>
      <c r="M790" s="35"/>
      <c r="N790" s="31"/>
      <c r="O790" s="42"/>
      <c r="P790" s="32">
        <v>46029.0</v>
      </c>
      <c r="Q790" s="35"/>
      <c r="R790" s="31"/>
      <c r="S790" s="31"/>
      <c r="T790" s="31"/>
      <c r="U790" s="31"/>
    </row>
    <row r="791">
      <c r="A791" s="31"/>
      <c r="B791" s="32">
        <v>45909.0</v>
      </c>
      <c r="C791" s="55" t="s">
        <v>52</v>
      </c>
      <c r="D791" s="33" t="s">
        <v>31</v>
      </c>
      <c r="E791" s="33" t="s">
        <v>860</v>
      </c>
      <c r="F791" s="33" t="s">
        <v>318</v>
      </c>
      <c r="G791" s="33" t="s">
        <v>321</v>
      </c>
      <c r="H791" s="33">
        <v>3.5841018500545E14</v>
      </c>
      <c r="I791" s="34" t="s">
        <v>86</v>
      </c>
      <c r="J791" s="35"/>
      <c r="K791" s="59"/>
      <c r="L791" s="35"/>
      <c r="M791" s="35"/>
      <c r="N791" s="31"/>
      <c r="O791" s="42"/>
      <c r="P791" s="32">
        <v>46029.0</v>
      </c>
      <c r="Q791" s="35"/>
      <c r="R791" s="31"/>
      <c r="S791" s="31"/>
      <c r="T791" s="31"/>
      <c r="U791" s="31"/>
    </row>
    <row r="792">
      <c r="A792" s="31"/>
      <c r="B792" s="32">
        <v>45909.0</v>
      </c>
      <c r="C792" s="55" t="s">
        <v>52</v>
      </c>
      <c r="D792" s="33" t="s">
        <v>31</v>
      </c>
      <c r="E792" s="33" t="s">
        <v>861</v>
      </c>
      <c r="F792" s="33" t="s">
        <v>76</v>
      </c>
      <c r="G792" s="33" t="s">
        <v>807</v>
      </c>
      <c r="H792" s="33">
        <v>3.54629200026142E14</v>
      </c>
      <c r="I792" s="34" t="s">
        <v>86</v>
      </c>
      <c r="J792" s="35"/>
      <c r="K792" s="59"/>
      <c r="L792" s="35"/>
      <c r="M792" s="35"/>
      <c r="N792" s="31"/>
      <c r="O792" s="42"/>
      <c r="P792" s="32">
        <v>46029.0</v>
      </c>
      <c r="Q792" s="35"/>
      <c r="R792" s="31"/>
      <c r="S792" s="31"/>
      <c r="T792" s="31"/>
      <c r="U792" s="31"/>
    </row>
    <row r="793">
      <c r="A793" s="31"/>
      <c r="B793" s="32">
        <v>45909.0</v>
      </c>
      <c r="C793" s="55" t="s">
        <v>52</v>
      </c>
      <c r="D793" s="33" t="s">
        <v>31</v>
      </c>
      <c r="E793" s="33" t="s">
        <v>861</v>
      </c>
      <c r="F793" s="33" t="s">
        <v>76</v>
      </c>
      <c r="G793" s="33" t="s">
        <v>807</v>
      </c>
      <c r="H793" s="33">
        <v>3.54629200026498E14</v>
      </c>
      <c r="I793" s="34" t="s">
        <v>106</v>
      </c>
      <c r="J793" s="35"/>
      <c r="K793" s="59"/>
      <c r="L793" s="35"/>
      <c r="M793" s="35"/>
      <c r="N793" s="31"/>
      <c r="O793" s="42"/>
      <c r="P793" s="32">
        <v>46029.0</v>
      </c>
      <c r="Q793" s="35"/>
      <c r="R793" s="31"/>
      <c r="S793" s="31"/>
      <c r="T793" s="31"/>
      <c r="U793" s="31"/>
    </row>
    <row r="794">
      <c r="A794" s="31"/>
      <c r="B794" s="32">
        <v>45909.0</v>
      </c>
      <c r="C794" s="55" t="s">
        <v>52</v>
      </c>
      <c r="D794" s="33" t="s">
        <v>31</v>
      </c>
      <c r="E794" s="33" t="s">
        <v>861</v>
      </c>
      <c r="F794" s="33" t="s">
        <v>318</v>
      </c>
      <c r="G794" s="33" t="s">
        <v>862</v>
      </c>
      <c r="H794" s="33">
        <v>3.54166470003055E14</v>
      </c>
      <c r="I794" s="34" t="s">
        <v>86</v>
      </c>
      <c r="J794" s="35"/>
      <c r="K794" s="59"/>
      <c r="L794" s="35"/>
      <c r="M794" s="35"/>
      <c r="N794" s="31"/>
      <c r="O794" s="42"/>
      <c r="P794" s="32">
        <v>46029.0</v>
      </c>
      <c r="Q794" s="35"/>
      <c r="R794" s="31"/>
      <c r="S794" s="31"/>
      <c r="T794" s="31"/>
      <c r="U794" s="31"/>
    </row>
    <row r="795">
      <c r="A795" s="31"/>
      <c r="B795" s="32">
        <v>45909.0</v>
      </c>
      <c r="C795" s="55" t="s">
        <v>52</v>
      </c>
      <c r="D795" s="33" t="s">
        <v>31</v>
      </c>
      <c r="E795" s="33" t="s">
        <v>863</v>
      </c>
      <c r="F795" s="33" t="s">
        <v>318</v>
      </c>
      <c r="G795" s="33" t="s">
        <v>328</v>
      </c>
      <c r="H795" s="33">
        <v>3.5492213001189E14</v>
      </c>
      <c r="I795" s="34" t="s">
        <v>106</v>
      </c>
      <c r="J795" s="35"/>
      <c r="K795" s="59"/>
      <c r="L795" s="35"/>
      <c r="M795" s="35"/>
      <c r="N795" s="31"/>
      <c r="O795" s="42"/>
      <c r="P795" s="32">
        <v>46029.0</v>
      </c>
      <c r="Q795" s="35"/>
      <c r="R795" s="31"/>
      <c r="S795" s="31"/>
      <c r="T795" s="31"/>
      <c r="U795" s="31"/>
    </row>
    <row r="796">
      <c r="A796" s="31"/>
      <c r="B796" s="32">
        <v>45909.0</v>
      </c>
      <c r="C796" s="55" t="s">
        <v>52</v>
      </c>
      <c r="D796" s="33" t="s">
        <v>31</v>
      </c>
      <c r="E796" s="33" t="s">
        <v>863</v>
      </c>
      <c r="F796" s="33" t="s">
        <v>318</v>
      </c>
      <c r="G796" s="33" t="s">
        <v>328</v>
      </c>
      <c r="H796" s="33">
        <v>3.54922130011205E14</v>
      </c>
      <c r="I796" s="34" t="s">
        <v>106</v>
      </c>
      <c r="J796" s="35"/>
      <c r="K796" s="59"/>
      <c r="L796" s="35"/>
      <c r="M796" s="35"/>
      <c r="N796" s="31"/>
      <c r="O796" s="42"/>
      <c r="P796" s="32">
        <v>46029.0</v>
      </c>
      <c r="Q796" s="35"/>
      <c r="R796" s="31"/>
      <c r="S796" s="31"/>
      <c r="T796" s="31"/>
      <c r="U796" s="31"/>
    </row>
    <row r="797">
      <c r="A797" s="31"/>
      <c r="B797" s="32">
        <v>45909.0</v>
      </c>
      <c r="C797" s="55" t="s">
        <v>52</v>
      </c>
      <c r="D797" s="33" t="s">
        <v>31</v>
      </c>
      <c r="E797" s="33" t="s">
        <v>863</v>
      </c>
      <c r="F797" s="33" t="s">
        <v>318</v>
      </c>
      <c r="G797" s="33" t="s">
        <v>328</v>
      </c>
      <c r="H797" s="33">
        <v>3.54922130011403E14</v>
      </c>
      <c r="I797" s="34" t="s">
        <v>106</v>
      </c>
      <c r="J797" s="35"/>
      <c r="K797" s="59"/>
      <c r="L797" s="35"/>
      <c r="M797" s="35"/>
      <c r="N797" s="31"/>
      <c r="O797" s="42"/>
      <c r="P797" s="32">
        <v>46029.0</v>
      </c>
      <c r="Q797" s="35"/>
      <c r="R797" s="31"/>
      <c r="S797" s="31"/>
      <c r="T797" s="31"/>
      <c r="U797" s="31"/>
    </row>
    <row r="798">
      <c r="A798" s="31"/>
      <c r="B798" s="32">
        <v>45909.0</v>
      </c>
      <c r="C798" s="55" t="s">
        <v>52</v>
      </c>
      <c r="D798" s="33" t="s">
        <v>31</v>
      </c>
      <c r="E798" s="33" t="s">
        <v>863</v>
      </c>
      <c r="F798" s="33" t="s">
        <v>318</v>
      </c>
      <c r="G798" s="33" t="s">
        <v>328</v>
      </c>
      <c r="H798" s="33">
        <v>3.54922130003558E14</v>
      </c>
      <c r="I798" s="34" t="s">
        <v>106</v>
      </c>
      <c r="J798" s="35"/>
      <c r="K798" s="59"/>
      <c r="L798" s="35"/>
      <c r="M798" s="35"/>
      <c r="N798" s="31"/>
      <c r="O798" s="42"/>
      <c r="P798" s="32">
        <v>46029.0</v>
      </c>
      <c r="Q798" s="35"/>
      <c r="R798" s="31"/>
      <c r="S798" s="31"/>
      <c r="T798" s="31"/>
      <c r="U798" s="31"/>
    </row>
    <row r="799">
      <c r="A799" s="31"/>
      <c r="B799" s="32">
        <v>45909.0</v>
      </c>
      <c r="C799" s="55" t="s">
        <v>52</v>
      </c>
      <c r="D799" s="33" t="s">
        <v>31</v>
      </c>
      <c r="E799" s="33" t="s">
        <v>863</v>
      </c>
      <c r="F799" s="33" t="s">
        <v>318</v>
      </c>
      <c r="G799" s="33" t="s">
        <v>328</v>
      </c>
      <c r="H799" s="33">
        <v>3.54922130012054E14</v>
      </c>
      <c r="I799" s="34" t="s">
        <v>106</v>
      </c>
      <c r="J799" s="35"/>
      <c r="K799" s="59"/>
      <c r="L799" s="35"/>
      <c r="M799" s="35"/>
      <c r="N799" s="31"/>
      <c r="O799" s="42"/>
      <c r="P799" s="32">
        <v>46029.0</v>
      </c>
      <c r="Q799" s="35"/>
      <c r="R799" s="31"/>
      <c r="S799" s="31"/>
      <c r="T799" s="31"/>
      <c r="U799" s="31"/>
    </row>
    <row r="800">
      <c r="A800" s="31"/>
      <c r="B800" s="32">
        <v>45909.0</v>
      </c>
      <c r="C800" s="55" t="s">
        <v>52</v>
      </c>
      <c r="D800" s="33" t="s">
        <v>31</v>
      </c>
      <c r="E800" s="33" t="s">
        <v>863</v>
      </c>
      <c r="F800" s="33" t="s">
        <v>318</v>
      </c>
      <c r="G800" s="33" t="s">
        <v>328</v>
      </c>
      <c r="H800" s="33">
        <v>3.5492213001622E14</v>
      </c>
      <c r="I800" s="34" t="s">
        <v>106</v>
      </c>
      <c r="J800" s="35"/>
      <c r="K800" s="59"/>
      <c r="L800" s="35"/>
      <c r="M800" s="35"/>
      <c r="N800" s="31"/>
      <c r="O800" s="42"/>
      <c r="P800" s="32">
        <v>46029.0</v>
      </c>
      <c r="Q800" s="35"/>
      <c r="R800" s="31"/>
      <c r="S800" s="31"/>
      <c r="T800" s="31"/>
      <c r="U800" s="31"/>
    </row>
    <row r="801">
      <c r="A801" s="31"/>
      <c r="B801" s="32">
        <v>45909.0</v>
      </c>
      <c r="C801" s="55" t="s">
        <v>52</v>
      </c>
      <c r="D801" s="33" t="s">
        <v>31</v>
      </c>
      <c r="E801" s="33" t="s">
        <v>863</v>
      </c>
      <c r="F801" s="33" t="s">
        <v>318</v>
      </c>
      <c r="G801" s="33" t="s">
        <v>328</v>
      </c>
      <c r="H801" s="33">
        <v>3.54922130011429E14</v>
      </c>
      <c r="I801" s="34" t="s">
        <v>106</v>
      </c>
      <c r="J801" s="35"/>
      <c r="K801" s="59"/>
      <c r="L801" s="35"/>
      <c r="M801" s="35"/>
      <c r="N801" s="31"/>
      <c r="O801" s="42"/>
      <c r="P801" s="32">
        <v>46029.0</v>
      </c>
      <c r="Q801" s="35"/>
      <c r="R801" s="31"/>
      <c r="S801" s="31"/>
      <c r="T801" s="31"/>
      <c r="U801" s="31"/>
    </row>
    <row r="802">
      <c r="A802" s="31"/>
      <c r="B802" s="32">
        <v>45909.0</v>
      </c>
      <c r="C802" s="55" t="s">
        <v>52</v>
      </c>
      <c r="D802" s="33" t="s">
        <v>31</v>
      </c>
      <c r="E802" s="33" t="s">
        <v>863</v>
      </c>
      <c r="F802" s="33" t="s">
        <v>318</v>
      </c>
      <c r="G802" s="33" t="s">
        <v>328</v>
      </c>
      <c r="H802" s="33">
        <v>3.54922130015792E14</v>
      </c>
      <c r="I802" s="34" t="s">
        <v>106</v>
      </c>
      <c r="J802" s="35"/>
      <c r="K802" s="59"/>
      <c r="L802" s="35"/>
      <c r="M802" s="35"/>
      <c r="N802" s="31"/>
      <c r="O802" s="42"/>
      <c r="P802" s="32">
        <v>46029.0</v>
      </c>
      <c r="Q802" s="35"/>
      <c r="R802" s="31"/>
      <c r="S802" s="31"/>
      <c r="T802" s="31"/>
      <c r="U802" s="31"/>
    </row>
    <row r="803">
      <c r="A803" s="31"/>
      <c r="B803" s="32">
        <v>45909.0</v>
      </c>
      <c r="C803" s="55" t="s">
        <v>52</v>
      </c>
      <c r="D803" s="33" t="s">
        <v>31</v>
      </c>
      <c r="E803" s="33" t="s">
        <v>864</v>
      </c>
      <c r="F803" s="33" t="s">
        <v>318</v>
      </c>
      <c r="G803" s="33" t="s">
        <v>328</v>
      </c>
      <c r="H803" s="33">
        <v>3.5492213001603E14</v>
      </c>
      <c r="I803" s="34" t="s">
        <v>106</v>
      </c>
      <c r="J803" s="35"/>
      <c r="K803" s="58" t="s">
        <v>109</v>
      </c>
      <c r="L803" s="35"/>
      <c r="M803" s="35"/>
      <c r="N803" s="31"/>
      <c r="O803" s="42"/>
      <c r="P803" s="32">
        <v>46029.0</v>
      </c>
      <c r="Q803" s="35"/>
      <c r="R803" s="31"/>
      <c r="S803" s="31"/>
      <c r="T803" s="31"/>
      <c r="U803" s="31"/>
    </row>
    <row r="804">
      <c r="A804" s="31"/>
      <c r="B804" s="32">
        <v>45909.0</v>
      </c>
      <c r="C804" s="55" t="s">
        <v>52</v>
      </c>
      <c r="D804" s="33" t="s">
        <v>31</v>
      </c>
      <c r="E804" s="33" t="s">
        <v>863</v>
      </c>
      <c r="F804" s="33" t="s">
        <v>318</v>
      </c>
      <c r="G804" s="33" t="s">
        <v>328</v>
      </c>
      <c r="H804" s="33">
        <v>3.54922130009894E14</v>
      </c>
      <c r="I804" s="34" t="s">
        <v>106</v>
      </c>
      <c r="J804" s="35"/>
      <c r="K804" s="59"/>
      <c r="L804" s="35"/>
      <c r="M804" s="35"/>
      <c r="N804" s="31"/>
      <c r="O804" s="42"/>
      <c r="P804" s="32">
        <v>46029.0</v>
      </c>
      <c r="Q804" s="35"/>
      <c r="R804" s="31"/>
      <c r="S804" s="31"/>
      <c r="T804" s="31"/>
      <c r="U804" s="31"/>
    </row>
    <row r="805">
      <c r="A805" s="31"/>
      <c r="B805" s="32">
        <v>45909.0</v>
      </c>
      <c r="C805" s="55" t="s">
        <v>24</v>
      </c>
      <c r="D805" s="33" t="s">
        <v>31</v>
      </c>
      <c r="E805" s="33" t="s">
        <v>865</v>
      </c>
      <c r="F805" s="33" t="s">
        <v>318</v>
      </c>
      <c r="G805" s="33" t="s">
        <v>85</v>
      </c>
      <c r="H805" s="33">
        <v>3.50009210061476E14</v>
      </c>
      <c r="I805" s="34" t="s">
        <v>106</v>
      </c>
      <c r="J805" s="35"/>
      <c r="K805" s="59"/>
      <c r="L805" s="35"/>
      <c r="M805" s="35"/>
      <c r="N805" s="31"/>
      <c r="O805" s="42"/>
      <c r="P805" s="32">
        <v>46029.0</v>
      </c>
      <c r="Q805" s="35"/>
      <c r="R805" s="31"/>
      <c r="S805" s="31"/>
      <c r="T805" s="31"/>
      <c r="U805" s="31"/>
    </row>
    <row r="806">
      <c r="A806" s="31"/>
      <c r="B806" s="32">
        <v>45909.0</v>
      </c>
      <c r="C806" s="55" t="s">
        <v>24</v>
      </c>
      <c r="D806" s="33" t="s">
        <v>31</v>
      </c>
      <c r="E806" s="33" t="s">
        <v>865</v>
      </c>
      <c r="F806" s="33" t="s">
        <v>318</v>
      </c>
      <c r="G806" s="33" t="s">
        <v>85</v>
      </c>
      <c r="H806" s="33">
        <v>3.50009210054786E14</v>
      </c>
      <c r="I806" s="34" t="s">
        <v>106</v>
      </c>
      <c r="J806" s="35"/>
      <c r="K806" s="59"/>
      <c r="L806" s="35"/>
      <c r="M806" s="35"/>
      <c r="N806" s="31"/>
      <c r="O806" s="42"/>
      <c r="P806" s="32">
        <v>46029.0</v>
      </c>
      <c r="Q806" s="35"/>
      <c r="R806" s="31"/>
      <c r="S806" s="31"/>
      <c r="T806" s="31"/>
      <c r="U806" s="31"/>
    </row>
    <row r="807">
      <c r="A807" s="31"/>
      <c r="B807" s="32">
        <v>45909.0</v>
      </c>
      <c r="C807" s="55" t="s">
        <v>24</v>
      </c>
      <c r="D807" s="33" t="s">
        <v>31</v>
      </c>
      <c r="E807" s="33" t="s">
        <v>865</v>
      </c>
      <c r="F807" s="33" t="s">
        <v>318</v>
      </c>
      <c r="G807" s="33" t="s">
        <v>85</v>
      </c>
      <c r="H807" s="33">
        <v>3.50009210002801E14</v>
      </c>
      <c r="I807" s="34" t="s">
        <v>106</v>
      </c>
      <c r="J807" s="35"/>
      <c r="K807" s="59"/>
      <c r="L807" s="35"/>
      <c r="M807" s="35"/>
      <c r="N807" s="31"/>
      <c r="O807" s="42"/>
      <c r="P807" s="32">
        <v>46029.0</v>
      </c>
      <c r="Q807" s="35"/>
      <c r="R807" s="31"/>
      <c r="S807" s="31"/>
      <c r="T807" s="31"/>
      <c r="U807" s="31"/>
    </row>
    <row r="808">
      <c r="A808" s="31"/>
      <c r="B808" s="32">
        <v>45909.0</v>
      </c>
      <c r="C808" s="55" t="s">
        <v>46</v>
      </c>
      <c r="D808" s="33" t="s">
        <v>31</v>
      </c>
      <c r="E808" s="33" t="s">
        <v>866</v>
      </c>
      <c r="F808" s="33" t="s">
        <v>318</v>
      </c>
      <c r="G808" s="33" t="s">
        <v>784</v>
      </c>
      <c r="H808" s="33">
        <v>3.51298320004281E14</v>
      </c>
      <c r="I808" s="34" t="s">
        <v>46</v>
      </c>
      <c r="J808" s="33" t="s">
        <v>867</v>
      </c>
      <c r="K808" s="59"/>
      <c r="L808" s="35"/>
      <c r="M808" s="35"/>
      <c r="N808" s="31"/>
      <c r="O808" s="42"/>
      <c r="P808" s="32">
        <v>46029.0</v>
      </c>
      <c r="Q808" s="35"/>
      <c r="R808" s="31"/>
      <c r="S808" s="31"/>
      <c r="T808" s="31"/>
      <c r="U808" s="31"/>
    </row>
    <row r="809">
      <c r="A809" s="31"/>
      <c r="B809" s="32">
        <v>45909.0</v>
      </c>
      <c r="C809" s="55" t="s">
        <v>46</v>
      </c>
      <c r="D809" s="33" t="s">
        <v>31</v>
      </c>
      <c r="E809" s="33" t="s">
        <v>866</v>
      </c>
      <c r="F809" s="33" t="s">
        <v>318</v>
      </c>
      <c r="G809" s="33" t="s">
        <v>784</v>
      </c>
      <c r="H809" s="33">
        <v>3.51298320010528E14</v>
      </c>
      <c r="I809" s="34" t="s">
        <v>46</v>
      </c>
      <c r="J809" s="34" t="s">
        <v>868</v>
      </c>
      <c r="K809" s="59"/>
      <c r="L809" s="35"/>
      <c r="M809" s="35"/>
      <c r="N809" s="31"/>
      <c r="O809" s="42"/>
      <c r="P809" s="35"/>
      <c r="Q809" s="35"/>
      <c r="R809" s="31"/>
      <c r="S809" s="31"/>
      <c r="T809" s="31"/>
      <c r="U809" s="31"/>
    </row>
    <row r="810">
      <c r="A810" s="31"/>
      <c r="B810" s="32">
        <v>45909.0</v>
      </c>
      <c r="C810" s="55" t="s">
        <v>46</v>
      </c>
      <c r="D810" s="33" t="s">
        <v>31</v>
      </c>
      <c r="E810" s="33" t="s">
        <v>866</v>
      </c>
      <c r="F810" s="33" t="s">
        <v>318</v>
      </c>
      <c r="G810" s="33" t="s">
        <v>784</v>
      </c>
      <c r="H810" s="33">
        <v>3.51298320006831E14</v>
      </c>
      <c r="I810" s="34" t="s">
        <v>46</v>
      </c>
      <c r="J810" s="34" t="s">
        <v>869</v>
      </c>
      <c r="K810" s="59"/>
      <c r="L810" s="35"/>
      <c r="M810" s="35"/>
      <c r="N810" s="31"/>
      <c r="O810" s="42"/>
      <c r="P810" s="35"/>
      <c r="Q810" s="35"/>
      <c r="R810" s="31"/>
      <c r="S810" s="31"/>
      <c r="T810" s="31"/>
      <c r="U810" s="31"/>
    </row>
    <row r="811">
      <c r="A811" s="31"/>
      <c r="B811" s="32">
        <v>45909.0</v>
      </c>
      <c r="C811" s="55" t="s">
        <v>46</v>
      </c>
      <c r="D811" s="33" t="s">
        <v>31</v>
      </c>
      <c r="E811" s="33" t="s">
        <v>866</v>
      </c>
      <c r="F811" s="33" t="s">
        <v>318</v>
      </c>
      <c r="G811" s="33" t="s">
        <v>784</v>
      </c>
      <c r="H811" s="33">
        <v>3.51298320007847E14</v>
      </c>
      <c r="I811" s="34" t="s">
        <v>46</v>
      </c>
      <c r="J811" s="33" t="s">
        <v>870</v>
      </c>
      <c r="K811" s="59"/>
      <c r="L811" s="35"/>
      <c r="M811" s="35"/>
      <c r="N811" s="31"/>
      <c r="O811" s="42"/>
      <c r="P811" s="35"/>
      <c r="Q811" s="35"/>
      <c r="R811" s="31"/>
      <c r="S811" s="31"/>
      <c r="T811" s="31"/>
      <c r="U811" s="31"/>
    </row>
    <row r="812">
      <c r="A812" s="31"/>
      <c r="B812" s="32">
        <v>45909.0</v>
      </c>
      <c r="C812" s="55" t="s">
        <v>46</v>
      </c>
      <c r="D812" s="33" t="s">
        <v>31</v>
      </c>
      <c r="E812" s="33" t="s">
        <v>866</v>
      </c>
      <c r="F812" s="33" t="s">
        <v>318</v>
      </c>
      <c r="G812" s="33" t="s">
        <v>871</v>
      </c>
      <c r="H812" s="33">
        <v>3.51298320035624E14</v>
      </c>
      <c r="I812" s="34" t="s">
        <v>46</v>
      </c>
      <c r="J812" s="35"/>
      <c r="K812" s="59"/>
      <c r="L812" s="35"/>
      <c r="M812" s="35"/>
      <c r="N812" s="31"/>
      <c r="O812" s="42"/>
      <c r="P812" s="35"/>
      <c r="Q812" s="35"/>
      <c r="R812" s="31"/>
      <c r="S812" s="31"/>
      <c r="T812" s="31"/>
      <c r="U812" s="31"/>
    </row>
    <row r="813">
      <c r="A813" s="31"/>
      <c r="B813" s="32">
        <v>45909.0</v>
      </c>
      <c r="C813" s="55" t="s">
        <v>46</v>
      </c>
      <c r="D813" s="33" t="s">
        <v>31</v>
      </c>
      <c r="E813" s="33" t="s">
        <v>866</v>
      </c>
      <c r="F813" s="33" t="s">
        <v>318</v>
      </c>
      <c r="G813" s="33" t="s">
        <v>871</v>
      </c>
      <c r="H813" s="33">
        <v>3.51298320018653E14</v>
      </c>
      <c r="I813" s="34" t="s">
        <v>46</v>
      </c>
      <c r="J813" s="35"/>
      <c r="K813" s="59"/>
      <c r="L813" s="35"/>
      <c r="M813" s="35"/>
      <c r="N813" s="31"/>
      <c r="O813" s="42"/>
      <c r="P813" s="35"/>
      <c r="Q813" s="35"/>
      <c r="R813" s="31"/>
      <c r="S813" s="31"/>
      <c r="T813" s="31"/>
      <c r="U813" s="31"/>
    </row>
    <row r="814">
      <c r="A814" s="31"/>
      <c r="B814" s="32">
        <v>45909.0</v>
      </c>
      <c r="C814" s="55" t="s">
        <v>46</v>
      </c>
      <c r="D814" s="33" t="s">
        <v>31</v>
      </c>
      <c r="E814" s="33" t="s">
        <v>866</v>
      </c>
      <c r="F814" s="33" t="s">
        <v>318</v>
      </c>
      <c r="G814" s="33" t="s">
        <v>871</v>
      </c>
      <c r="H814" s="33">
        <v>3.51298320037414E14</v>
      </c>
      <c r="I814" s="34" t="s">
        <v>46</v>
      </c>
      <c r="J814" s="33" t="s">
        <v>872</v>
      </c>
      <c r="K814" s="59"/>
      <c r="L814" s="35"/>
      <c r="M814" s="35"/>
      <c r="N814" s="31"/>
      <c r="O814" s="42"/>
      <c r="P814" s="35"/>
      <c r="Q814" s="35"/>
      <c r="R814" s="31"/>
      <c r="S814" s="31"/>
      <c r="T814" s="31"/>
      <c r="U814" s="31"/>
    </row>
    <row r="815">
      <c r="A815" s="31"/>
      <c r="B815" s="32">
        <v>45909.0</v>
      </c>
      <c r="C815" s="55" t="s">
        <v>46</v>
      </c>
      <c r="D815" s="33" t="s">
        <v>31</v>
      </c>
      <c r="E815" s="33" t="s">
        <v>866</v>
      </c>
      <c r="F815" s="33" t="s">
        <v>318</v>
      </c>
      <c r="G815" s="33" t="s">
        <v>871</v>
      </c>
      <c r="H815" s="33">
        <v>3.51298320045391E14</v>
      </c>
      <c r="I815" s="34" t="s">
        <v>46</v>
      </c>
      <c r="J815" s="33" t="s">
        <v>873</v>
      </c>
      <c r="K815" s="59"/>
      <c r="L815" s="35"/>
      <c r="M815" s="35"/>
      <c r="N815" s="31"/>
      <c r="O815" s="42"/>
      <c r="P815" s="35"/>
      <c r="Q815" s="35"/>
      <c r="R815" s="31"/>
      <c r="S815" s="31"/>
      <c r="T815" s="31"/>
      <c r="U815" s="31"/>
    </row>
    <row r="816">
      <c r="A816" s="31"/>
      <c r="B816" s="32">
        <v>45909.0</v>
      </c>
      <c r="C816" s="55" t="s">
        <v>46</v>
      </c>
      <c r="D816" s="33" t="s">
        <v>31</v>
      </c>
      <c r="E816" s="33" t="s">
        <v>866</v>
      </c>
      <c r="F816" s="33" t="s">
        <v>318</v>
      </c>
      <c r="G816" s="33" t="s">
        <v>874</v>
      </c>
      <c r="H816" s="33">
        <v>3.51298320080893E14</v>
      </c>
      <c r="I816" s="34" t="s">
        <v>46</v>
      </c>
      <c r="J816" s="33" t="s">
        <v>875</v>
      </c>
      <c r="K816" s="59"/>
      <c r="L816" s="35"/>
      <c r="M816" s="35"/>
      <c r="N816" s="31"/>
      <c r="O816" s="42"/>
      <c r="P816" s="35"/>
      <c r="Q816" s="35"/>
      <c r="R816" s="31"/>
      <c r="S816" s="31"/>
      <c r="T816" s="31"/>
      <c r="U816" s="31"/>
    </row>
    <row r="817">
      <c r="A817" s="31"/>
      <c r="B817" s="32">
        <v>45909.0</v>
      </c>
      <c r="C817" s="55" t="s">
        <v>46</v>
      </c>
      <c r="D817" s="33" t="s">
        <v>31</v>
      </c>
      <c r="E817" s="33" t="s">
        <v>866</v>
      </c>
      <c r="F817" s="33" t="s">
        <v>318</v>
      </c>
      <c r="G817" s="33" t="s">
        <v>874</v>
      </c>
      <c r="H817" s="33">
        <v>3.51298320107878E14</v>
      </c>
      <c r="I817" s="34" t="s">
        <v>46</v>
      </c>
      <c r="J817" s="33" t="s">
        <v>876</v>
      </c>
      <c r="K817" s="59"/>
      <c r="L817" s="35"/>
      <c r="M817" s="35"/>
      <c r="N817" s="31"/>
      <c r="O817" s="42"/>
      <c r="P817" s="35"/>
      <c r="Q817" s="35"/>
      <c r="R817" s="31"/>
      <c r="S817" s="31"/>
      <c r="T817" s="31"/>
      <c r="U817" s="31"/>
    </row>
    <row r="818">
      <c r="A818" s="31"/>
      <c r="B818" s="32">
        <v>45909.0</v>
      </c>
      <c r="C818" s="55" t="s">
        <v>46</v>
      </c>
      <c r="D818" s="33" t="s">
        <v>31</v>
      </c>
      <c r="E818" s="33" t="s">
        <v>866</v>
      </c>
      <c r="F818" s="33" t="s">
        <v>318</v>
      </c>
      <c r="G818" s="33" t="s">
        <v>874</v>
      </c>
      <c r="H818" s="33">
        <v>3.51298320090629E14</v>
      </c>
      <c r="I818" s="34" t="s">
        <v>46</v>
      </c>
      <c r="J818" s="33" t="s">
        <v>877</v>
      </c>
      <c r="K818" s="59"/>
      <c r="L818" s="35"/>
      <c r="M818" s="35"/>
      <c r="N818" s="31"/>
      <c r="O818" s="42"/>
      <c r="P818" s="35"/>
      <c r="Q818" s="35"/>
      <c r="R818" s="31"/>
      <c r="S818" s="31"/>
      <c r="T818" s="31"/>
      <c r="U818" s="31"/>
    </row>
    <row r="819">
      <c r="A819" s="31"/>
      <c r="B819" s="32">
        <v>45909.0</v>
      </c>
      <c r="C819" s="55" t="s">
        <v>46</v>
      </c>
      <c r="D819" s="33" t="s">
        <v>31</v>
      </c>
      <c r="E819" s="33" t="s">
        <v>866</v>
      </c>
      <c r="F819" s="33" t="s">
        <v>318</v>
      </c>
      <c r="G819" s="33" t="s">
        <v>874</v>
      </c>
      <c r="H819" s="33">
        <v>3.51298320056547E14</v>
      </c>
      <c r="I819" s="34" t="s">
        <v>46</v>
      </c>
      <c r="J819" s="33" t="s">
        <v>878</v>
      </c>
      <c r="K819" s="59"/>
      <c r="L819" s="35"/>
      <c r="M819" s="35"/>
      <c r="N819" s="31"/>
      <c r="O819" s="42"/>
      <c r="P819" s="35"/>
      <c r="Q819" s="35"/>
      <c r="R819" s="31"/>
      <c r="S819" s="31"/>
      <c r="T819" s="31"/>
      <c r="U819" s="31"/>
    </row>
    <row r="820">
      <c r="A820" s="31"/>
      <c r="B820" s="32">
        <v>45909.0</v>
      </c>
      <c r="C820" s="55" t="s">
        <v>46</v>
      </c>
      <c r="D820" s="33" t="s">
        <v>31</v>
      </c>
      <c r="E820" s="33" t="s">
        <v>866</v>
      </c>
      <c r="F820" s="33" t="s">
        <v>318</v>
      </c>
      <c r="G820" s="33" t="s">
        <v>862</v>
      </c>
      <c r="H820" s="33">
        <v>3.51298320107019E14</v>
      </c>
      <c r="I820" s="34" t="s">
        <v>46</v>
      </c>
      <c r="J820" s="33" t="s">
        <v>879</v>
      </c>
      <c r="K820" s="59"/>
      <c r="L820" s="35"/>
      <c r="M820" s="35"/>
      <c r="N820" s="31"/>
      <c r="O820" s="42"/>
      <c r="P820" s="35"/>
      <c r="Q820" s="35"/>
      <c r="R820" s="31"/>
      <c r="S820" s="31"/>
      <c r="T820" s="31"/>
      <c r="U820" s="31"/>
    </row>
    <row r="821">
      <c r="A821" s="31"/>
      <c r="B821" s="32">
        <v>45909.0</v>
      </c>
      <c r="C821" s="55" t="s">
        <v>46</v>
      </c>
      <c r="D821" s="33" t="s">
        <v>31</v>
      </c>
      <c r="E821" s="33" t="s">
        <v>866</v>
      </c>
      <c r="F821" s="33" t="s">
        <v>318</v>
      </c>
      <c r="G821" s="33" t="s">
        <v>862</v>
      </c>
      <c r="H821" s="33">
        <v>3.51298320101293E14</v>
      </c>
      <c r="I821" s="34" t="s">
        <v>46</v>
      </c>
      <c r="J821" s="35"/>
      <c r="K821" s="59"/>
      <c r="L821" s="35"/>
      <c r="M821" s="35"/>
      <c r="N821" s="31"/>
      <c r="O821" s="42"/>
      <c r="P821" s="35"/>
      <c r="Q821" s="35"/>
      <c r="R821" s="31"/>
      <c r="S821" s="31"/>
      <c r="T821" s="31"/>
      <c r="U821" s="31"/>
    </row>
    <row r="822">
      <c r="A822" s="31"/>
      <c r="B822" s="32">
        <v>45909.0</v>
      </c>
      <c r="C822" s="55" t="s">
        <v>46</v>
      </c>
      <c r="D822" s="33" t="s">
        <v>31</v>
      </c>
      <c r="E822" s="33" t="s">
        <v>866</v>
      </c>
      <c r="F822" s="33" t="s">
        <v>318</v>
      </c>
      <c r="G822" s="33" t="s">
        <v>862</v>
      </c>
      <c r="H822" s="33">
        <v>3.51298320105054E14</v>
      </c>
      <c r="I822" s="34" t="s">
        <v>46</v>
      </c>
      <c r="J822" s="34" t="s">
        <v>880</v>
      </c>
      <c r="K822" s="59"/>
      <c r="L822" s="35"/>
      <c r="M822" s="35"/>
      <c r="N822" s="31"/>
      <c r="O822" s="42"/>
      <c r="P822" s="35"/>
      <c r="Q822" s="35"/>
      <c r="R822" s="31"/>
      <c r="S822" s="31"/>
      <c r="T822" s="31"/>
      <c r="U822" s="31"/>
    </row>
    <row r="823">
      <c r="A823" s="31"/>
      <c r="B823" s="32">
        <v>45909.0</v>
      </c>
      <c r="C823" s="55" t="s">
        <v>46</v>
      </c>
      <c r="D823" s="33" t="s">
        <v>31</v>
      </c>
      <c r="E823" s="33" t="s">
        <v>866</v>
      </c>
      <c r="F823" s="33" t="s">
        <v>318</v>
      </c>
      <c r="G823" s="33" t="s">
        <v>862</v>
      </c>
      <c r="H823" s="33">
        <v>3.51298320104602E14</v>
      </c>
      <c r="I823" s="34" t="s">
        <v>46</v>
      </c>
      <c r="J823" s="33" t="s">
        <v>881</v>
      </c>
      <c r="K823" s="59"/>
      <c r="L823" s="35"/>
      <c r="M823" s="35"/>
      <c r="N823" s="31"/>
      <c r="O823" s="42"/>
      <c r="P823" s="35"/>
      <c r="Q823" s="35"/>
      <c r="R823" s="31"/>
      <c r="S823" s="31"/>
      <c r="T823" s="31"/>
      <c r="U823" s="31"/>
    </row>
    <row r="824">
      <c r="A824" s="31"/>
      <c r="B824" s="32">
        <v>45909.0</v>
      </c>
      <c r="C824" s="55" t="s">
        <v>46</v>
      </c>
      <c r="D824" s="33" t="s">
        <v>31</v>
      </c>
      <c r="E824" s="33" t="s">
        <v>866</v>
      </c>
      <c r="F824" s="33" t="s">
        <v>318</v>
      </c>
      <c r="G824" s="33" t="s">
        <v>784</v>
      </c>
      <c r="H824" s="33">
        <v>3.51298320003838E14</v>
      </c>
      <c r="I824" s="34" t="s">
        <v>78</v>
      </c>
      <c r="J824" s="35"/>
      <c r="K824" s="59"/>
      <c r="L824" s="35"/>
      <c r="M824" s="35"/>
      <c r="N824" s="31"/>
      <c r="O824" s="42"/>
      <c r="P824" s="35"/>
      <c r="Q824" s="35"/>
      <c r="R824" s="31"/>
      <c r="S824" s="31"/>
      <c r="T824" s="31"/>
      <c r="U824" s="31"/>
    </row>
    <row r="825">
      <c r="A825" s="31"/>
      <c r="B825" s="32">
        <v>45909.0</v>
      </c>
      <c r="C825" s="55" t="s">
        <v>46</v>
      </c>
      <c r="D825" s="33" t="s">
        <v>31</v>
      </c>
      <c r="E825" s="33" t="s">
        <v>866</v>
      </c>
      <c r="F825" s="33" t="s">
        <v>318</v>
      </c>
      <c r="G825" s="33" t="s">
        <v>784</v>
      </c>
      <c r="H825" s="33">
        <v>3.51298320002582E14</v>
      </c>
      <c r="I825" s="34" t="s">
        <v>78</v>
      </c>
      <c r="J825" s="35"/>
      <c r="K825" s="59"/>
      <c r="L825" s="35"/>
      <c r="M825" s="35"/>
      <c r="N825" s="31"/>
      <c r="O825" s="42"/>
      <c r="P825" s="35"/>
      <c r="Q825" s="35"/>
      <c r="R825" s="31"/>
      <c r="S825" s="31"/>
      <c r="T825" s="31"/>
      <c r="U825" s="31"/>
    </row>
    <row r="826">
      <c r="A826" s="31"/>
      <c r="B826" s="32">
        <v>45909.0</v>
      </c>
      <c r="C826" s="55" t="s">
        <v>46</v>
      </c>
      <c r="D826" s="33" t="s">
        <v>31</v>
      </c>
      <c r="E826" s="33" t="s">
        <v>866</v>
      </c>
      <c r="F826" s="33" t="s">
        <v>318</v>
      </c>
      <c r="G826" s="33" t="s">
        <v>784</v>
      </c>
      <c r="H826" s="33">
        <v>3.51298320002558E14</v>
      </c>
      <c r="I826" s="34" t="s">
        <v>78</v>
      </c>
      <c r="J826" s="33" t="s">
        <v>882</v>
      </c>
      <c r="K826" s="59"/>
      <c r="L826" s="35"/>
      <c r="M826" s="35"/>
      <c r="N826" s="31"/>
      <c r="O826" s="42"/>
      <c r="P826" s="35"/>
      <c r="Q826" s="35"/>
      <c r="R826" s="31"/>
      <c r="S826" s="31"/>
      <c r="T826" s="31"/>
      <c r="U826" s="31"/>
    </row>
    <row r="827">
      <c r="A827" s="31"/>
      <c r="B827" s="32">
        <v>45909.0</v>
      </c>
      <c r="C827" s="55" t="s">
        <v>46</v>
      </c>
      <c r="D827" s="33" t="s">
        <v>31</v>
      </c>
      <c r="E827" s="33" t="s">
        <v>866</v>
      </c>
      <c r="F827" s="33" t="s">
        <v>318</v>
      </c>
      <c r="G827" s="33" t="s">
        <v>784</v>
      </c>
      <c r="H827" s="33">
        <v>3.51298320003234E14</v>
      </c>
      <c r="I827" s="34" t="s">
        <v>78</v>
      </c>
      <c r="J827" s="33" t="s">
        <v>883</v>
      </c>
      <c r="K827" s="59"/>
      <c r="L827" s="35"/>
      <c r="M827" s="35"/>
      <c r="N827" s="31"/>
      <c r="O827" s="42"/>
      <c r="P827" s="35"/>
      <c r="Q827" s="35"/>
      <c r="R827" s="31"/>
      <c r="S827" s="31"/>
      <c r="T827" s="31"/>
      <c r="U827" s="31"/>
    </row>
    <row r="828">
      <c r="A828" s="31"/>
      <c r="B828" s="32">
        <v>45909.0</v>
      </c>
      <c r="C828" s="55" t="s">
        <v>46</v>
      </c>
      <c r="D828" s="33" t="s">
        <v>31</v>
      </c>
      <c r="E828" s="33" t="s">
        <v>866</v>
      </c>
      <c r="F828" s="33" t="s">
        <v>318</v>
      </c>
      <c r="G828" s="33" t="s">
        <v>871</v>
      </c>
      <c r="H828" s="33">
        <v>3.51298320052504E14</v>
      </c>
      <c r="I828" s="34" t="s">
        <v>78</v>
      </c>
      <c r="J828" s="33" t="s">
        <v>884</v>
      </c>
      <c r="K828" s="59"/>
      <c r="L828" s="35"/>
      <c r="M828" s="35"/>
      <c r="N828" s="31"/>
      <c r="O828" s="42"/>
      <c r="P828" s="35"/>
      <c r="Q828" s="35"/>
      <c r="R828" s="31"/>
      <c r="S828" s="31"/>
      <c r="T828" s="31"/>
      <c r="U828" s="31"/>
    </row>
    <row r="829">
      <c r="A829" s="31"/>
      <c r="B829" s="32">
        <v>45909.0</v>
      </c>
      <c r="C829" s="55" t="s">
        <v>46</v>
      </c>
      <c r="D829" s="33" t="s">
        <v>31</v>
      </c>
      <c r="E829" s="33" t="s">
        <v>866</v>
      </c>
      <c r="F829" s="33" t="s">
        <v>318</v>
      </c>
      <c r="G829" s="33" t="s">
        <v>871</v>
      </c>
      <c r="H829" s="33">
        <v>3.51298320015212E14</v>
      </c>
      <c r="I829" s="34" t="s">
        <v>78</v>
      </c>
      <c r="J829" s="33" t="s">
        <v>885</v>
      </c>
      <c r="K829" s="59"/>
      <c r="L829" s="35"/>
      <c r="M829" s="35"/>
      <c r="N829" s="31"/>
      <c r="O829" s="42"/>
      <c r="P829" s="35"/>
      <c r="Q829" s="35"/>
      <c r="R829" s="31"/>
      <c r="S829" s="31"/>
      <c r="T829" s="31"/>
      <c r="U829" s="31"/>
    </row>
    <row r="830">
      <c r="A830" s="31"/>
      <c r="B830" s="32">
        <v>45909.0</v>
      </c>
      <c r="C830" s="55" t="s">
        <v>46</v>
      </c>
      <c r="D830" s="33" t="s">
        <v>31</v>
      </c>
      <c r="E830" s="33" t="s">
        <v>866</v>
      </c>
      <c r="F830" s="33" t="s">
        <v>318</v>
      </c>
      <c r="G830" s="33" t="s">
        <v>871</v>
      </c>
      <c r="H830" s="33">
        <v>3.51298320044543E14</v>
      </c>
      <c r="I830" s="34" t="s">
        <v>78</v>
      </c>
      <c r="J830" s="33" t="s">
        <v>886</v>
      </c>
      <c r="K830" s="59"/>
      <c r="L830" s="35"/>
      <c r="M830" s="35"/>
      <c r="N830" s="31"/>
      <c r="O830" s="42"/>
      <c r="P830" s="35"/>
      <c r="Q830" s="35"/>
      <c r="R830" s="31"/>
      <c r="S830" s="31"/>
      <c r="T830" s="31"/>
      <c r="U830" s="31"/>
    </row>
    <row r="831">
      <c r="A831" s="31"/>
      <c r="B831" s="32">
        <v>45909.0</v>
      </c>
      <c r="C831" s="55" t="s">
        <v>46</v>
      </c>
      <c r="D831" s="33" t="s">
        <v>31</v>
      </c>
      <c r="E831" s="33" t="s">
        <v>866</v>
      </c>
      <c r="F831" s="33" t="s">
        <v>318</v>
      </c>
      <c r="G831" s="33" t="s">
        <v>871</v>
      </c>
      <c r="H831" s="33">
        <v>3.51298320027613E14</v>
      </c>
      <c r="I831" s="34" t="s">
        <v>78</v>
      </c>
      <c r="J831" s="33" t="s">
        <v>887</v>
      </c>
      <c r="K831" s="59"/>
      <c r="L831" s="35"/>
      <c r="M831" s="35"/>
      <c r="N831" s="31"/>
      <c r="O831" s="42"/>
      <c r="P831" s="35"/>
      <c r="Q831" s="35"/>
      <c r="R831" s="31"/>
      <c r="S831" s="31"/>
      <c r="T831" s="31"/>
      <c r="U831" s="31"/>
    </row>
    <row r="832">
      <c r="A832" s="31"/>
      <c r="B832" s="32">
        <v>45909.0</v>
      </c>
      <c r="C832" s="55" t="s">
        <v>46</v>
      </c>
      <c r="D832" s="33" t="s">
        <v>31</v>
      </c>
      <c r="E832" s="33" t="s">
        <v>866</v>
      </c>
      <c r="F832" s="33" t="s">
        <v>318</v>
      </c>
      <c r="G832" s="33" t="s">
        <v>871</v>
      </c>
      <c r="H832" s="33">
        <v>3.51298320049443E14</v>
      </c>
      <c r="I832" s="34" t="s">
        <v>78</v>
      </c>
      <c r="J832" s="33" t="s">
        <v>888</v>
      </c>
      <c r="K832" s="59"/>
      <c r="L832" s="35"/>
      <c r="M832" s="35"/>
      <c r="N832" s="31"/>
      <c r="O832" s="42"/>
      <c r="P832" s="35"/>
      <c r="Q832" s="35"/>
      <c r="R832" s="31"/>
      <c r="S832" s="31"/>
      <c r="T832" s="31"/>
      <c r="U832" s="31"/>
    </row>
    <row r="833">
      <c r="A833" s="31"/>
      <c r="B833" s="32">
        <v>45909.0</v>
      </c>
      <c r="C833" s="55" t="s">
        <v>46</v>
      </c>
      <c r="D833" s="33" t="s">
        <v>31</v>
      </c>
      <c r="E833" s="33" t="s">
        <v>866</v>
      </c>
      <c r="F833" s="33" t="s">
        <v>318</v>
      </c>
      <c r="G833" s="33" t="s">
        <v>874</v>
      </c>
      <c r="H833" s="33">
        <v>3.51298320054294E14</v>
      </c>
      <c r="I833" s="34" t="s">
        <v>78</v>
      </c>
      <c r="J833" s="35"/>
      <c r="K833" s="59"/>
      <c r="L833" s="35"/>
      <c r="M833" s="35"/>
      <c r="N833" s="31"/>
      <c r="O833" s="42"/>
      <c r="P833" s="35"/>
      <c r="Q833" s="35"/>
      <c r="R833" s="31"/>
      <c r="S833" s="31"/>
      <c r="T833" s="31"/>
      <c r="U833" s="31"/>
    </row>
    <row r="834">
      <c r="A834" s="31"/>
      <c r="B834" s="32">
        <v>45909.0</v>
      </c>
      <c r="C834" s="55" t="s">
        <v>46</v>
      </c>
      <c r="D834" s="33" t="s">
        <v>31</v>
      </c>
      <c r="E834" s="33" t="s">
        <v>866</v>
      </c>
      <c r="F834" s="33" t="s">
        <v>318</v>
      </c>
      <c r="G834" s="33" t="s">
        <v>874</v>
      </c>
      <c r="H834" s="33">
        <v>3.51298320091015E14</v>
      </c>
      <c r="I834" s="34" t="s">
        <v>78</v>
      </c>
      <c r="J834" s="35"/>
      <c r="K834" s="59"/>
      <c r="L834" s="35"/>
      <c r="M834" s="35"/>
      <c r="N834" s="31"/>
      <c r="O834" s="42"/>
      <c r="P834" s="35"/>
      <c r="Q834" s="35"/>
      <c r="R834" s="31"/>
      <c r="S834" s="31"/>
      <c r="T834" s="31"/>
      <c r="U834" s="31"/>
    </row>
    <row r="835">
      <c r="A835" s="31"/>
      <c r="B835" s="32">
        <v>45909.0</v>
      </c>
      <c r="C835" s="55" t="s">
        <v>46</v>
      </c>
      <c r="D835" s="33" t="s">
        <v>31</v>
      </c>
      <c r="E835" s="33" t="s">
        <v>866</v>
      </c>
      <c r="F835" s="33" t="s">
        <v>318</v>
      </c>
      <c r="G835" s="33" t="s">
        <v>874</v>
      </c>
      <c r="H835" s="33">
        <v>3.5129832006708E14</v>
      </c>
      <c r="I835" s="34" t="s">
        <v>78</v>
      </c>
      <c r="J835" s="35"/>
      <c r="K835" s="59"/>
      <c r="L835" s="35"/>
      <c r="M835" s="35"/>
      <c r="N835" s="31"/>
      <c r="O835" s="42"/>
      <c r="P835" s="35"/>
      <c r="Q835" s="35"/>
      <c r="R835" s="31"/>
      <c r="S835" s="31"/>
      <c r="T835" s="31"/>
      <c r="U835" s="31"/>
    </row>
    <row r="836">
      <c r="A836" s="31"/>
      <c r="B836" s="32">
        <v>45909.0</v>
      </c>
      <c r="C836" s="55" t="s">
        <v>46</v>
      </c>
      <c r="D836" s="33" t="s">
        <v>31</v>
      </c>
      <c r="E836" s="33" t="s">
        <v>866</v>
      </c>
      <c r="F836" s="33" t="s">
        <v>318</v>
      </c>
      <c r="G836" s="33" t="s">
        <v>874</v>
      </c>
      <c r="H836" s="33">
        <v>3.51298320064533E14</v>
      </c>
      <c r="I836" s="34" t="s">
        <v>78</v>
      </c>
      <c r="J836" s="35"/>
      <c r="K836" s="59"/>
      <c r="L836" s="35"/>
      <c r="M836" s="35"/>
      <c r="N836" s="31"/>
      <c r="O836" s="42"/>
      <c r="P836" s="35"/>
      <c r="Q836" s="35"/>
      <c r="R836" s="31"/>
      <c r="S836" s="31"/>
      <c r="T836" s="31"/>
      <c r="U836" s="31"/>
    </row>
    <row r="837">
      <c r="A837" s="31"/>
      <c r="B837" s="32">
        <v>45909.0</v>
      </c>
      <c r="C837" s="55" t="s">
        <v>46</v>
      </c>
      <c r="D837" s="33" t="s">
        <v>31</v>
      </c>
      <c r="E837" s="33" t="s">
        <v>866</v>
      </c>
      <c r="F837" s="33" t="s">
        <v>318</v>
      </c>
      <c r="G837" s="33" t="s">
        <v>874</v>
      </c>
      <c r="H837" s="33">
        <v>3.51298320063709E14</v>
      </c>
      <c r="I837" s="34" t="s">
        <v>78</v>
      </c>
      <c r="J837" s="35"/>
      <c r="K837" s="59"/>
      <c r="L837" s="35"/>
      <c r="M837" s="35"/>
      <c r="N837" s="31"/>
      <c r="O837" s="42"/>
      <c r="P837" s="35"/>
      <c r="Q837" s="35"/>
      <c r="R837" s="31"/>
      <c r="S837" s="31"/>
      <c r="T837" s="31"/>
      <c r="U837" s="31"/>
    </row>
    <row r="838">
      <c r="A838" s="31"/>
      <c r="B838" s="32">
        <v>45909.0</v>
      </c>
      <c r="C838" s="55" t="s">
        <v>46</v>
      </c>
      <c r="D838" s="33" t="s">
        <v>31</v>
      </c>
      <c r="E838" s="33" t="s">
        <v>866</v>
      </c>
      <c r="F838" s="33" t="s">
        <v>318</v>
      </c>
      <c r="G838" s="33" t="s">
        <v>874</v>
      </c>
      <c r="H838" s="33">
        <v>3.51298320055028E14</v>
      </c>
      <c r="I838" s="34" t="s">
        <v>78</v>
      </c>
      <c r="J838" s="35"/>
      <c r="K838" s="59"/>
      <c r="L838" s="35"/>
      <c r="M838" s="35"/>
      <c r="N838" s="31"/>
      <c r="O838" s="42"/>
      <c r="P838" s="35"/>
      <c r="Q838" s="35"/>
      <c r="R838" s="31"/>
      <c r="S838" s="31"/>
      <c r="T838" s="31"/>
      <c r="U838" s="31"/>
    </row>
    <row r="839">
      <c r="A839" s="31"/>
      <c r="B839" s="32">
        <v>45909.0</v>
      </c>
      <c r="C839" s="55" t="s">
        <v>46</v>
      </c>
      <c r="D839" s="33" t="s">
        <v>31</v>
      </c>
      <c r="E839" s="33" t="s">
        <v>866</v>
      </c>
      <c r="F839" s="33" t="s">
        <v>318</v>
      </c>
      <c r="G839" s="33" t="s">
        <v>874</v>
      </c>
      <c r="H839" s="33">
        <v>3.51298320065589E14</v>
      </c>
      <c r="I839" s="34" t="s">
        <v>78</v>
      </c>
      <c r="J839" s="35"/>
      <c r="K839" s="59"/>
      <c r="L839" s="35"/>
      <c r="M839" s="35"/>
      <c r="N839" s="31"/>
      <c r="O839" s="42"/>
      <c r="P839" s="35"/>
      <c r="Q839" s="35"/>
      <c r="R839" s="31"/>
      <c r="S839" s="31"/>
      <c r="T839" s="31"/>
      <c r="U839" s="31"/>
    </row>
    <row r="840">
      <c r="A840" s="31"/>
      <c r="B840" s="32">
        <v>45909.0</v>
      </c>
      <c r="C840" s="55" t="s">
        <v>46</v>
      </c>
      <c r="D840" s="33" t="s">
        <v>31</v>
      </c>
      <c r="E840" s="33" t="s">
        <v>866</v>
      </c>
      <c r="F840" s="33" t="s">
        <v>318</v>
      </c>
      <c r="G840" s="33" t="s">
        <v>874</v>
      </c>
      <c r="H840" s="33">
        <v>3.51298320081065E14</v>
      </c>
      <c r="I840" s="34" t="s">
        <v>78</v>
      </c>
      <c r="J840" s="35"/>
      <c r="K840" s="59"/>
      <c r="L840" s="35"/>
      <c r="M840" s="35"/>
      <c r="N840" s="31"/>
      <c r="O840" s="42"/>
      <c r="P840" s="35"/>
      <c r="Q840" s="35"/>
      <c r="R840" s="31"/>
      <c r="S840" s="31"/>
      <c r="T840" s="31"/>
      <c r="U840" s="31"/>
    </row>
    <row r="841">
      <c r="A841" s="31"/>
      <c r="B841" s="32">
        <v>45909.0</v>
      </c>
      <c r="C841" s="55" t="s">
        <v>46</v>
      </c>
      <c r="D841" s="33" t="s">
        <v>31</v>
      </c>
      <c r="E841" s="33" t="s">
        <v>866</v>
      </c>
      <c r="F841" s="33" t="s">
        <v>318</v>
      </c>
      <c r="G841" s="33" t="s">
        <v>874</v>
      </c>
      <c r="H841" s="33">
        <v>3.51298320074789E14</v>
      </c>
      <c r="I841" s="34" t="s">
        <v>889</v>
      </c>
      <c r="J841" s="35"/>
      <c r="K841" s="59"/>
      <c r="L841" s="35"/>
      <c r="M841" s="35"/>
      <c r="N841" s="31"/>
      <c r="O841" s="42"/>
      <c r="P841" s="35"/>
      <c r="Q841" s="35"/>
      <c r="R841" s="31"/>
      <c r="S841" s="31"/>
      <c r="T841" s="31"/>
      <c r="U841" s="31"/>
    </row>
    <row r="842">
      <c r="A842" s="31"/>
      <c r="B842" s="32">
        <v>45909.0</v>
      </c>
      <c r="C842" s="55" t="s">
        <v>46</v>
      </c>
      <c r="D842" s="33" t="s">
        <v>31</v>
      </c>
      <c r="E842" s="33" t="s">
        <v>866</v>
      </c>
      <c r="F842" s="33" t="s">
        <v>318</v>
      </c>
      <c r="G842" s="33" t="s">
        <v>874</v>
      </c>
      <c r="H842" s="33">
        <v>3.51298320082543E14</v>
      </c>
      <c r="I842" s="34" t="s">
        <v>78</v>
      </c>
      <c r="J842" s="35"/>
      <c r="K842" s="59"/>
      <c r="L842" s="35"/>
      <c r="M842" s="35"/>
      <c r="N842" s="31"/>
      <c r="O842" s="42"/>
      <c r="P842" s="35"/>
      <c r="Q842" s="35"/>
      <c r="R842" s="31"/>
      <c r="S842" s="31"/>
      <c r="T842" s="31"/>
      <c r="U842" s="31"/>
    </row>
    <row r="843">
      <c r="A843" s="31"/>
      <c r="B843" s="32">
        <v>45909.0</v>
      </c>
      <c r="C843" s="55" t="s">
        <v>46</v>
      </c>
      <c r="D843" s="33" t="s">
        <v>31</v>
      </c>
      <c r="E843" s="33" t="s">
        <v>866</v>
      </c>
      <c r="F843" s="33" t="s">
        <v>318</v>
      </c>
      <c r="G843" s="33" t="s">
        <v>874</v>
      </c>
      <c r="H843" s="33">
        <v>3.5129832005902E14</v>
      </c>
      <c r="I843" s="34" t="s">
        <v>78</v>
      </c>
      <c r="J843" s="35"/>
      <c r="K843" s="59"/>
      <c r="L843" s="35"/>
      <c r="M843" s="35"/>
      <c r="N843" s="31"/>
      <c r="O843" s="42"/>
      <c r="P843" s="35"/>
      <c r="Q843" s="35"/>
      <c r="R843" s="31"/>
      <c r="S843" s="31"/>
      <c r="T843" s="31"/>
      <c r="U843" s="31"/>
    </row>
    <row r="844">
      <c r="A844" s="31"/>
      <c r="B844" s="32">
        <v>45909.0</v>
      </c>
      <c r="C844" s="55" t="s">
        <v>46</v>
      </c>
      <c r="D844" s="33" t="s">
        <v>31</v>
      </c>
      <c r="E844" s="33" t="s">
        <v>866</v>
      </c>
      <c r="F844" s="33" t="s">
        <v>318</v>
      </c>
      <c r="G844" s="33" t="s">
        <v>874</v>
      </c>
      <c r="H844" s="33">
        <v>3.51298320087021E14</v>
      </c>
      <c r="I844" s="34" t="s">
        <v>78</v>
      </c>
      <c r="J844" s="35"/>
      <c r="K844" s="59"/>
      <c r="L844" s="35"/>
      <c r="M844" s="35"/>
      <c r="N844" s="31"/>
      <c r="O844" s="42"/>
      <c r="P844" s="35"/>
      <c r="Q844" s="35"/>
      <c r="R844" s="31"/>
      <c r="S844" s="31"/>
      <c r="T844" s="31"/>
      <c r="U844" s="31"/>
    </row>
    <row r="845">
      <c r="A845" s="31"/>
      <c r="B845" s="32">
        <v>45909.0</v>
      </c>
      <c r="C845" s="55" t="s">
        <v>46</v>
      </c>
      <c r="D845" s="33" t="s">
        <v>31</v>
      </c>
      <c r="E845" s="33" t="s">
        <v>866</v>
      </c>
      <c r="F845" s="33" t="s">
        <v>318</v>
      </c>
      <c r="G845" s="33" t="s">
        <v>862</v>
      </c>
      <c r="H845" s="33">
        <v>3.51298320104586E14</v>
      </c>
      <c r="I845" s="34" t="s">
        <v>889</v>
      </c>
      <c r="J845" s="35"/>
      <c r="K845" s="59"/>
      <c r="L845" s="35"/>
      <c r="M845" s="35"/>
      <c r="N845" s="31"/>
      <c r="O845" s="42"/>
      <c r="P845" s="35"/>
      <c r="Q845" s="35"/>
      <c r="R845" s="31"/>
      <c r="S845" s="31"/>
      <c r="T845" s="31"/>
      <c r="U845" s="31"/>
    </row>
    <row r="846">
      <c r="A846" s="31"/>
      <c r="B846" s="32">
        <v>45909.0</v>
      </c>
      <c r="C846" s="55" t="s">
        <v>46</v>
      </c>
      <c r="D846" s="33" t="s">
        <v>31</v>
      </c>
      <c r="E846" s="33" t="s">
        <v>866</v>
      </c>
      <c r="F846" s="33" t="s">
        <v>318</v>
      </c>
      <c r="G846" s="33" t="s">
        <v>862</v>
      </c>
      <c r="H846" s="33">
        <v>3.51298320102879E14</v>
      </c>
      <c r="I846" s="34" t="s">
        <v>889</v>
      </c>
      <c r="J846" s="35"/>
      <c r="K846" s="59"/>
      <c r="L846" s="35"/>
      <c r="M846" s="35"/>
      <c r="N846" s="31"/>
      <c r="O846" s="42"/>
      <c r="P846" s="35"/>
      <c r="Q846" s="35"/>
      <c r="R846" s="31"/>
      <c r="S846" s="31"/>
      <c r="T846" s="31"/>
      <c r="U846" s="31"/>
    </row>
    <row r="847">
      <c r="A847" s="31"/>
      <c r="B847" s="32">
        <v>45909.0</v>
      </c>
      <c r="C847" s="55" t="s">
        <v>46</v>
      </c>
      <c r="D847" s="33" t="s">
        <v>31</v>
      </c>
      <c r="E847" s="33" t="s">
        <v>866</v>
      </c>
      <c r="F847" s="33" t="s">
        <v>318</v>
      </c>
      <c r="G847" s="33" t="s">
        <v>862</v>
      </c>
      <c r="H847" s="33">
        <v>3.51298320096147E14</v>
      </c>
      <c r="I847" s="34" t="s">
        <v>889</v>
      </c>
      <c r="J847" s="35"/>
      <c r="K847" s="59"/>
      <c r="L847" s="35"/>
      <c r="M847" s="35"/>
      <c r="N847" s="31"/>
      <c r="O847" s="42"/>
      <c r="P847" s="35"/>
      <c r="Q847" s="35"/>
      <c r="R847" s="31"/>
      <c r="S847" s="31"/>
      <c r="T847" s="31"/>
      <c r="U847" s="31"/>
    </row>
    <row r="848">
      <c r="A848" s="31"/>
      <c r="B848" s="32">
        <v>45909.0</v>
      </c>
      <c r="C848" s="55" t="s">
        <v>46</v>
      </c>
      <c r="D848" s="33" t="s">
        <v>31</v>
      </c>
      <c r="E848" s="33" t="s">
        <v>866</v>
      </c>
      <c r="F848" s="33" t="s">
        <v>318</v>
      </c>
      <c r="G848" s="33" t="s">
        <v>862</v>
      </c>
      <c r="H848" s="33">
        <v>3.51298320097681E14</v>
      </c>
      <c r="I848" s="34" t="s">
        <v>889</v>
      </c>
      <c r="J848" s="35"/>
      <c r="K848" s="59"/>
      <c r="L848" s="35"/>
      <c r="M848" s="35"/>
      <c r="N848" s="31"/>
      <c r="O848" s="42"/>
      <c r="P848" s="35"/>
      <c r="Q848" s="35"/>
      <c r="R848" s="31"/>
      <c r="S848" s="31"/>
      <c r="T848" s="31"/>
      <c r="U848" s="31"/>
    </row>
    <row r="849">
      <c r="A849" s="31"/>
      <c r="B849" s="32">
        <v>45909.0</v>
      </c>
      <c r="C849" s="55" t="s">
        <v>46</v>
      </c>
      <c r="D849" s="33" t="s">
        <v>31</v>
      </c>
      <c r="E849" s="33" t="s">
        <v>866</v>
      </c>
      <c r="F849" s="33" t="s">
        <v>318</v>
      </c>
      <c r="G849" s="33" t="s">
        <v>862</v>
      </c>
      <c r="H849" s="33">
        <v>3.51298320099919E14</v>
      </c>
      <c r="I849" s="34" t="s">
        <v>889</v>
      </c>
      <c r="J849" s="35"/>
      <c r="K849" s="59"/>
      <c r="L849" s="35"/>
      <c r="M849" s="35"/>
      <c r="N849" s="31"/>
      <c r="O849" s="42"/>
      <c r="P849" s="35"/>
      <c r="Q849" s="35"/>
      <c r="R849" s="31"/>
      <c r="S849" s="31"/>
      <c r="T849" s="31"/>
      <c r="U849" s="31"/>
    </row>
    <row r="850">
      <c r="A850" s="31"/>
      <c r="B850" s="32">
        <v>45909.0</v>
      </c>
      <c r="C850" s="55" t="s">
        <v>46</v>
      </c>
      <c r="D850" s="33" t="s">
        <v>31</v>
      </c>
      <c r="E850" s="33" t="s">
        <v>866</v>
      </c>
      <c r="F850" s="33" t="s">
        <v>318</v>
      </c>
      <c r="G850" s="33" t="s">
        <v>862</v>
      </c>
      <c r="H850" s="33">
        <v>3.51298320099752E14</v>
      </c>
      <c r="I850" s="34" t="s">
        <v>889</v>
      </c>
      <c r="J850" s="35"/>
      <c r="K850" s="59"/>
      <c r="L850" s="35"/>
      <c r="M850" s="35"/>
      <c r="N850" s="31"/>
      <c r="O850" s="42"/>
      <c r="P850" s="35"/>
      <c r="Q850" s="35"/>
      <c r="R850" s="31"/>
      <c r="S850" s="31"/>
      <c r="T850" s="31"/>
      <c r="U850" s="31"/>
    </row>
    <row r="851">
      <c r="A851" s="31"/>
      <c r="B851" s="32">
        <v>45909.0</v>
      </c>
      <c r="C851" s="55" t="s">
        <v>46</v>
      </c>
      <c r="D851" s="33" t="s">
        <v>31</v>
      </c>
      <c r="E851" s="33" t="s">
        <v>866</v>
      </c>
      <c r="F851" s="33" t="s">
        <v>318</v>
      </c>
      <c r="G851" s="33" t="s">
        <v>862</v>
      </c>
      <c r="H851" s="33">
        <v>3.51298320099224E14</v>
      </c>
      <c r="I851" s="34" t="s">
        <v>78</v>
      </c>
      <c r="J851" s="35"/>
      <c r="K851" s="59"/>
      <c r="L851" s="35"/>
      <c r="M851" s="35"/>
      <c r="N851" s="31"/>
      <c r="O851" s="42"/>
      <c r="P851" s="35"/>
      <c r="Q851" s="35"/>
      <c r="R851" s="31"/>
      <c r="S851" s="31"/>
      <c r="T851" s="31"/>
      <c r="U851" s="31"/>
    </row>
    <row r="852">
      <c r="A852" s="31"/>
      <c r="B852" s="32">
        <v>45909.0</v>
      </c>
      <c r="C852" s="55" t="s">
        <v>46</v>
      </c>
      <c r="D852" s="33" t="s">
        <v>31</v>
      </c>
      <c r="E852" s="33" t="s">
        <v>866</v>
      </c>
      <c r="F852" s="33" t="s">
        <v>318</v>
      </c>
      <c r="G852" s="33" t="s">
        <v>862</v>
      </c>
      <c r="H852" s="33">
        <v>3.51298320104693E14</v>
      </c>
      <c r="I852" s="34" t="s">
        <v>889</v>
      </c>
      <c r="J852" s="35"/>
      <c r="K852" s="59"/>
      <c r="L852" s="35"/>
      <c r="M852" s="35"/>
      <c r="N852" s="31"/>
      <c r="O852" s="42"/>
      <c r="P852" s="35"/>
      <c r="Q852" s="35"/>
      <c r="R852" s="31"/>
      <c r="S852" s="31"/>
      <c r="T852" s="31"/>
      <c r="U852" s="31"/>
    </row>
    <row r="853">
      <c r="A853" s="31"/>
      <c r="B853" s="32">
        <v>45909.0</v>
      </c>
      <c r="C853" s="55" t="s">
        <v>46</v>
      </c>
      <c r="D853" s="33" t="s">
        <v>31</v>
      </c>
      <c r="E853" s="33" t="s">
        <v>866</v>
      </c>
      <c r="F853" s="33" t="s">
        <v>318</v>
      </c>
      <c r="G853" s="33" t="s">
        <v>862</v>
      </c>
      <c r="H853" s="33">
        <v>3.51298320107845E14</v>
      </c>
      <c r="I853" s="34" t="s">
        <v>889</v>
      </c>
      <c r="J853" s="35"/>
      <c r="K853" s="59"/>
      <c r="L853" s="35"/>
      <c r="M853" s="35"/>
      <c r="N853" s="31"/>
      <c r="O853" s="42"/>
      <c r="P853" s="35"/>
      <c r="Q853" s="35"/>
      <c r="R853" s="31"/>
      <c r="S853" s="31"/>
      <c r="T853" s="31"/>
      <c r="U853" s="31"/>
    </row>
    <row r="854">
      <c r="A854" s="31"/>
      <c r="B854" s="32">
        <v>45909.0</v>
      </c>
      <c r="C854" s="55" t="s">
        <v>46</v>
      </c>
      <c r="D854" s="33" t="s">
        <v>31</v>
      </c>
      <c r="E854" s="33" t="s">
        <v>866</v>
      </c>
      <c r="F854" s="33" t="s">
        <v>318</v>
      </c>
      <c r="G854" s="33" t="s">
        <v>862</v>
      </c>
      <c r="H854" s="33">
        <v>3.51298320105344E14</v>
      </c>
      <c r="I854" s="34" t="s">
        <v>889</v>
      </c>
      <c r="J854" s="35"/>
      <c r="K854" s="59"/>
      <c r="L854" s="35"/>
      <c r="M854" s="35"/>
      <c r="N854" s="31"/>
      <c r="O854" s="42"/>
      <c r="P854" s="35"/>
      <c r="Q854" s="35"/>
      <c r="R854" s="31"/>
      <c r="S854" s="31"/>
      <c r="T854" s="31"/>
      <c r="U854" s="31"/>
    </row>
    <row r="855">
      <c r="A855" s="31"/>
      <c r="B855" s="32">
        <v>45911.0</v>
      </c>
      <c r="C855" s="55" t="s">
        <v>890</v>
      </c>
      <c r="D855" s="33" t="s">
        <v>25</v>
      </c>
      <c r="E855" s="33" t="s">
        <v>891</v>
      </c>
      <c r="F855" s="35"/>
      <c r="G855" s="33" t="s">
        <v>784</v>
      </c>
      <c r="H855" s="33" t="s">
        <v>892</v>
      </c>
      <c r="I855" s="34" t="s">
        <v>78</v>
      </c>
      <c r="J855" s="35"/>
      <c r="K855" s="58" t="s">
        <v>11</v>
      </c>
      <c r="L855" s="35"/>
      <c r="M855" s="35"/>
      <c r="N855" s="31"/>
      <c r="O855" s="42"/>
      <c r="P855" s="35"/>
      <c r="Q855" s="35"/>
      <c r="R855" s="31"/>
      <c r="S855" s="31"/>
      <c r="T855" s="31"/>
      <c r="U855" s="31"/>
    </row>
    <row r="856">
      <c r="A856" s="31"/>
      <c r="B856" s="32">
        <v>45911.0</v>
      </c>
      <c r="C856" s="55" t="s">
        <v>890</v>
      </c>
      <c r="D856" s="33" t="s">
        <v>25</v>
      </c>
      <c r="E856" s="33" t="s">
        <v>891</v>
      </c>
      <c r="F856" s="35"/>
      <c r="G856" s="33" t="s">
        <v>789</v>
      </c>
      <c r="H856" s="33" t="s">
        <v>893</v>
      </c>
      <c r="I856" s="34" t="s">
        <v>78</v>
      </c>
      <c r="J856" s="35"/>
      <c r="K856" s="58" t="s">
        <v>11</v>
      </c>
      <c r="L856" s="35"/>
      <c r="M856" s="35"/>
      <c r="N856" s="31"/>
      <c r="O856" s="42"/>
      <c r="P856" s="35"/>
      <c r="Q856" s="35"/>
      <c r="R856" s="31"/>
      <c r="S856" s="31"/>
      <c r="T856" s="31"/>
      <c r="U856" s="31"/>
    </row>
    <row r="857">
      <c r="A857" s="31"/>
      <c r="B857" s="32">
        <v>45911.0</v>
      </c>
      <c r="C857" s="55" t="s">
        <v>890</v>
      </c>
      <c r="D857" s="33" t="s">
        <v>25</v>
      </c>
      <c r="E857" s="33" t="s">
        <v>891</v>
      </c>
      <c r="F857" s="35"/>
      <c r="G857" s="33" t="s">
        <v>789</v>
      </c>
      <c r="H857" s="33" t="s">
        <v>894</v>
      </c>
      <c r="I857" s="34" t="s">
        <v>895</v>
      </c>
      <c r="J857" s="35"/>
      <c r="K857" s="58" t="s">
        <v>11</v>
      </c>
      <c r="L857" s="35"/>
      <c r="M857" s="35"/>
      <c r="N857" s="31"/>
      <c r="O857" s="42"/>
      <c r="P857" s="35"/>
      <c r="Q857" s="35"/>
      <c r="R857" s="31"/>
      <c r="S857" s="31"/>
      <c r="T857" s="31"/>
      <c r="U857" s="31"/>
    </row>
    <row r="858">
      <c r="A858" s="31"/>
      <c r="B858" s="32">
        <v>45911.0</v>
      </c>
      <c r="C858" s="55" t="s">
        <v>890</v>
      </c>
      <c r="D858" s="33" t="s">
        <v>25</v>
      </c>
      <c r="E858" s="33" t="s">
        <v>891</v>
      </c>
      <c r="F858" s="35"/>
      <c r="G858" s="33" t="s">
        <v>789</v>
      </c>
      <c r="H858" s="33" t="s">
        <v>896</v>
      </c>
      <c r="I858" s="34" t="s">
        <v>78</v>
      </c>
      <c r="J858" s="35"/>
      <c r="K858" s="58" t="s">
        <v>11</v>
      </c>
      <c r="L858" s="35"/>
      <c r="M858" s="35"/>
      <c r="N858" s="31"/>
      <c r="O858" s="42"/>
      <c r="P858" s="35"/>
      <c r="Q858" s="35"/>
      <c r="R858" s="31"/>
      <c r="S858" s="31"/>
      <c r="T858" s="31"/>
      <c r="U858" s="31"/>
    </row>
    <row r="859">
      <c r="A859" s="31"/>
      <c r="B859" s="32">
        <v>45911.0</v>
      </c>
      <c r="C859" s="55" t="s">
        <v>890</v>
      </c>
      <c r="D859" s="33" t="s">
        <v>25</v>
      </c>
      <c r="E859" s="33" t="s">
        <v>891</v>
      </c>
      <c r="F859" s="35"/>
      <c r="G859" s="33" t="s">
        <v>784</v>
      </c>
      <c r="H859" s="33" t="s">
        <v>897</v>
      </c>
      <c r="I859" s="34" t="s">
        <v>898</v>
      </c>
      <c r="J859" s="35"/>
      <c r="K859" s="58" t="s">
        <v>11</v>
      </c>
      <c r="L859" s="35"/>
      <c r="M859" s="35"/>
      <c r="N859" s="31"/>
      <c r="O859" s="42"/>
      <c r="P859" s="35"/>
      <c r="Q859" s="35"/>
      <c r="R859" s="31"/>
      <c r="S859" s="31"/>
      <c r="T859" s="31"/>
      <c r="U859" s="31"/>
    </row>
    <row r="860">
      <c r="A860" s="31"/>
      <c r="B860" s="32">
        <v>45911.0</v>
      </c>
      <c r="C860" s="55" t="s">
        <v>890</v>
      </c>
      <c r="D860" s="33" t="s">
        <v>25</v>
      </c>
      <c r="E860" s="33" t="s">
        <v>891</v>
      </c>
      <c r="F860" s="35"/>
      <c r="G860" s="33" t="s">
        <v>784</v>
      </c>
      <c r="H860" s="33" t="s">
        <v>899</v>
      </c>
      <c r="I860" s="34" t="s">
        <v>900</v>
      </c>
      <c r="J860" s="35"/>
      <c r="K860" s="58" t="s">
        <v>11</v>
      </c>
      <c r="L860" s="35"/>
      <c r="M860" s="35"/>
      <c r="N860" s="31"/>
      <c r="O860" s="42"/>
      <c r="P860" s="35"/>
      <c r="Q860" s="35"/>
      <c r="R860" s="31"/>
      <c r="S860" s="31"/>
      <c r="T860" s="31"/>
      <c r="U860" s="31"/>
    </row>
    <row r="861">
      <c r="A861" s="31"/>
      <c r="B861" s="32">
        <v>45911.0</v>
      </c>
      <c r="C861" s="55" t="s">
        <v>890</v>
      </c>
      <c r="D861" s="33" t="s">
        <v>25</v>
      </c>
      <c r="E861" s="33" t="s">
        <v>891</v>
      </c>
      <c r="F861" s="35"/>
      <c r="G861" s="33" t="s">
        <v>784</v>
      </c>
      <c r="H861" s="33" t="s">
        <v>901</v>
      </c>
      <c r="I861" s="34" t="s">
        <v>895</v>
      </c>
      <c r="J861" s="35"/>
      <c r="K861" s="58" t="s">
        <v>11</v>
      </c>
      <c r="L861" s="35"/>
      <c r="M861" s="35"/>
      <c r="N861" s="31"/>
      <c r="O861" s="42"/>
      <c r="P861" s="35"/>
      <c r="Q861" s="35"/>
      <c r="R861" s="31"/>
      <c r="S861" s="31"/>
      <c r="T861" s="31"/>
      <c r="U861" s="31"/>
    </row>
    <row r="862">
      <c r="A862" s="31"/>
      <c r="B862" s="32">
        <v>45911.0</v>
      </c>
      <c r="C862" s="55" t="s">
        <v>890</v>
      </c>
      <c r="D862" s="33" t="s">
        <v>25</v>
      </c>
      <c r="E862" s="33" t="s">
        <v>891</v>
      </c>
      <c r="F862" s="35"/>
      <c r="G862" s="33" t="s">
        <v>789</v>
      </c>
      <c r="H862" s="33" t="s">
        <v>902</v>
      </c>
      <c r="I862" s="34" t="s">
        <v>895</v>
      </c>
      <c r="J862" s="35"/>
      <c r="K862" s="58" t="s">
        <v>11</v>
      </c>
      <c r="L862" s="35"/>
      <c r="M862" s="35"/>
      <c r="N862" s="31"/>
      <c r="O862" s="42"/>
      <c r="P862" s="35"/>
      <c r="Q862" s="35"/>
      <c r="R862" s="31"/>
      <c r="S862" s="31"/>
      <c r="T862" s="31"/>
      <c r="U862" s="31"/>
    </row>
    <row r="863">
      <c r="A863" s="31"/>
      <c r="B863" s="32">
        <v>45911.0</v>
      </c>
      <c r="C863" s="55" t="s">
        <v>890</v>
      </c>
      <c r="D863" s="33" t="s">
        <v>25</v>
      </c>
      <c r="E863" s="33" t="s">
        <v>891</v>
      </c>
      <c r="F863" s="35"/>
      <c r="G863" s="33" t="s">
        <v>789</v>
      </c>
      <c r="H863" s="62" t="s">
        <v>893</v>
      </c>
      <c r="I863" s="34" t="s">
        <v>86</v>
      </c>
      <c r="J863" s="33" t="s">
        <v>903</v>
      </c>
      <c r="K863" s="58" t="s">
        <v>11</v>
      </c>
      <c r="L863" s="35"/>
      <c r="M863" s="35"/>
      <c r="N863" s="31"/>
      <c r="O863" s="42"/>
      <c r="P863" s="35"/>
      <c r="Q863" s="35"/>
      <c r="R863" s="31"/>
      <c r="S863" s="31"/>
      <c r="T863" s="31"/>
      <c r="U863" s="31"/>
    </row>
    <row r="864">
      <c r="A864" s="31"/>
      <c r="B864" s="32">
        <v>45911.0</v>
      </c>
      <c r="C864" s="55" t="s">
        <v>890</v>
      </c>
      <c r="D864" s="33" t="s">
        <v>25</v>
      </c>
      <c r="E864" s="33" t="s">
        <v>891</v>
      </c>
      <c r="F864" s="35"/>
      <c r="G864" s="33" t="s">
        <v>789</v>
      </c>
      <c r="H864" s="62" t="s">
        <v>897</v>
      </c>
      <c r="I864" s="34" t="s">
        <v>78</v>
      </c>
      <c r="J864" s="35"/>
      <c r="K864" s="58" t="s">
        <v>11</v>
      </c>
      <c r="L864" s="35"/>
      <c r="M864" s="35"/>
      <c r="N864" s="31"/>
      <c r="O864" s="42"/>
      <c r="P864" s="35"/>
      <c r="Q864" s="35"/>
      <c r="R864" s="31"/>
      <c r="S864" s="31"/>
      <c r="T864" s="31"/>
      <c r="U864" s="31"/>
    </row>
    <row r="865">
      <c r="A865" s="31"/>
      <c r="B865" s="32">
        <v>45911.0</v>
      </c>
      <c r="C865" s="55" t="s">
        <v>890</v>
      </c>
      <c r="D865" s="33" t="s">
        <v>25</v>
      </c>
      <c r="E865" s="33" t="s">
        <v>891</v>
      </c>
      <c r="F865" s="35"/>
      <c r="G865" s="33" t="s">
        <v>789</v>
      </c>
      <c r="H865" s="62" t="s">
        <v>901</v>
      </c>
      <c r="I865" s="34" t="s">
        <v>895</v>
      </c>
      <c r="J865" s="35"/>
      <c r="K865" s="58" t="s">
        <v>11</v>
      </c>
      <c r="L865" s="35"/>
      <c r="M865" s="35"/>
      <c r="N865" s="31"/>
      <c r="O865" s="42"/>
      <c r="P865" s="35"/>
      <c r="Q865" s="35"/>
      <c r="R865" s="31"/>
      <c r="S865" s="31"/>
      <c r="T865" s="31"/>
      <c r="U865" s="31"/>
    </row>
    <row r="866">
      <c r="A866" s="31"/>
      <c r="B866" s="32">
        <v>45911.0</v>
      </c>
      <c r="C866" s="55" t="s">
        <v>890</v>
      </c>
      <c r="D866" s="33" t="s">
        <v>25</v>
      </c>
      <c r="E866" s="33" t="s">
        <v>891</v>
      </c>
      <c r="F866" s="35"/>
      <c r="G866" s="33" t="s">
        <v>789</v>
      </c>
      <c r="H866" s="62" t="s">
        <v>902</v>
      </c>
      <c r="I866" s="34" t="s">
        <v>895</v>
      </c>
      <c r="J866" s="33" t="s">
        <v>904</v>
      </c>
      <c r="K866" s="58" t="s">
        <v>11</v>
      </c>
      <c r="L866" s="35"/>
      <c r="M866" s="35"/>
      <c r="N866" s="31"/>
      <c r="O866" s="42"/>
      <c r="P866" s="35"/>
      <c r="Q866" s="35"/>
      <c r="R866" s="31"/>
      <c r="S866" s="31"/>
      <c r="T866" s="31"/>
      <c r="U866" s="31"/>
    </row>
    <row r="867">
      <c r="A867" s="31"/>
      <c r="B867" s="32">
        <v>45911.0</v>
      </c>
      <c r="C867" s="55" t="s">
        <v>46</v>
      </c>
      <c r="D867" s="33" t="s">
        <v>44</v>
      </c>
      <c r="E867" s="33" t="s">
        <v>905</v>
      </c>
      <c r="F867" s="35"/>
      <c r="G867" s="33" t="s">
        <v>133</v>
      </c>
      <c r="H867" s="33" t="s">
        <v>552</v>
      </c>
      <c r="I867" s="34" t="s">
        <v>78</v>
      </c>
      <c r="J867" s="35"/>
      <c r="K867" s="59"/>
      <c r="L867" s="35"/>
      <c r="M867" s="35"/>
      <c r="N867" s="31"/>
      <c r="O867" s="42"/>
      <c r="P867" s="35"/>
      <c r="Q867" s="35"/>
      <c r="R867" s="31"/>
      <c r="S867" s="31"/>
      <c r="T867" s="31"/>
      <c r="U867" s="31"/>
    </row>
    <row r="868">
      <c r="A868" s="31"/>
      <c r="B868" s="32">
        <v>45911.0</v>
      </c>
      <c r="C868" s="55" t="s">
        <v>46</v>
      </c>
      <c r="D868" s="33" t="s">
        <v>31</v>
      </c>
      <c r="E868" s="33" t="s">
        <v>906</v>
      </c>
      <c r="F868" s="33" t="s">
        <v>907</v>
      </c>
      <c r="G868" s="33" t="s">
        <v>122</v>
      </c>
      <c r="H868" s="33">
        <v>3.53892182042898E14</v>
      </c>
      <c r="I868" s="34" t="s">
        <v>78</v>
      </c>
      <c r="J868" s="35"/>
      <c r="K868" s="59"/>
      <c r="L868" s="35"/>
      <c r="M868" s="35"/>
      <c r="N868" s="31"/>
      <c r="O868" s="42"/>
      <c r="P868" s="35"/>
      <c r="Q868" s="35"/>
      <c r="R868" s="31"/>
      <c r="S868" s="31"/>
      <c r="T868" s="31"/>
      <c r="U868" s="31"/>
    </row>
    <row r="869">
      <c r="A869" s="31"/>
      <c r="B869" s="32">
        <v>45911.0</v>
      </c>
      <c r="C869" s="55" t="s">
        <v>46</v>
      </c>
      <c r="D869" s="33" t="s">
        <v>31</v>
      </c>
      <c r="E869" s="33" t="s">
        <v>863</v>
      </c>
      <c r="F869" s="33" t="s">
        <v>318</v>
      </c>
      <c r="G869" s="33" t="s">
        <v>263</v>
      </c>
      <c r="H869" s="33">
        <v>3.54922130006072E14</v>
      </c>
      <c r="I869" s="34" t="s">
        <v>78</v>
      </c>
      <c r="J869" s="35"/>
      <c r="K869" s="59"/>
      <c r="L869" s="35"/>
      <c r="M869" s="35"/>
      <c r="N869" s="31"/>
      <c r="O869" s="42"/>
      <c r="P869" s="35"/>
      <c r="Q869" s="35"/>
      <c r="R869" s="31"/>
      <c r="S869" s="31"/>
      <c r="T869" s="31"/>
      <c r="U869" s="31"/>
    </row>
    <row r="870">
      <c r="A870" s="31"/>
      <c r="B870" s="32">
        <v>45911.0</v>
      </c>
      <c r="C870" s="55" t="s">
        <v>46</v>
      </c>
      <c r="D870" s="33" t="s">
        <v>31</v>
      </c>
      <c r="E870" s="33" t="s">
        <v>863</v>
      </c>
      <c r="F870" s="33" t="s">
        <v>318</v>
      </c>
      <c r="G870" s="33" t="s">
        <v>263</v>
      </c>
      <c r="H870" s="33">
        <v>3.54922130003061E14</v>
      </c>
      <c r="I870" s="34" t="s">
        <v>78</v>
      </c>
      <c r="J870" s="33" t="s">
        <v>908</v>
      </c>
      <c r="K870" s="59"/>
      <c r="L870" s="35"/>
      <c r="M870" s="35"/>
      <c r="N870" s="31"/>
      <c r="O870" s="42"/>
      <c r="P870" s="35"/>
      <c r="Q870" s="35"/>
      <c r="R870" s="31"/>
      <c r="S870" s="31"/>
      <c r="T870" s="31"/>
      <c r="U870" s="31"/>
    </row>
    <row r="871">
      <c r="A871" s="31"/>
      <c r="B871" s="32">
        <v>45911.0</v>
      </c>
      <c r="C871" s="55" t="s">
        <v>46</v>
      </c>
      <c r="D871" s="33" t="s">
        <v>31</v>
      </c>
      <c r="E871" s="33" t="s">
        <v>863</v>
      </c>
      <c r="F871" s="33" t="s">
        <v>318</v>
      </c>
      <c r="G871" s="33" t="s">
        <v>263</v>
      </c>
      <c r="H871" s="33">
        <v>3.54922130008466E14</v>
      </c>
      <c r="I871" s="34" t="s">
        <v>78</v>
      </c>
      <c r="J871" s="35"/>
      <c r="K871" s="59"/>
      <c r="L871" s="35"/>
      <c r="M871" s="35"/>
      <c r="N871" s="31"/>
      <c r="O871" s="42"/>
      <c r="P871" s="35"/>
      <c r="Q871" s="35"/>
      <c r="R871" s="31"/>
      <c r="S871" s="31"/>
      <c r="T871" s="31"/>
      <c r="U871" s="31"/>
    </row>
    <row r="872">
      <c r="A872" s="31"/>
      <c r="B872" s="32">
        <v>45911.0</v>
      </c>
      <c r="C872" s="55" t="s">
        <v>46</v>
      </c>
      <c r="D872" s="33" t="s">
        <v>31</v>
      </c>
      <c r="E872" s="33" t="s">
        <v>863</v>
      </c>
      <c r="F872" s="33" t="s">
        <v>318</v>
      </c>
      <c r="G872" s="33" t="s">
        <v>263</v>
      </c>
      <c r="H872" s="33">
        <v>3.54922130007187E14</v>
      </c>
      <c r="I872" s="34" t="s">
        <v>78</v>
      </c>
      <c r="J872" s="35"/>
      <c r="K872" s="59"/>
      <c r="L872" s="35"/>
      <c r="M872" s="35"/>
      <c r="N872" s="31"/>
      <c r="O872" s="42"/>
      <c r="P872" s="35"/>
      <c r="Q872" s="35"/>
      <c r="R872" s="31"/>
      <c r="S872" s="31"/>
      <c r="T872" s="31"/>
      <c r="U872" s="31"/>
    </row>
    <row r="873">
      <c r="A873" s="31"/>
      <c r="B873" s="32">
        <v>45912.0</v>
      </c>
      <c r="C873" s="55" t="s">
        <v>24</v>
      </c>
      <c r="D873" s="33" t="s">
        <v>31</v>
      </c>
      <c r="E873" s="33" t="s">
        <v>866</v>
      </c>
      <c r="F873" s="33" t="s">
        <v>318</v>
      </c>
      <c r="G873" s="33" t="s">
        <v>862</v>
      </c>
      <c r="H873" s="33">
        <v>3.51298320095305E14</v>
      </c>
      <c r="I873" s="34" t="s">
        <v>78</v>
      </c>
      <c r="J873" s="35"/>
      <c r="K873" s="59"/>
      <c r="L873" s="35"/>
      <c r="M873" s="35"/>
      <c r="N873" s="31"/>
      <c r="O873" s="42"/>
      <c r="P873" s="35"/>
      <c r="Q873" s="35"/>
      <c r="R873" s="31"/>
      <c r="S873" s="31"/>
      <c r="T873" s="31"/>
      <c r="U873" s="31"/>
    </row>
    <row r="874">
      <c r="A874" s="31"/>
      <c r="B874" s="32">
        <v>45912.0</v>
      </c>
      <c r="C874" s="55" t="s">
        <v>24</v>
      </c>
      <c r="D874" s="33" t="s">
        <v>31</v>
      </c>
      <c r="E874" s="33" t="s">
        <v>866</v>
      </c>
      <c r="F874" s="33" t="s">
        <v>318</v>
      </c>
      <c r="G874" s="33" t="s">
        <v>862</v>
      </c>
      <c r="H874" s="33">
        <v>3.51298320095065E14</v>
      </c>
      <c r="I874" s="34" t="s">
        <v>78</v>
      </c>
      <c r="J874" s="33" t="s">
        <v>909</v>
      </c>
      <c r="K874" s="59"/>
      <c r="L874" s="35"/>
      <c r="M874" s="35"/>
      <c r="N874" s="31"/>
      <c r="O874" s="42"/>
      <c r="P874" s="35"/>
      <c r="Q874" s="35"/>
      <c r="R874" s="31"/>
      <c r="S874" s="31"/>
      <c r="T874" s="31"/>
      <c r="U874" s="31"/>
    </row>
    <row r="875">
      <c r="A875" s="31"/>
      <c r="B875" s="32">
        <v>45912.0</v>
      </c>
      <c r="C875" s="55" t="s">
        <v>24</v>
      </c>
      <c r="D875" s="33" t="s">
        <v>31</v>
      </c>
      <c r="E875" s="33" t="s">
        <v>866</v>
      </c>
      <c r="F875" s="33" t="s">
        <v>318</v>
      </c>
      <c r="G875" s="33" t="s">
        <v>862</v>
      </c>
      <c r="H875" s="33">
        <v>3.51298320096238E14</v>
      </c>
      <c r="I875" s="34" t="s">
        <v>78</v>
      </c>
      <c r="J875" s="33" t="s">
        <v>453</v>
      </c>
      <c r="K875" s="59"/>
      <c r="L875" s="35"/>
      <c r="M875" s="35"/>
      <c r="N875" s="31"/>
      <c r="O875" s="42"/>
      <c r="P875" s="35"/>
      <c r="Q875" s="35"/>
      <c r="R875" s="31"/>
      <c r="S875" s="31"/>
      <c r="T875" s="31"/>
      <c r="U875" s="31"/>
    </row>
    <row r="876">
      <c r="A876" s="31"/>
      <c r="B876" s="32">
        <v>45912.0</v>
      </c>
      <c r="C876" s="55" t="s">
        <v>24</v>
      </c>
      <c r="D876" s="33" t="s">
        <v>31</v>
      </c>
      <c r="E876" s="33" t="s">
        <v>866</v>
      </c>
      <c r="F876" s="33" t="s">
        <v>318</v>
      </c>
      <c r="G876" s="33" t="s">
        <v>862</v>
      </c>
      <c r="H876" s="63">
        <v>3.50009E14</v>
      </c>
      <c r="I876" s="34" t="s">
        <v>78</v>
      </c>
      <c r="J876" s="35"/>
      <c r="K876" s="59"/>
      <c r="L876" s="35"/>
      <c r="M876" s="35"/>
      <c r="N876" s="31"/>
      <c r="O876" s="42"/>
      <c r="P876" s="35"/>
      <c r="Q876" s="35"/>
      <c r="R876" s="31"/>
      <c r="S876" s="31"/>
      <c r="T876" s="31"/>
      <c r="U876" s="31"/>
    </row>
    <row r="877">
      <c r="A877" s="31"/>
      <c r="B877" s="32">
        <v>45912.0</v>
      </c>
      <c r="C877" s="55" t="s">
        <v>24</v>
      </c>
      <c r="D877" s="33" t="s">
        <v>31</v>
      </c>
      <c r="E877" s="33" t="s">
        <v>866</v>
      </c>
      <c r="F877" s="33" t="s">
        <v>318</v>
      </c>
      <c r="G877" s="33" t="s">
        <v>862</v>
      </c>
      <c r="H877" s="33">
        <v>3.5129832010041E14</v>
      </c>
      <c r="I877" s="34" t="s">
        <v>78</v>
      </c>
      <c r="J877" s="33" t="s">
        <v>910</v>
      </c>
      <c r="K877" s="59"/>
      <c r="L877" s="35"/>
      <c r="M877" s="35"/>
      <c r="N877" s="31"/>
      <c r="O877" s="42"/>
      <c r="P877" s="35"/>
      <c r="Q877" s="35"/>
      <c r="R877" s="31"/>
      <c r="S877" s="31"/>
      <c r="T877" s="31"/>
      <c r="U877" s="31"/>
    </row>
    <row r="878">
      <c r="A878" s="31"/>
      <c r="B878" s="32">
        <v>45912.0</v>
      </c>
      <c r="C878" s="55" t="s">
        <v>24</v>
      </c>
      <c r="D878" s="33" t="s">
        <v>31</v>
      </c>
      <c r="E878" s="33" t="s">
        <v>866</v>
      </c>
      <c r="F878" s="33" t="s">
        <v>318</v>
      </c>
      <c r="G878" s="33" t="s">
        <v>862</v>
      </c>
      <c r="H878" s="33">
        <v>3.51298320096071E14</v>
      </c>
      <c r="I878" s="34" t="s">
        <v>78</v>
      </c>
      <c r="J878" s="33" t="s">
        <v>911</v>
      </c>
      <c r="K878" s="59"/>
      <c r="L878" s="35"/>
      <c r="M878" s="35"/>
      <c r="N878" s="31"/>
      <c r="O878" s="42"/>
      <c r="P878" s="35"/>
      <c r="Q878" s="35"/>
      <c r="R878" s="31"/>
      <c r="S878" s="31"/>
      <c r="T878" s="31"/>
      <c r="U878" s="31"/>
    </row>
    <row r="879">
      <c r="A879" s="31"/>
      <c r="B879" s="32">
        <v>45912.0</v>
      </c>
      <c r="C879" s="55" t="s">
        <v>24</v>
      </c>
      <c r="D879" s="33" t="s">
        <v>31</v>
      </c>
      <c r="E879" s="33" t="s">
        <v>866</v>
      </c>
      <c r="F879" s="33" t="s">
        <v>318</v>
      </c>
      <c r="G879" s="33" t="s">
        <v>862</v>
      </c>
      <c r="H879" s="33">
        <v>3.5129832009778E14</v>
      </c>
      <c r="I879" s="34" t="s">
        <v>78</v>
      </c>
      <c r="J879" s="33" t="s">
        <v>369</v>
      </c>
      <c r="K879" s="59"/>
      <c r="L879" s="35"/>
      <c r="M879" s="35"/>
      <c r="N879" s="31"/>
      <c r="O879" s="42"/>
      <c r="P879" s="35"/>
      <c r="Q879" s="35"/>
      <c r="R879" s="31"/>
      <c r="S879" s="31"/>
      <c r="T879" s="31"/>
      <c r="U879" s="31"/>
    </row>
    <row r="880">
      <c r="A880" s="31"/>
      <c r="B880" s="32">
        <v>45912.0</v>
      </c>
      <c r="C880" s="55" t="s">
        <v>24</v>
      </c>
      <c r="D880" s="33" t="s">
        <v>31</v>
      </c>
      <c r="E880" s="33" t="s">
        <v>866</v>
      </c>
      <c r="F880" s="33" t="s">
        <v>318</v>
      </c>
      <c r="G880" s="33" t="s">
        <v>874</v>
      </c>
      <c r="H880" s="33">
        <v>3.51298320079291E14</v>
      </c>
      <c r="I880" s="34" t="s">
        <v>78</v>
      </c>
      <c r="J880" s="35"/>
      <c r="K880" s="59"/>
      <c r="L880" s="35"/>
      <c r="M880" s="35"/>
      <c r="N880" s="31"/>
      <c r="O880" s="42"/>
      <c r="P880" s="35"/>
      <c r="Q880" s="35"/>
      <c r="R880" s="31"/>
      <c r="S880" s="31"/>
      <c r="T880" s="31"/>
      <c r="U880" s="31"/>
    </row>
    <row r="881">
      <c r="A881" s="31"/>
      <c r="B881" s="32">
        <v>45912.0</v>
      </c>
      <c r="C881" s="55" t="s">
        <v>24</v>
      </c>
      <c r="D881" s="33" t="s">
        <v>31</v>
      </c>
      <c r="E881" s="33" t="s">
        <v>866</v>
      </c>
      <c r="F881" s="33" t="s">
        <v>318</v>
      </c>
      <c r="G881" s="33" t="s">
        <v>874</v>
      </c>
      <c r="H881" s="33">
        <v>3.51298320091916E14</v>
      </c>
      <c r="I881" s="34" t="s">
        <v>78</v>
      </c>
      <c r="J881" s="35"/>
      <c r="K881" s="59"/>
      <c r="L881" s="35"/>
      <c r="M881" s="35"/>
      <c r="N881" s="31"/>
      <c r="O881" s="42"/>
      <c r="P881" s="35"/>
      <c r="Q881" s="35"/>
      <c r="R881" s="31"/>
      <c r="S881" s="31"/>
      <c r="T881" s="31"/>
      <c r="U881" s="31"/>
    </row>
    <row r="882">
      <c r="A882" s="31"/>
      <c r="B882" s="32">
        <v>45912.0</v>
      </c>
      <c r="C882" s="55" t="s">
        <v>24</v>
      </c>
      <c r="D882" s="33" t="s">
        <v>31</v>
      </c>
      <c r="E882" s="33" t="s">
        <v>866</v>
      </c>
      <c r="F882" s="33" t="s">
        <v>318</v>
      </c>
      <c r="G882" s="33" t="s">
        <v>874</v>
      </c>
      <c r="H882" s="33">
        <v>3.51298320076115E14</v>
      </c>
      <c r="I882" s="34" t="s">
        <v>78</v>
      </c>
      <c r="J882" s="33" t="s">
        <v>912</v>
      </c>
      <c r="K882" s="59"/>
      <c r="L882" s="35"/>
      <c r="M882" s="35"/>
      <c r="N882" s="31"/>
      <c r="O882" s="42"/>
      <c r="P882" s="35"/>
      <c r="Q882" s="35"/>
      <c r="R882" s="31"/>
      <c r="S882" s="31"/>
      <c r="T882" s="31"/>
      <c r="U882" s="31"/>
    </row>
    <row r="883">
      <c r="A883" s="31"/>
      <c r="B883" s="32">
        <v>45912.0</v>
      </c>
      <c r="C883" s="55" t="s">
        <v>24</v>
      </c>
      <c r="D883" s="33" t="s">
        <v>31</v>
      </c>
      <c r="E883" s="33" t="s">
        <v>866</v>
      </c>
      <c r="F883" s="33" t="s">
        <v>318</v>
      </c>
      <c r="G883" s="33" t="s">
        <v>874</v>
      </c>
      <c r="H883" s="33">
        <v>3.51298320074946E14</v>
      </c>
      <c r="I883" s="34" t="s">
        <v>78</v>
      </c>
      <c r="J883" s="34" t="s">
        <v>913</v>
      </c>
      <c r="K883" s="59"/>
      <c r="L883" s="35"/>
      <c r="M883" s="35"/>
      <c r="N883" s="31"/>
      <c r="O883" s="42"/>
      <c r="P883" s="35"/>
      <c r="Q883" s="35"/>
      <c r="R883" s="31"/>
      <c r="S883" s="31"/>
      <c r="T883" s="31"/>
      <c r="U883" s="31"/>
    </row>
    <row r="884">
      <c r="A884" s="31"/>
      <c r="B884" s="32">
        <v>45912.0</v>
      </c>
      <c r="C884" s="55" t="s">
        <v>24</v>
      </c>
      <c r="D884" s="33" t="s">
        <v>31</v>
      </c>
      <c r="E884" s="33" t="s">
        <v>866</v>
      </c>
      <c r="F884" s="33" t="s">
        <v>318</v>
      </c>
      <c r="G884" s="33" t="s">
        <v>874</v>
      </c>
      <c r="H884" s="33">
        <v>3.51298320060812E14</v>
      </c>
      <c r="I884" s="34" t="s">
        <v>78</v>
      </c>
      <c r="J884" s="33" t="s">
        <v>914</v>
      </c>
      <c r="K884" s="59"/>
      <c r="L884" s="35"/>
      <c r="M884" s="35"/>
      <c r="N884" s="31"/>
      <c r="O884" s="42"/>
      <c r="P884" s="35"/>
      <c r="Q884" s="35"/>
      <c r="R884" s="31"/>
      <c r="S884" s="31"/>
      <c r="T884" s="31"/>
      <c r="U884" s="31"/>
    </row>
    <row r="885">
      <c r="A885" s="31"/>
      <c r="B885" s="32">
        <v>45912.0</v>
      </c>
      <c r="C885" s="55" t="s">
        <v>24</v>
      </c>
      <c r="D885" s="33" t="s">
        <v>31</v>
      </c>
      <c r="E885" s="33" t="s">
        <v>866</v>
      </c>
      <c r="F885" s="33" t="s">
        <v>318</v>
      </c>
      <c r="G885" s="33" t="s">
        <v>874</v>
      </c>
      <c r="H885" s="33">
        <v>3.51298320054427E14</v>
      </c>
      <c r="I885" s="34" t="s">
        <v>78</v>
      </c>
      <c r="J885" s="35"/>
      <c r="K885" s="59"/>
      <c r="L885" s="35"/>
      <c r="M885" s="35"/>
      <c r="N885" s="31"/>
      <c r="O885" s="42"/>
      <c r="P885" s="35"/>
      <c r="Q885" s="35"/>
      <c r="R885" s="31"/>
      <c r="S885" s="31"/>
      <c r="T885" s="31"/>
      <c r="U885" s="31"/>
    </row>
    <row r="886">
      <c r="A886" s="31"/>
      <c r="B886" s="32">
        <v>45912.0</v>
      </c>
      <c r="C886" s="55" t="s">
        <v>24</v>
      </c>
      <c r="D886" s="33" t="s">
        <v>31</v>
      </c>
      <c r="E886" s="33" t="s">
        <v>866</v>
      </c>
      <c r="F886" s="33" t="s">
        <v>318</v>
      </c>
      <c r="G886" s="33" t="s">
        <v>874</v>
      </c>
      <c r="H886" s="33">
        <v>3.51298320081115E14</v>
      </c>
      <c r="I886" s="34" t="s">
        <v>78</v>
      </c>
      <c r="J886" s="35"/>
      <c r="K886" s="59"/>
      <c r="L886" s="35"/>
      <c r="M886" s="35"/>
      <c r="N886" s="31"/>
      <c r="O886" s="42"/>
      <c r="P886" s="35"/>
      <c r="Q886" s="35"/>
      <c r="R886" s="31"/>
      <c r="S886" s="31"/>
      <c r="T886" s="31"/>
      <c r="U886" s="31"/>
    </row>
    <row r="887">
      <c r="A887" s="31"/>
      <c r="B887" s="32">
        <v>45912.0</v>
      </c>
      <c r="C887" s="55" t="s">
        <v>24</v>
      </c>
      <c r="D887" s="33" t="s">
        <v>31</v>
      </c>
      <c r="E887" s="33" t="s">
        <v>866</v>
      </c>
      <c r="F887" s="33" t="s">
        <v>318</v>
      </c>
      <c r="G887" s="33" t="s">
        <v>784</v>
      </c>
      <c r="H887" s="33">
        <v>3.51298320003754E14</v>
      </c>
      <c r="I887" s="34" t="s">
        <v>78</v>
      </c>
      <c r="J887" s="33" t="s">
        <v>915</v>
      </c>
      <c r="K887" s="59"/>
      <c r="L887" s="35"/>
      <c r="M887" s="35"/>
      <c r="N887" s="31"/>
      <c r="O887" s="42"/>
      <c r="P887" s="35"/>
      <c r="Q887" s="35"/>
      <c r="R887" s="31"/>
      <c r="S887" s="31"/>
      <c r="T887" s="31"/>
      <c r="U887" s="31"/>
    </row>
    <row r="888">
      <c r="A888" s="31"/>
      <c r="B888" s="32">
        <v>45912.0</v>
      </c>
      <c r="C888" s="55" t="s">
        <v>24</v>
      </c>
      <c r="D888" s="33" t="s">
        <v>31</v>
      </c>
      <c r="E888" s="33" t="s">
        <v>866</v>
      </c>
      <c r="F888" s="33" t="s">
        <v>318</v>
      </c>
      <c r="G888" s="33" t="s">
        <v>784</v>
      </c>
      <c r="H888" s="33">
        <v>3.51298320006815E14</v>
      </c>
      <c r="I888" s="34" t="s">
        <v>78</v>
      </c>
      <c r="J888" s="33" t="s">
        <v>916</v>
      </c>
      <c r="K888" s="59"/>
      <c r="L888" s="35"/>
      <c r="M888" s="35"/>
      <c r="N888" s="31"/>
      <c r="O888" s="42"/>
      <c r="P888" s="35"/>
      <c r="Q888" s="35"/>
      <c r="R888" s="31"/>
      <c r="S888" s="31"/>
      <c r="T888" s="31"/>
      <c r="U888" s="31"/>
    </row>
    <row r="889">
      <c r="A889" s="31"/>
      <c r="B889" s="32">
        <v>45912.0</v>
      </c>
      <c r="C889" s="55" t="s">
        <v>24</v>
      </c>
      <c r="D889" s="33" t="s">
        <v>31</v>
      </c>
      <c r="E889" s="33" t="s">
        <v>866</v>
      </c>
      <c r="F889" s="33" t="s">
        <v>318</v>
      </c>
      <c r="G889" s="33" t="s">
        <v>784</v>
      </c>
      <c r="H889" s="33">
        <v>3.512983200024E14</v>
      </c>
      <c r="I889" s="34" t="s">
        <v>78</v>
      </c>
      <c r="J889" s="33" t="s">
        <v>917</v>
      </c>
      <c r="K889" s="59"/>
      <c r="L889" s="35"/>
      <c r="M889" s="35"/>
      <c r="N889" s="31"/>
      <c r="O889" s="42"/>
      <c r="P889" s="35"/>
      <c r="Q889" s="35"/>
      <c r="R889" s="31"/>
      <c r="S889" s="31"/>
      <c r="T889" s="31"/>
      <c r="U889" s="31"/>
    </row>
    <row r="890">
      <c r="A890" s="31"/>
      <c r="B890" s="32">
        <v>45912.0</v>
      </c>
      <c r="C890" s="55" t="s">
        <v>24</v>
      </c>
      <c r="D890" s="33" t="s">
        <v>31</v>
      </c>
      <c r="E890" s="33" t="s">
        <v>866</v>
      </c>
      <c r="F890" s="33" t="s">
        <v>318</v>
      </c>
      <c r="G890" s="33" t="s">
        <v>784</v>
      </c>
      <c r="H890" s="33">
        <v>3.51298320099109E14</v>
      </c>
      <c r="I890" s="34" t="s">
        <v>78</v>
      </c>
      <c r="J890" s="35"/>
      <c r="K890" s="59"/>
      <c r="L890" s="35"/>
      <c r="M890" s="35"/>
      <c r="N890" s="31"/>
      <c r="O890" s="42"/>
      <c r="P890" s="35"/>
      <c r="Q890" s="35"/>
      <c r="R890" s="31"/>
      <c r="S890" s="31"/>
      <c r="T890" s="31"/>
      <c r="U890" s="31"/>
    </row>
    <row r="891">
      <c r="A891" s="31"/>
      <c r="C891" s="31"/>
      <c r="D891" s="33" t="s">
        <v>31</v>
      </c>
      <c r="E891" s="33" t="s">
        <v>918</v>
      </c>
      <c r="F891" s="33" t="s">
        <v>84</v>
      </c>
      <c r="G891" s="33" t="s">
        <v>721</v>
      </c>
      <c r="H891" s="64">
        <v>3.50009E13</v>
      </c>
      <c r="I891" s="34" t="s">
        <v>86</v>
      </c>
      <c r="J891" s="33" t="s">
        <v>803</v>
      </c>
      <c r="K891" s="59"/>
      <c r="L891" s="35"/>
      <c r="M891" s="35"/>
      <c r="N891" s="31"/>
      <c r="O891" s="42"/>
      <c r="P891" s="35"/>
      <c r="Q891" s="35"/>
      <c r="R891" s="31"/>
      <c r="S891" s="31"/>
      <c r="T891" s="31"/>
      <c r="U891" s="31"/>
    </row>
    <row r="892">
      <c r="A892" s="31"/>
      <c r="C892" s="55" t="s">
        <v>890</v>
      </c>
      <c r="D892" s="33" t="s">
        <v>25</v>
      </c>
      <c r="E892" s="33" t="s">
        <v>891</v>
      </c>
      <c r="F892" s="35"/>
      <c r="G892" s="33" t="s">
        <v>784</v>
      </c>
      <c r="H892" s="33" t="s">
        <v>919</v>
      </c>
      <c r="I892" s="42"/>
      <c r="J892" s="35"/>
      <c r="K892" s="58" t="s">
        <v>19</v>
      </c>
      <c r="L892" s="35"/>
      <c r="M892" s="35"/>
      <c r="N892" s="31"/>
      <c r="O892" s="42"/>
      <c r="P892" s="35"/>
      <c r="Q892" s="35"/>
      <c r="R892" s="31"/>
      <c r="S892" s="31"/>
      <c r="T892" s="31"/>
      <c r="U892" s="31"/>
    </row>
    <row r="893">
      <c r="A893" s="31"/>
      <c r="C893" s="55" t="s">
        <v>890</v>
      </c>
      <c r="D893" s="33" t="s">
        <v>25</v>
      </c>
      <c r="E893" s="33" t="s">
        <v>891</v>
      </c>
      <c r="F893" s="35"/>
      <c r="G893" s="33" t="s">
        <v>784</v>
      </c>
      <c r="H893" s="33" t="s">
        <v>920</v>
      </c>
      <c r="I893" s="42"/>
      <c r="J893" s="35"/>
      <c r="K893" s="58" t="s">
        <v>19</v>
      </c>
      <c r="L893" s="35"/>
      <c r="M893" s="35"/>
      <c r="N893" s="31"/>
      <c r="O893" s="42"/>
      <c r="P893" s="35"/>
      <c r="Q893" s="35"/>
      <c r="R893" s="31"/>
      <c r="S893" s="31"/>
      <c r="T893" s="31"/>
      <c r="U893" s="31"/>
    </row>
    <row r="894">
      <c r="A894" s="31"/>
      <c r="C894" s="55" t="s">
        <v>890</v>
      </c>
      <c r="D894" s="33" t="s">
        <v>25</v>
      </c>
      <c r="E894" s="33" t="s">
        <v>891</v>
      </c>
      <c r="F894" s="35"/>
      <c r="G894" s="33" t="s">
        <v>784</v>
      </c>
      <c r="H894" s="33" t="s">
        <v>921</v>
      </c>
      <c r="I894" s="42"/>
      <c r="J894" s="35"/>
      <c r="K894" s="58" t="s">
        <v>19</v>
      </c>
      <c r="L894" s="35"/>
      <c r="M894" s="35"/>
      <c r="N894" s="31"/>
      <c r="O894" s="42"/>
      <c r="P894" s="35"/>
      <c r="Q894" s="35"/>
      <c r="R894" s="31"/>
      <c r="S894" s="31"/>
      <c r="T894" s="31"/>
      <c r="U894" s="31"/>
    </row>
    <row r="895">
      <c r="A895" s="31"/>
      <c r="C895" s="55" t="s">
        <v>890</v>
      </c>
      <c r="D895" s="33" t="s">
        <v>25</v>
      </c>
      <c r="E895" s="33" t="s">
        <v>891</v>
      </c>
      <c r="F895" s="35"/>
      <c r="G895" s="33" t="s">
        <v>789</v>
      </c>
      <c r="H895" s="33" t="s">
        <v>922</v>
      </c>
      <c r="I895" s="42"/>
      <c r="J895" s="35"/>
      <c r="K895" s="58" t="s">
        <v>19</v>
      </c>
      <c r="L895" s="35"/>
      <c r="M895" s="35"/>
      <c r="N895" s="31"/>
      <c r="O895" s="42"/>
      <c r="P895" s="35"/>
      <c r="Q895" s="35"/>
      <c r="R895" s="31"/>
      <c r="S895" s="31"/>
      <c r="T895" s="31"/>
      <c r="U895" s="31"/>
    </row>
    <row r="896">
      <c r="A896" s="31"/>
      <c r="C896" s="55" t="s">
        <v>890</v>
      </c>
      <c r="D896" s="33" t="s">
        <v>25</v>
      </c>
      <c r="E896" s="33" t="s">
        <v>891</v>
      </c>
      <c r="F896" s="35"/>
      <c r="G896" s="33" t="s">
        <v>789</v>
      </c>
      <c r="H896" s="33" t="s">
        <v>923</v>
      </c>
      <c r="I896" s="42"/>
      <c r="J896" s="35"/>
      <c r="K896" s="58" t="s">
        <v>19</v>
      </c>
      <c r="L896" s="35"/>
      <c r="M896" s="35"/>
      <c r="N896" s="31"/>
      <c r="O896" s="42"/>
      <c r="P896" s="35"/>
      <c r="Q896" s="35"/>
      <c r="R896" s="31"/>
      <c r="S896" s="31"/>
      <c r="T896" s="31"/>
      <c r="U896" s="31"/>
    </row>
    <row r="897">
      <c r="A897" s="31"/>
      <c r="C897" s="55" t="s">
        <v>890</v>
      </c>
      <c r="D897" s="33" t="s">
        <v>25</v>
      </c>
      <c r="E897" s="33" t="s">
        <v>891</v>
      </c>
      <c r="F897" s="35"/>
      <c r="G897" s="33" t="s">
        <v>789</v>
      </c>
      <c r="H897" s="33" t="s">
        <v>924</v>
      </c>
      <c r="I897" s="42"/>
      <c r="J897" s="35"/>
      <c r="K897" s="58" t="s">
        <v>19</v>
      </c>
      <c r="L897" s="35"/>
      <c r="M897" s="35"/>
      <c r="N897" s="31"/>
      <c r="O897" s="42"/>
      <c r="P897" s="35"/>
      <c r="Q897" s="35"/>
      <c r="R897" s="31"/>
      <c r="S897" s="31"/>
      <c r="T897" s="31"/>
      <c r="U897" s="31"/>
    </row>
    <row r="898">
      <c r="A898" s="31"/>
      <c r="C898" s="55" t="s">
        <v>890</v>
      </c>
      <c r="D898" s="33" t="s">
        <v>25</v>
      </c>
      <c r="E898" s="33" t="s">
        <v>891</v>
      </c>
      <c r="F898" s="35"/>
      <c r="G898" s="33" t="s">
        <v>789</v>
      </c>
      <c r="H898" s="33" t="s">
        <v>925</v>
      </c>
      <c r="I898" s="42"/>
      <c r="J898" s="35"/>
      <c r="K898" s="58" t="s">
        <v>19</v>
      </c>
      <c r="L898" s="35"/>
      <c r="M898" s="35"/>
      <c r="N898" s="31"/>
      <c r="O898" s="42"/>
      <c r="P898" s="35"/>
      <c r="Q898" s="35"/>
      <c r="R898" s="31"/>
      <c r="S898" s="31"/>
      <c r="T898" s="31"/>
      <c r="U898" s="31"/>
    </row>
    <row r="899">
      <c r="A899" s="31"/>
      <c r="C899" s="55" t="s">
        <v>890</v>
      </c>
      <c r="D899" s="33" t="s">
        <v>25</v>
      </c>
      <c r="E899" s="33" t="s">
        <v>891</v>
      </c>
      <c r="F899" s="35"/>
      <c r="G899" s="33" t="s">
        <v>789</v>
      </c>
      <c r="H899" s="33" t="s">
        <v>926</v>
      </c>
      <c r="I899" s="42"/>
      <c r="J899" s="35"/>
      <c r="K899" s="58" t="s">
        <v>19</v>
      </c>
      <c r="L899" s="35"/>
      <c r="M899" s="35"/>
      <c r="N899" s="31"/>
      <c r="O899" s="42"/>
      <c r="P899" s="35"/>
      <c r="Q899" s="35"/>
      <c r="R899" s="31"/>
      <c r="S899" s="31"/>
      <c r="T899" s="31"/>
      <c r="U899" s="31"/>
    </row>
    <row r="900">
      <c r="A900" s="31"/>
      <c r="C900" s="55" t="s">
        <v>890</v>
      </c>
      <c r="D900" s="33" t="s">
        <v>25</v>
      </c>
      <c r="E900" s="33" t="s">
        <v>891</v>
      </c>
      <c r="F900" s="35"/>
      <c r="G900" s="33" t="s">
        <v>789</v>
      </c>
      <c r="H900" s="33" t="s">
        <v>927</v>
      </c>
      <c r="I900" s="42"/>
      <c r="J900" s="35"/>
      <c r="K900" s="58" t="s">
        <v>19</v>
      </c>
      <c r="L900" s="35"/>
      <c r="M900" s="35"/>
      <c r="N900" s="31"/>
      <c r="O900" s="42"/>
      <c r="P900" s="35"/>
      <c r="Q900" s="35"/>
      <c r="R900" s="31"/>
      <c r="S900" s="31"/>
      <c r="T900" s="31"/>
      <c r="U900" s="31"/>
    </row>
    <row r="901">
      <c r="A901" s="31"/>
      <c r="C901" s="55" t="s">
        <v>890</v>
      </c>
      <c r="D901" s="33" t="s">
        <v>25</v>
      </c>
      <c r="E901" s="33" t="s">
        <v>891</v>
      </c>
      <c r="F901" s="35"/>
      <c r="G901" s="33" t="s">
        <v>789</v>
      </c>
      <c r="H901" s="33" t="s">
        <v>928</v>
      </c>
      <c r="I901" s="42"/>
      <c r="J901" s="35"/>
      <c r="K901" s="58" t="s">
        <v>19</v>
      </c>
      <c r="L901" s="35"/>
      <c r="M901" s="35"/>
      <c r="N901" s="31"/>
      <c r="O901" s="42"/>
      <c r="P901" s="35"/>
      <c r="Q901" s="35"/>
      <c r="R901" s="31"/>
      <c r="S901" s="31"/>
      <c r="T901" s="31"/>
      <c r="U901" s="31"/>
    </row>
    <row r="902">
      <c r="A902" s="31"/>
      <c r="B902" s="32">
        <v>45916.0</v>
      </c>
      <c r="C902" s="55" t="s">
        <v>48</v>
      </c>
      <c r="D902" s="33" t="s">
        <v>42</v>
      </c>
      <c r="E902" s="33" t="s">
        <v>929</v>
      </c>
      <c r="F902" s="33" t="s">
        <v>84</v>
      </c>
      <c r="G902" s="33" t="s">
        <v>721</v>
      </c>
      <c r="H902" s="33">
        <v>3.58387120009492E14</v>
      </c>
      <c r="I902" s="34" t="s">
        <v>78</v>
      </c>
      <c r="J902" s="35"/>
      <c r="K902" s="59"/>
      <c r="L902" s="35"/>
      <c r="M902" s="35"/>
      <c r="N902" s="31"/>
      <c r="O902" s="42"/>
      <c r="P902" s="35"/>
      <c r="Q902" s="35"/>
      <c r="R902" s="31"/>
      <c r="S902" s="31"/>
      <c r="T902" s="31"/>
      <c r="U902" s="31"/>
    </row>
    <row r="903">
      <c r="A903" s="31"/>
      <c r="B903" s="32">
        <v>45916.0</v>
      </c>
      <c r="C903" s="55" t="s">
        <v>48</v>
      </c>
      <c r="D903" s="33" t="s">
        <v>42</v>
      </c>
      <c r="E903" s="33" t="s">
        <v>929</v>
      </c>
      <c r="F903" s="33" t="s">
        <v>84</v>
      </c>
      <c r="G903" s="33" t="s">
        <v>721</v>
      </c>
      <c r="H903" s="33">
        <v>3.58387120013056E14</v>
      </c>
      <c r="I903" s="34" t="s">
        <v>930</v>
      </c>
      <c r="J903" s="33" t="s">
        <v>931</v>
      </c>
      <c r="K903" s="59"/>
      <c r="L903" s="35"/>
      <c r="M903" s="35"/>
      <c r="N903" s="31"/>
      <c r="O903" s="42"/>
      <c r="P903" s="35"/>
      <c r="Q903" s="35"/>
      <c r="R903" s="31"/>
      <c r="S903" s="31"/>
      <c r="T903" s="31"/>
      <c r="U903" s="31"/>
    </row>
    <row r="904">
      <c r="A904" s="31"/>
      <c r="B904" s="32">
        <v>45916.0</v>
      </c>
      <c r="C904" s="55" t="s">
        <v>48</v>
      </c>
      <c r="D904" s="33" t="s">
        <v>42</v>
      </c>
      <c r="E904" s="33" t="s">
        <v>929</v>
      </c>
      <c r="F904" s="33" t="s">
        <v>84</v>
      </c>
      <c r="G904" s="33" t="s">
        <v>721</v>
      </c>
      <c r="H904" s="33">
        <v>3.58387120010102E14</v>
      </c>
      <c r="I904" s="34" t="s">
        <v>78</v>
      </c>
      <c r="J904" s="35"/>
      <c r="K904" s="59"/>
      <c r="L904" s="35"/>
      <c r="M904" s="35"/>
      <c r="N904" s="31"/>
      <c r="O904" s="42"/>
      <c r="P904" s="35"/>
      <c r="Q904" s="35"/>
      <c r="R904" s="31"/>
      <c r="S904" s="31"/>
      <c r="T904" s="31"/>
      <c r="U904" s="31"/>
    </row>
    <row r="905">
      <c r="A905" s="31"/>
      <c r="B905" s="32">
        <v>45916.0</v>
      </c>
      <c r="C905" s="55" t="s">
        <v>48</v>
      </c>
      <c r="D905" s="33" t="s">
        <v>42</v>
      </c>
      <c r="E905" s="33" t="s">
        <v>932</v>
      </c>
      <c r="F905" s="35"/>
      <c r="G905" s="35"/>
      <c r="H905" s="33" t="s">
        <v>933</v>
      </c>
      <c r="I905" s="34" t="s">
        <v>78</v>
      </c>
      <c r="J905" s="35"/>
      <c r="K905" s="59"/>
      <c r="L905" s="35"/>
      <c r="M905" s="35"/>
      <c r="N905" s="31"/>
      <c r="O905" s="42"/>
      <c r="P905" s="35"/>
      <c r="Q905" s="35"/>
      <c r="R905" s="31"/>
      <c r="S905" s="31"/>
      <c r="T905" s="31"/>
      <c r="U905" s="31"/>
    </row>
    <row r="906">
      <c r="A906" s="31"/>
      <c r="B906" s="32">
        <v>45916.0</v>
      </c>
      <c r="C906" s="55" t="s">
        <v>48</v>
      </c>
      <c r="D906" s="33" t="s">
        <v>42</v>
      </c>
      <c r="E906" s="33" t="s">
        <v>932</v>
      </c>
      <c r="F906" s="35"/>
      <c r="G906" s="35"/>
      <c r="H906" s="33" t="s">
        <v>934</v>
      </c>
      <c r="I906" s="34" t="s">
        <v>78</v>
      </c>
      <c r="J906" s="35"/>
      <c r="K906" s="59"/>
      <c r="L906" s="35"/>
      <c r="M906" s="35"/>
      <c r="N906" s="31"/>
      <c r="O906" s="42"/>
      <c r="P906" s="35"/>
      <c r="Q906" s="35"/>
      <c r="R906" s="31"/>
      <c r="S906" s="31"/>
      <c r="T906" s="31"/>
      <c r="U906" s="31"/>
    </row>
    <row r="907">
      <c r="A907" s="31"/>
      <c r="C907" s="55" t="s">
        <v>890</v>
      </c>
      <c r="D907" s="33" t="s">
        <v>25</v>
      </c>
      <c r="E907" s="33" t="s">
        <v>935</v>
      </c>
      <c r="F907" s="35"/>
      <c r="G907" s="33" t="s">
        <v>784</v>
      </c>
      <c r="H907" s="33" t="s">
        <v>936</v>
      </c>
      <c r="I907" s="34" t="s">
        <v>86</v>
      </c>
      <c r="J907" s="33" t="s">
        <v>937</v>
      </c>
      <c r="K907" s="59"/>
      <c r="L907" s="35"/>
      <c r="M907" s="35"/>
      <c r="N907" s="31"/>
      <c r="O907" s="42"/>
      <c r="P907" s="35"/>
      <c r="Q907" s="35"/>
      <c r="R907" s="31"/>
      <c r="S907" s="31"/>
      <c r="T907" s="31"/>
      <c r="U907" s="31"/>
    </row>
    <row r="908">
      <c r="A908" s="31"/>
      <c r="B908" s="32">
        <v>45919.0</v>
      </c>
      <c r="C908" s="55" t="s">
        <v>8</v>
      </c>
      <c r="D908" s="33" t="s">
        <v>42</v>
      </c>
      <c r="E908" s="33" t="s">
        <v>929</v>
      </c>
      <c r="F908" s="33" t="s">
        <v>84</v>
      </c>
      <c r="G908" s="33" t="s">
        <v>721</v>
      </c>
      <c r="H908" s="33">
        <v>3.58387120013221E14</v>
      </c>
      <c r="I908" s="34" t="s">
        <v>78</v>
      </c>
      <c r="J908" s="35"/>
      <c r="K908" s="59"/>
      <c r="L908" s="35"/>
      <c r="M908" s="35"/>
      <c r="N908" s="31"/>
      <c r="O908" s="42"/>
      <c r="P908" s="35"/>
      <c r="Q908" s="35"/>
      <c r="R908" s="31"/>
      <c r="S908" s="31"/>
      <c r="T908" s="31"/>
      <c r="U908" s="31"/>
    </row>
    <row r="909">
      <c r="A909" s="31"/>
      <c r="B909" s="32">
        <v>45919.0</v>
      </c>
      <c r="C909" s="55" t="s">
        <v>8</v>
      </c>
      <c r="D909" s="33" t="s">
        <v>42</v>
      </c>
      <c r="E909" s="33" t="s">
        <v>932</v>
      </c>
      <c r="F909" s="35"/>
      <c r="G909" s="35"/>
      <c r="H909" s="33" t="s">
        <v>938</v>
      </c>
      <c r="I909" s="34" t="s">
        <v>78</v>
      </c>
      <c r="J909" s="35"/>
      <c r="K909" s="59"/>
      <c r="L909" s="35"/>
      <c r="M909" s="35"/>
      <c r="N909" s="31"/>
      <c r="O909" s="42"/>
      <c r="P909" s="35"/>
      <c r="Q909" s="35"/>
      <c r="R909" s="31"/>
      <c r="S909" s="31"/>
      <c r="T909" s="31"/>
      <c r="U909" s="31"/>
    </row>
    <row r="910">
      <c r="A910" s="31"/>
      <c r="B910" s="32">
        <v>45922.0</v>
      </c>
      <c r="C910" s="55" t="s">
        <v>939</v>
      </c>
      <c r="D910" s="33" t="s">
        <v>42</v>
      </c>
      <c r="E910" s="33" t="s">
        <v>940</v>
      </c>
      <c r="F910" s="35"/>
      <c r="G910" s="35"/>
      <c r="H910" s="33" t="s">
        <v>941</v>
      </c>
      <c r="I910" s="34" t="s">
        <v>78</v>
      </c>
      <c r="J910" s="35"/>
      <c r="K910" s="59"/>
      <c r="L910" s="35"/>
      <c r="M910" s="35"/>
      <c r="N910" s="31"/>
      <c r="O910" s="42"/>
      <c r="P910" s="35"/>
      <c r="Q910" s="35"/>
      <c r="R910" s="31"/>
      <c r="S910" s="31"/>
      <c r="T910" s="31"/>
      <c r="U910" s="31"/>
    </row>
    <row r="911">
      <c r="A911" s="31"/>
      <c r="B911" s="32">
        <v>45922.0</v>
      </c>
      <c r="C911" s="55" t="s">
        <v>939</v>
      </c>
      <c r="D911" s="33" t="s">
        <v>42</v>
      </c>
      <c r="E911" s="33" t="s">
        <v>929</v>
      </c>
      <c r="F911" s="33" t="s">
        <v>84</v>
      </c>
      <c r="G911" s="33" t="s">
        <v>721</v>
      </c>
      <c r="H911" s="33">
        <v>3.52650610019099E14</v>
      </c>
      <c r="I911" s="34" t="s">
        <v>78</v>
      </c>
      <c r="J911" s="35"/>
      <c r="K911" s="59"/>
      <c r="L911" s="35"/>
      <c r="M911" s="35"/>
      <c r="N911" s="31"/>
      <c r="O911" s="42"/>
      <c r="P911" s="35"/>
      <c r="Q911" s="35"/>
      <c r="R911" s="31"/>
      <c r="S911" s="31"/>
      <c r="T911" s="31"/>
      <c r="U911" s="31"/>
    </row>
    <row r="912">
      <c r="A912" s="31"/>
      <c r="B912" s="32">
        <v>45922.0</v>
      </c>
      <c r="C912" s="55" t="s">
        <v>939</v>
      </c>
      <c r="D912" s="33" t="s">
        <v>42</v>
      </c>
      <c r="E912" s="33" t="s">
        <v>929</v>
      </c>
      <c r="F912" s="33" t="s">
        <v>84</v>
      </c>
      <c r="G912" s="33" t="s">
        <v>721</v>
      </c>
      <c r="H912" s="33">
        <v>3.52650610019008E14</v>
      </c>
      <c r="I912" s="34" t="s">
        <v>78</v>
      </c>
      <c r="J912" s="35"/>
      <c r="K912" s="59"/>
      <c r="L912" s="35"/>
      <c r="M912" s="35"/>
      <c r="N912" s="31"/>
      <c r="O912" s="42"/>
      <c r="P912" s="35"/>
      <c r="Q912" s="35"/>
      <c r="R912" s="31"/>
      <c r="S912" s="31"/>
      <c r="T912" s="31"/>
      <c r="U912" s="31"/>
    </row>
    <row r="913">
      <c r="A913" s="31"/>
      <c r="B913" s="32">
        <v>45922.0</v>
      </c>
      <c r="C913" s="55" t="s">
        <v>939</v>
      </c>
      <c r="D913" s="33" t="s">
        <v>42</v>
      </c>
      <c r="E913" s="33" t="s">
        <v>929</v>
      </c>
      <c r="F913" s="33" t="s">
        <v>84</v>
      </c>
      <c r="G913" s="33" t="s">
        <v>721</v>
      </c>
      <c r="H913" s="33">
        <v>3.52650610020543E14</v>
      </c>
      <c r="I913" s="34" t="s">
        <v>86</v>
      </c>
      <c r="J913" s="33" t="s">
        <v>942</v>
      </c>
      <c r="K913" s="58" t="s">
        <v>11</v>
      </c>
      <c r="L913" s="35"/>
      <c r="M913" s="35"/>
      <c r="N913" s="31"/>
      <c r="O913" s="42"/>
      <c r="P913" s="35"/>
      <c r="Q913" s="35"/>
      <c r="R913" s="31"/>
      <c r="S913" s="31"/>
      <c r="T913" s="31"/>
      <c r="U913" s="31"/>
    </row>
    <row r="914">
      <c r="A914" s="31"/>
      <c r="B914" s="32">
        <v>45925.0</v>
      </c>
      <c r="C914" s="55" t="s">
        <v>939</v>
      </c>
      <c r="D914" s="33" t="s">
        <v>42</v>
      </c>
      <c r="E914" s="33" t="s">
        <v>943</v>
      </c>
      <c r="F914" s="33" t="s">
        <v>152</v>
      </c>
      <c r="G914" s="33" t="s">
        <v>721</v>
      </c>
      <c r="H914" s="33" t="s">
        <v>944</v>
      </c>
      <c r="I914" s="34" t="s">
        <v>86</v>
      </c>
      <c r="J914" s="33" t="s">
        <v>945</v>
      </c>
      <c r="K914" s="33" t="s">
        <v>11</v>
      </c>
      <c r="L914" s="35"/>
      <c r="M914" s="35"/>
      <c r="N914" s="31"/>
      <c r="O914" s="42"/>
      <c r="P914" s="35"/>
      <c r="Q914" s="35"/>
      <c r="R914" s="31"/>
      <c r="S914" s="31"/>
      <c r="T914" s="31"/>
      <c r="U914" s="31"/>
    </row>
    <row r="915">
      <c r="A915" s="31"/>
      <c r="B915" s="32">
        <v>45925.0</v>
      </c>
      <c r="C915" s="55" t="s">
        <v>939</v>
      </c>
      <c r="D915" s="33" t="s">
        <v>42</v>
      </c>
      <c r="E915" s="33" t="s">
        <v>946</v>
      </c>
      <c r="F915" s="35"/>
      <c r="G915" s="33" t="s">
        <v>789</v>
      </c>
      <c r="H915" s="33" t="s">
        <v>947</v>
      </c>
      <c r="I915" s="34" t="s">
        <v>86</v>
      </c>
      <c r="J915" s="33" t="s">
        <v>945</v>
      </c>
      <c r="K915" s="59"/>
      <c r="L915" s="35"/>
      <c r="M915" s="35"/>
      <c r="N915" s="31"/>
      <c r="O915" s="42"/>
      <c r="P915" s="35"/>
      <c r="Q915" s="35"/>
      <c r="R915" s="31"/>
      <c r="S915" s="31"/>
      <c r="T915" s="31"/>
      <c r="U915" s="31"/>
    </row>
    <row r="916">
      <c r="A916" s="31"/>
      <c r="B916" s="32">
        <v>45925.0</v>
      </c>
      <c r="C916" s="55" t="s">
        <v>939</v>
      </c>
      <c r="D916" s="33" t="s">
        <v>42</v>
      </c>
      <c r="E916" s="33" t="s">
        <v>943</v>
      </c>
      <c r="F916" s="33" t="s">
        <v>152</v>
      </c>
      <c r="G916" s="33" t="s">
        <v>853</v>
      </c>
      <c r="H916" s="33" t="s">
        <v>948</v>
      </c>
      <c r="I916" s="34" t="s">
        <v>78</v>
      </c>
      <c r="J916" s="35"/>
      <c r="K916" s="33" t="s">
        <v>11</v>
      </c>
      <c r="L916" s="35"/>
      <c r="M916" s="35"/>
      <c r="N916" s="31"/>
      <c r="O916" s="42"/>
      <c r="P916" s="35"/>
      <c r="Q916" s="35"/>
      <c r="R916" s="31"/>
      <c r="S916" s="31"/>
      <c r="T916" s="31"/>
      <c r="U916" s="31"/>
    </row>
    <row r="917">
      <c r="A917" s="31"/>
      <c r="B917" s="32">
        <v>45925.0</v>
      </c>
      <c r="C917" s="55" t="s">
        <v>939</v>
      </c>
      <c r="D917" s="33" t="s">
        <v>42</v>
      </c>
      <c r="E917" s="33" t="s">
        <v>946</v>
      </c>
      <c r="F917" s="35"/>
      <c r="G917" s="33" t="s">
        <v>789</v>
      </c>
      <c r="H917" s="33" t="s">
        <v>949</v>
      </c>
      <c r="I917" s="34" t="s">
        <v>86</v>
      </c>
      <c r="J917" s="33" t="s">
        <v>950</v>
      </c>
      <c r="K917" s="33" t="s">
        <v>11</v>
      </c>
      <c r="L917" s="35"/>
      <c r="M917" s="35"/>
      <c r="N917" s="31"/>
      <c r="O917" s="42"/>
      <c r="P917" s="35"/>
      <c r="Q917" s="35"/>
      <c r="R917" s="31"/>
      <c r="S917" s="31"/>
      <c r="T917" s="31"/>
      <c r="U917" s="31"/>
    </row>
    <row r="918">
      <c r="A918" s="31"/>
      <c r="B918" s="32">
        <v>45925.0</v>
      </c>
      <c r="C918" s="55" t="s">
        <v>939</v>
      </c>
      <c r="D918" s="33" t="s">
        <v>42</v>
      </c>
      <c r="E918" s="33" t="s">
        <v>946</v>
      </c>
      <c r="F918" s="35"/>
      <c r="G918" s="33" t="s">
        <v>789</v>
      </c>
      <c r="H918" s="33" t="s">
        <v>951</v>
      </c>
      <c r="I918" s="42"/>
      <c r="J918" s="35"/>
      <c r="K918" s="33" t="s">
        <v>11</v>
      </c>
      <c r="L918" s="35"/>
      <c r="M918" s="35"/>
      <c r="N918" s="31"/>
      <c r="O918" s="42"/>
      <c r="P918" s="35"/>
      <c r="Q918" s="35"/>
      <c r="R918" s="31"/>
      <c r="S918" s="31"/>
      <c r="T918" s="31"/>
      <c r="U918" s="31"/>
    </row>
    <row r="919">
      <c r="A919" s="31"/>
      <c r="B919" s="32">
        <v>45925.0</v>
      </c>
      <c r="C919" s="55" t="s">
        <v>939</v>
      </c>
      <c r="D919" s="33" t="s">
        <v>42</v>
      </c>
      <c r="E919" s="33" t="s">
        <v>943</v>
      </c>
      <c r="F919" s="33" t="s">
        <v>152</v>
      </c>
      <c r="G919" s="33" t="s">
        <v>721</v>
      </c>
      <c r="H919" s="33" t="s">
        <v>952</v>
      </c>
      <c r="I919" s="42"/>
      <c r="J919" s="35"/>
      <c r="K919" s="33" t="s">
        <v>11</v>
      </c>
      <c r="L919" s="35"/>
      <c r="M919" s="35"/>
      <c r="N919" s="31"/>
      <c r="O919" s="42"/>
      <c r="P919" s="35"/>
      <c r="Q919" s="35"/>
      <c r="R919" s="31"/>
      <c r="S919" s="31"/>
      <c r="T919" s="31"/>
      <c r="U919" s="31"/>
    </row>
    <row r="920">
      <c r="A920" s="31"/>
      <c r="B920" s="32">
        <v>45925.0</v>
      </c>
      <c r="C920" s="55" t="s">
        <v>939</v>
      </c>
      <c r="D920" s="33" t="s">
        <v>42</v>
      </c>
      <c r="E920" s="33" t="s">
        <v>943</v>
      </c>
      <c r="F920" s="33" t="s">
        <v>152</v>
      </c>
      <c r="G920" s="33" t="s">
        <v>853</v>
      </c>
      <c r="H920" s="33" t="s">
        <v>953</v>
      </c>
      <c r="I920" s="34" t="s">
        <v>86</v>
      </c>
      <c r="J920" s="33" t="s">
        <v>950</v>
      </c>
      <c r="K920" s="33" t="s">
        <v>11</v>
      </c>
      <c r="L920" s="35"/>
      <c r="M920" s="35"/>
      <c r="N920" s="31"/>
      <c r="O920" s="42"/>
      <c r="P920" s="35"/>
      <c r="Q920" s="35"/>
      <c r="R920" s="31"/>
      <c r="S920" s="31"/>
      <c r="T920" s="31"/>
      <c r="U920" s="31"/>
    </row>
    <row r="921">
      <c r="A921" s="31"/>
      <c r="B921" s="32">
        <v>45925.0</v>
      </c>
      <c r="C921" s="55" t="s">
        <v>939</v>
      </c>
      <c r="D921" s="33" t="s">
        <v>42</v>
      </c>
      <c r="E921" s="33" t="s">
        <v>946</v>
      </c>
      <c r="F921" s="35"/>
      <c r="G921" s="33" t="s">
        <v>789</v>
      </c>
      <c r="H921" s="33" t="s">
        <v>954</v>
      </c>
      <c r="I921" s="34" t="s">
        <v>895</v>
      </c>
      <c r="J921" s="35"/>
      <c r="K921" s="33" t="s">
        <v>11</v>
      </c>
      <c r="L921" s="35"/>
      <c r="M921" s="35"/>
      <c r="N921" s="31"/>
      <c r="O921" s="42"/>
      <c r="P921" s="35"/>
      <c r="Q921" s="35"/>
      <c r="R921" s="31"/>
      <c r="S921" s="31"/>
      <c r="T921" s="31"/>
      <c r="U921" s="31"/>
    </row>
    <row r="922">
      <c r="A922" s="31"/>
      <c r="B922" s="32">
        <v>45925.0</v>
      </c>
      <c r="C922" s="55" t="s">
        <v>939</v>
      </c>
      <c r="D922" s="33" t="s">
        <v>42</v>
      </c>
      <c r="E922" s="33" t="s">
        <v>943</v>
      </c>
      <c r="F922" s="33" t="s">
        <v>152</v>
      </c>
      <c r="G922" s="33" t="s">
        <v>721</v>
      </c>
      <c r="H922" s="33" t="s">
        <v>955</v>
      </c>
      <c r="I922" s="34" t="s">
        <v>895</v>
      </c>
      <c r="J922" s="35"/>
      <c r="K922" s="33" t="s">
        <v>11</v>
      </c>
      <c r="L922" s="35"/>
      <c r="M922" s="35"/>
      <c r="N922" s="31"/>
      <c r="O922" s="42"/>
      <c r="P922" s="35"/>
      <c r="Q922" s="35"/>
      <c r="R922" s="31"/>
      <c r="S922" s="31"/>
      <c r="T922" s="31"/>
      <c r="U922" s="31"/>
    </row>
    <row r="923">
      <c r="A923" s="31"/>
      <c r="C923" s="31"/>
      <c r="D923" s="33" t="s">
        <v>25</v>
      </c>
      <c r="E923" s="33" t="s">
        <v>891</v>
      </c>
      <c r="F923" s="35"/>
      <c r="G923" s="33" t="s">
        <v>784</v>
      </c>
      <c r="H923" s="33" t="s">
        <v>956</v>
      </c>
      <c r="I923" s="34" t="s">
        <v>86</v>
      </c>
      <c r="J923" s="33" t="s">
        <v>957</v>
      </c>
      <c r="K923" s="59"/>
      <c r="L923" s="35"/>
      <c r="M923" s="35"/>
      <c r="N923" s="31"/>
      <c r="O923" s="42"/>
      <c r="P923" s="35"/>
      <c r="Q923" s="35"/>
      <c r="R923" s="31"/>
      <c r="S923" s="31"/>
      <c r="T923" s="31"/>
      <c r="U923" s="31"/>
    </row>
    <row r="924">
      <c r="A924" s="31"/>
      <c r="C924" s="31"/>
      <c r="D924" s="35"/>
      <c r="E924" s="35"/>
      <c r="F924" s="35"/>
      <c r="G924" s="33" t="s">
        <v>789</v>
      </c>
      <c r="H924" s="33" t="s">
        <v>958</v>
      </c>
      <c r="I924" s="42"/>
      <c r="J924" s="33" t="s">
        <v>449</v>
      </c>
      <c r="K924" s="59"/>
      <c r="L924" s="35"/>
      <c r="M924" s="35"/>
      <c r="N924" s="31"/>
      <c r="O924" s="42"/>
      <c r="P924" s="35"/>
      <c r="Q924" s="35"/>
      <c r="R924" s="31"/>
      <c r="S924" s="31"/>
      <c r="T924" s="31"/>
      <c r="U924" s="31"/>
    </row>
    <row r="925">
      <c r="A925" s="31"/>
      <c r="C925" s="31"/>
      <c r="D925" s="35"/>
      <c r="E925" s="35"/>
      <c r="F925" s="35"/>
      <c r="G925" s="35"/>
      <c r="H925" s="33" t="s">
        <v>959</v>
      </c>
      <c r="I925" s="42"/>
      <c r="J925" s="35"/>
      <c r="K925" s="59"/>
      <c r="L925" s="35"/>
      <c r="M925" s="35"/>
      <c r="N925" s="31"/>
      <c r="O925" s="42"/>
      <c r="P925" s="35"/>
      <c r="Q925" s="35"/>
      <c r="R925" s="31"/>
      <c r="S925" s="31"/>
      <c r="T925" s="31"/>
      <c r="U925" s="31"/>
    </row>
    <row r="926">
      <c r="A926" s="31"/>
      <c r="B926" s="33" t="s">
        <v>960</v>
      </c>
      <c r="C926" s="55" t="s">
        <v>961</v>
      </c>
      <c r="D926" s="33" t="s">
        <v>42</v>
      </c>
      <c r="E926" s="33" t="s">
        <v>962</v>
      </c>
      <c r="F926" s="33" t="s">
        <v>697</v>
      </c>
      <c r="G926" s="33" t="s">
        <v>721</v>
      </c>
      <c r="H926" s="33" t="s">
        <v>963</v>
      </c>
      <c r="I926" s="42"/>
      <c r="J926" s="35"/>
      <c r="K926" s="59"/>
      <c r="L926" s="35"/>
      <c r="M926" s="35"/>
      <c r="N926" s="31"/>
      <c r="O926" s="42"/>
      <c r="P926" s="35"/>
      <c r="Q926" s="35"/>
      <c r="R926" s="31"/>
      <c r="S926" s="31"/>
      <c r="T926" s="31"/>
      <c r="U926" s="31"/>
    </row>
    <row r="927">
      <c r="A927" s="31"/>
      <c r="B927" s="33" t="s">
        <v>960</v>
      </c>
      <c r="C927" s="55" t="s">
        <v>961</v>
      </c>
      <c r="D927" s="33" t="s">
        <v>42</v>
      </c>
      <c r="E927" s="33" t="s">
        <v>962</v>
      </c>
      <c r="F927" s="33" t="s">
        <v>697</v>
      </c>
      <c r="G927" s="33" t="s">
        <v>721</v>
      </c>
      <c r="H927" s="33" t="s">
        <v>964</v>
      </c>
      <c r="I927" s="42"/>
      <c r="J927" s="35"/>
      <c r="K927" s="59"/>
      <c r="L927" s="35"/>
      <c r="M927" s="35"/>
      <c r="N927" s="31"/>
      <c r="O927" s="42"/>
      <c r="P927" s="35"/>
      <c r="Q927" s="35"/>
      <c r="R927" s="31"/>
      <c r="S927" s="31"/>
      <c r="T927" s="31"/>
      <c r="U927" s="31"/>
    </row>
    <row r="928">
      <c r="A928" s="31"/>
      <c r="B928" s="33" t="s">
        <v>960</v>
      </c>
      <c r="C928" s="55" t="s">
        <v>961</v>
      </c>
      <c r="D928" s="33" t="s">
        <v>42</v>
      </c>
      <c r="E928" s="33" t="s">
        <v>962</v>
      </c>
      <c r="F928" s="33" t="s">
        <v>697</v>
      </c>
      <c r="G928" s="33" t="s">
        <v>721</v>
      </c>
      <c r="H928" s="33" t="s">
        <v>965</v>
      </c>
      <c r="I928" s="42"/>
      <c r="J928" s="35"/>
      <c r="K928" s="59"/>
      <c r="L928" s="35"/>
      <c r="M928" s="35"/>
      <c r="N928" s="31"/>
      <c r="O928" s="42"/>
      <c r="P928" s="35"/>
      <c r="Q928" s="35"/>
      <c r="R928" s="31"/>
      <c r="S928" s="31"/>
      <c r="T928" s="31"/>
      <c r="U928" s="31"/>
    </row>
    <row r="929">
      <c r="A929" s="31"/>
      <c r="B929" s="33" t="s">
        <v>960</v>
      </c>
      <c r="C929" s="55" t="s">
        <v>961</v>
      </c>
      <c r="D929" s="33" t="s">
        <v>42</v>
      </c>
      <c r="E929" s="33" t="s">
        <v>962</v>
      </c>
      <c r="F929" s="33" t="s">
        <v>697</v>
      </c>
      <c r="G929" s="33" t="s">
        <v>721</v>
      </c>
      <c r="H929" s="33" t="s">
        <v>966</v>
      </c>
      <c r="I929" s="42"/>
      <c r="J929" s="35"/>
      <c r="K929" s="59"/>
      <c r="L929" s="35"/>
      <c r="M929" s="35"/>
      <c r="N929" s="31"/>
      <c r="O929" s="42"/>
      <c r="P929" s="35"/>
      <c r="Q929" s="35"/>
      <c r="R929" s="31"/>
      <c r="S929" s="31"/>
      <c r="T929" s="31"/>
      <c r="U929" s="31"/>
    </row>
    <row r="930">
      <c r="A930" s="31"/>
      <c r="B930" s="33" t="s">
        <v>960</v>
      </c>
      <c r="C930" s="55" t="s">
        <v>961</v>
      </c>
      <c r="D930" s="33" t="s">
        <v>42</v>
      </c>
      <c r="E930" s="33" t="s">
        <v>962</v>
      </c>
      <c r="F930" s="33" t="s">
        <v>697</v>
      </c>
      <c r="G930" s="33" t="s">
        <v>721</v>
      </c>
      <c r="H930" s="33">
        <v>3.51371680101748E14</v>
      </c>
      <c r="I930" s="42"/>
      <c r="J930" s="35"/>
      <c r="K930" s="59"/>
      <c r="L930" s="35"/>
      <c r="M930" s="35"/>
      <c r="N930" s="31"/>
      <c r="O930" s="42"/>
      <c r="P930" s="35"/>
      <c r="Q930" s="35"/>
      <c r="R930" s="31"/>
      <c r="S930" s="31"/>
      <c r="T930" s="31"/>
      <c r="U930" s="31"/>
    </row>
    <row r="931">
      <c r="A931" s="31"/>
      <c r="B931" s="33" t="s">
        <v>960</v>
      </c>
      <c r="C931" s="55" t="s">
        <v>961</v>
      </c>
      <c r="D931" s="33" t="s">
        <v>42</v>
      </c>
      <c r="E931" s="33" t="s">
        <v>962</v>
      </c>
      <c r="F931" s="33" t="s">
        <v>697</v>
      </c>
      <c r="G931" s="33" t="s">
        <v>721</v>
      </c>
      <c r="H931" s="33">
        <v>3.51371680121332E14</v>
      </c>
      <c r="I931" s="42"/>
      <c r="J931" s="35"/>
      <c r="K931" s="59"/>
      <c r="L931" s="35"/>
      <c r="M931" s="35"/>
      <c r="N931" s="31"/>
      <c r="O931" s="42"/>
      <c r="P931" s="35"/>
      <c r="Q931" s="35"/>
      <c r="R931" s="31"/>
      <c r="S931" s="31"/>
      <c r="T931" s="31"/>
      <c r="U931" s="31"/>
    </row>
    <row r="932">
      <c r="A932" s="31"/>
      <c r="B932" s="33" t="s">
        <v>960</v>
      </c>
      <c r="C932" s="55" t="s">
        <v>961</v>
      </c>
      <c r="D932" s="33" t="s">
        <v>42</v>
      </c>
      <c r="E932" s="33" t="s">
        <v>962</v>
      </c>
      <c r="F932" s="33" t="s">
        <v>697</v>
      </c>
      <c r="G932" s="33" t="s">
        <v>721</v>
      </c>
      <c r="H932" s="33">
        <v>3.5137168012134E14</v>
      </c>
      <c r="I932" s="42"/>
      <c r="J932" s="35"/>
      <c r="K932" s="59"/>
      <c r="L932" s="35"/>
      <c r="M932" s="35"/>
      <c r="N932" s="31"/>
      <c r="O932" s="42"/>
      <c r="P932" s="35"/>
      <c r="Q932" s="35"/>
      <c r="R932" s="31"/>
      <c r="S932" s="31"/>
      <c r="T932" s="31"/>
      <c r="U932" s="31"/>
    </row>
    <row r="933">
      <c r="A933" s="31"/>
      <c r="B933" s="33" t="s">
        <v>960</v>
      </c>
      <c r="C933" s="55" t="s">
        <v>967</v>
      </c>
      <c r="D933" s="33" t="s">
        <v>25</v>
      </c>
      <c r="E933" s="33" t="s">
        <v>968</v>
      </c>
      <c r="F933" s="35"/>
      <c r="G933" s="33" t="s">
        <v>789</v>
      </c>
      <c r="H933" s="33" t="s">
        <v>969</v>
      </c>
      <c r="I933" s="34" t="s">
        <v>86</v>
      </c>
      <c r="J933" s="33" t="s">
        <v>970</v>
      </c>
      <c r="K933" s="58" t="s">
        <v>11</v>
      </c>
      <c r="L933" s="35"/>
      <c r="M933" s="35"/>
      <c r="N933" s="31"/>
      <c r="O933" s="42"/>
      <c r="P933" s="35"/>
      <c r="Q933" s="35"/>
      <c r="R933" s="31"/>
      <c r="S933" s="31"/>
      <c r="T933" s="31"/>
      <c r="U933" s="31"/>
    </row>
    <row r="934">
      <c r="A934" s="31"/>
      <c r="B934" s="33" t="s">
        <v>960</v>
      </c>
      <c r="C934" s="55" t="s">
        <v>967</v>
      </c>
      <c r="D934" s="33" t="s">
        <v>42</v>
      </c>
      <c r="E934" s="33" t="s">
        <v>971</v>
      </c>
      <c r="F934" s="33" t="s">
        <v>84</v>
      </c>
      <c r="G934" s="33" t="s">
        <v>721</v>
      </c>
      <c r="H934" s="64">
        <v>3.52651E14</v>
      </c>
      <c r="I934" s="34" t="s">
        <v>86</v>
      </c>
      <c r="J934" s="33" t="s">
        <v>972</v>
      </c>
      <c r="K934" s="58" t="s">
        <v>11</v>
      </c>
      <c r="L934" s="35"/>
      <c r="M934" s="35"/>
      <c r="N934" s="31"/>
      <c r="O934" s="42"/>
      <c r="P934" s="35"/>
      <c r="Q934" s="35"/>
      <c r="R934" s="31"/>
      <c r="S934" s="31"/>
      <c r="T934" s="31"/>
      <c r="U934" s="31"/>
    </row>
    <row r="935">
      <c r="A935" s="31"/>
      <c r="B935" s="33" t="s">
        <v>960</v>
      </c>
      <c r="C935" s="55" t="s">
        <v>967</v>
      </c>
      <c r="D935" s="33" t="s">
        <v>159</v>
      </c>
      <c r="E935" s="33" t="s">
        <v>973</v>
      </c>
      <c r="F935" s="35"/>
      <c r="G935" s="33" t="s">
        <v>789</v>
      </c>
      <c r="H935" s="33" t="s">
        <v>974</v>
      </c>
      <c r="I935" s="34" t="s">
        <v>86</v>
      </c>
      <c r="J935" s="33" t="s">
        <v>942</v>
      </c>
      <c r="K935" s="58" t="s">
        <v>11</v>
      </c>
      <c r="L935" s="35"/>
      <c r="M935" s="35"/>
      <c r="N935" s="31"/>
      <c r="O935" s="42"/>
      <c r="P935" s="35"/>
      <c r="Q935" s="35"/>
      <c r="R935" s="31"/>
      <c r="S935" s="31"/>
      <c r="T935" s="31"/>
      <c r="U935" s="31"/>
    </row>
    <row r="936">
      <c r="A936" s="31"/>
      <c r="B936" s="33" t="s">
        <v>960</v>
      </c>
      <c r="C936" s="55" t="s">
        <v>967</v>
      </c>
      <c r="D936" s="33" t="s">
        <v>42</v>
      </c>
      <c r="E936" s="33" t="s">
        <v>971</v>
      </c>
      <c r="F936" s="33" t="s">
        <v>84</v>
      </c>
      <c r="G936" s="33" t="s">
        <v>721</v>
      </c>
      <c r="H936" s="64">
        <v>3.52651E14</v>
      </c>
      <c r="I936" s="42"/>
      <c r="J936" s="35"/>
      <c r="K936" s="59"/>
      <c r="L936" s="35"/>
      <c r="M936" s="35"/>
      <c r="N936" s="31"/>
      <c r="O936" s="42"/>
      <c r="P936" s="35"/>
      <c r="Q936" s="35"/>
      <c r="R936" s="31"/>
      <c r="S936" s="31"/>
      <c r="T936" s="31"/>
      <c r="U936" s="31"/>
    </row>
    <row r="937">
      <c r="A937" s="31"/>
      <c r="B937" s="33" t="s">
        <v>960</v>
      </c>
      <c r="C937" s="55" t="s">
        <v>967</v>
      </c>
      <c r="D937" s="33" t="s">
        <v>42</v>
      </c>
      <c r="E937" s="33" t="s">
        <v>971</v>
      </c>
      <c r="F937" s="33" t="s">
        <v>84</v>
      </c>
      <c r="G937" s="33" t="s">
        <v>721</v>
      </c>
      <c r="H937" s="64">
        <v>3.52651E14</v>
      </c>
      <c r="I937" s="42"/>
      <c r="J937" s="35"/>
      <c r="K937" s="59"/>
      <c r="L937" s="35"/>
      <c r="M937" s="35"/>
      <c r="N937" s="31"/>
      <c r="O937" s="42"/>
      <c r="P937" s="35"/>
      <c r="Q937" s="35"/>
      <c r="R937" s="31"/>
      <c r="S937" s="31"/>
      <c r="T937" s="31"/>
      <c r="U937" s="31"/>
    </row>
    <row r="938">
      <c r="A938" s="31"/>
      <c r="B938" s="33" t="s">
        <v>960</v>
      </c>
      <c r="C938" s="55" t="s">
        <v>967</v>
      </c>
      <c r="D938" s="33" t="s">
        <v>159</v>
      </c>
      <c r="E938" s="33" t="s">
        <v>973</v>
      </c>
      <c r="F938" s="35"/>
      <c r="G938" s="33" t="s">
        <v>789</v>
      </c>
      <c r="H938" s="33" t="s">
        <v>975</v>
      </c>
      <c r="I938" s="42"/>
      <c r="J938" s="35"/>
      <c r="K938" s="59"/>
      <c r="L938" s="35"/>
      <c r="M938" s="35"/>
      <c r="N938" s="31"/>
      <c r="O938" s="42"/>
      <c r="P938" s="35"/>
      <c r="Q938" s="35"/>
      <c r="R938" s="31"/>
      <c r="S938" s="31"/>
      <c r="T938" s="31"/>
      <c r="U938" s="31"/>
    </row>
    <row r="939">
      <c r="A939" s="31"/>
      <c r="B939" s="32">
        <v>45975.0</v>
      </c>
      <c r="C939" s="55" t="s">
        <v>967</v>
      </c>
      <c r="D939" s="33" t="s">
        <v>42</v>
      </c>
      <c r="E939" s="33" t="s">
        <v>962</v>
      </c>
      <c r="F939" s="33" t="s">
        <v>697</v>
      </c>
      <c r="G939" s="33" t="s">
        <v>721</v>
      </c>
      <c r="H939" s="64">
        <v>3.51372E14</v>
      </c>
      <c r="I939" s="34" t="s">
        <v>86</v>
      </c>
      <c r="J939" s="33" t="s">
        <v>976</v>
      </c>
      <c r="K939" s="58" t="s">
        <v>19</v>
      </c>
      <c r="L939" s="35"/>
      <c r="M939" s="35"/>
      <c r="N939" s="31"/>
      <c r="O939" s="42"/>
      <c r="P939" s="35"/>
      <c r="Q939" s="35"/>
      <c r="R939" s="31"/>
      <c r="S939" s="31"/>
      <c r="T939" s="31"/>
      <c r="U939" s="31"/>
    </row>
    <row r="940">
      <c r="A940" s="31"/>
      <c r="B940" s="32">
        <v>45975.0</v>
      </c>
      <c r="C940" s="55" t="s">
        <v>967</v>
      </c>
      <c r="D940" s="33" t="s">
        <v>42</v>
      </c>
      <c r="E940" s="33" t="s">
        <v>962</v>
      </c>
      <c r="F940" s="33" t="s">
        <v>697</v>
      </c>
      <c r="G940" s="33" t="s">
        <v>721</v>
      </c>
      <c r="H940" s="64">
        <v>3.51372E14</v>
      </c>
      <c r="I940" s="34" t="s">
        <v>86</v>
      </c>
      <c r="J940" s="33" t="s">
        <v>977</v>
      </c>
      <c r="K940" s="58" t="s">
        <v>11</v>
      </c>
      <c r="L940" s="35"/>
      <c r="M940" s="35"/>
      <c r="N940" s="31"/>
      <c r="O940" s="42"/>
      <c r="P940" s="35"/>
      <c r="Q940" s="35"/>
      <c r="R940" s="31"/>
      <c r="S940" s="31"/>
      <c r="T940" s="31"/>
      <c r="U940" s="31"/>
    </row>
    <row r="941">
      <c r="A941" s="31"/>
      <c r="B941" s="32">
        <v>45986.0</v>
      </c>
      <c r="C941" s="55" t="s">
        <v>967</v>
      </c>
      <c r="D941" s="33" t="s">
        <v>37</v>
      </c>
      <c r="E941" s="33" t="s">
        <v>978</v>
      </c>
      <c r="F941" s="33" t="s">
        <v>152</v>
      </c>
      <c r="G941" s="33" t="s">
        <v>789</v>
      </c>
      <c r="H941" s="64">
        <v>3.50138E14</v>
      </c>
      <c r="I941" s="34" t="s">
        <v>86</v>
      </c>
      <c r="J941" s="33" t="s">
        <v>979</v>
      </c>
      <c r="K941" s="58" t="s">
        <v>11</v>
      </c>
      <c r="L941" s="35"/>
      <c r="M941" s="35"/>
      <c r="N941" s="31"/>
      <c r="O941" s="42"/>
      <c r="P941" s="35"/>
      <c r="Q941" s="35"/>
      <c r="R941" s="31"/>
      <c r="S941" s="31"/>
      <c r="T941" s="31"/>
      <c r="U941" s="31"/>
    </row>
    <row r="942">
      <c r="A942" s="31"/>
      <c r="B942" s="32">
        <v>45986.0</v>
      </c>
      <c r="C942" s="55" t="s">
        <v>967</v>
      </c>
      <c r="D942" s="33" t="s">
        <v>37</v>
      </c>
      <c r="E942" s="33" t="s">
        <v>978</v>
      </c>
      <c r="F942" s="33" t="s">
        <v>152</v>
      </c>
      <c r="G942" s="33" t="s">
        <v>789</v>
      </c>
      <c r="H942" s="64">
        <v>3.50138E14</v>
      </c>
      <c r="I942" s="34" t="s">
        <v>86</v>
      </c>
      <c r="J942" s="33" t="s">
        <v>980</v>
      </c>
      <c r="K942" s="58" t="s">
        <v>11</v>
      </c>
      <c r="L942" s="35"/>
      <c r="M942" s="35"/>
      <c r="N942" s="31"/>
      <c r="O942" s="42"/>
      <c r="P942" s="35"/>
      <c r="Q942" s="35"/>
      <c r="R942" s="31"/>
      <c r="S942" s="31"/>
      <c r="T942" s="31"/>
      <c r="U942" s="31"/>
    </row>
    <row r="943">
      <c r="A943" s="31"/>
      <c r="B943" s="32">
        <v>45986.0</v>
      </c>
      <c r="C943" s="55" t="s">
        <v>967</v>
      </c>
      <c r="D943" s="33" t="s">
        <v>37</v>
      </c>
      <c r="E943" s="33" t="s">
        <v>978</v>
      </c>
      <c r="F943" s="33" t="s">
        <v>152</v>
      </c>
      <c r="G943" s="33" t="s">
        <v>789</v>
      </c>
      <c r="H943" s="64">
        <v>3.50138E14</v>
      </c>
      <c r="I943" s="34" t="s">
        <v>86</v>
      </c>
      <c r="J943" s="65" t="s">
        <v>981</v>
      </c>
      <c r="K943" s="59"/>
      <c r="L943" s="35"/>
      <c r="M943" s="35"/>
      <c r="N943" s="31"/>
      <c r="O943" s="42"/>
      <c r="P943" s="35"/>
      <c r="Q943" s="35"/>
      <c r="R943" s="31"/>
      <c r="S943" s="31"/>
      <c r="T943" s="31"/>
      <c r="U943" s="31"/>
    </row>
    <row r="944">
      <c r="A944" s="31"/>
      <c r="B944" s="32">
        <v>45986.0</v>
      </c>
      <c r="C944" s="55" t="s">
        <v>967</v>
      </c>
      <c r="D944" s="33" t="s">
        <v>37</v>
      </c>
      <c r="E944" s="33" t="s">
        <v>978</v>
      </c>
      <c r="F944" s="33" t="s">
        <v>152</v>
      </c>
      <c r="G944" s="35"/>
      <c r="H944" s="64">
        <v>3.50138E14</v>
      </c>
      <c r="I944" s="34" t="s">
        <v>78</v>
      </c>
      <c r="J944" s="35"/>
      <c r="K944" s="59"/>
      <c r="L944" s="35"/>
      <c r="M944" s="35"/>
      <c r="N944" s="31"/>
      <c r="O944" s="42"/>
      <c r="P944" s="35"/>
      <c r="Q944" s="35"/>
      <c r="R944" s="31"/>
      <c r="S944" s="31"/>
      <c r="T944" s="31"/>
      <c r="U944" s="31"/>
    </row>
    <row r="945">
      <c r="A945" s="31"/>
      <c r="B945" s="32">
        <v>45986.0</v>
      </c>
      <c r="C945" s="55" t="s">
        <v>967</v>
      </c>
      <c r="D945" s="33" t="s">
        <v>37</v>
      </c>
      <c r="E945" s="33" t="s">
        <v>978</v>
      </c>
      <c r="F945" s="33" t="s">
        <v>152</v>
      </c>
      <c r="G945" s="33" t="s">
        <v>789</v>
      </c>
      <c r="H945" s="64">
        <v>3.50138E14</v>
      </c>
      <c r="I945" s="34" t="s">
        <v>78</v>
      </c>
      <c r="J945" s="35"/>
      <c r="K945" s="59"/>
      <c r="L945" s="35"/>
      <c r="M945" s="35"/>
      <c r="N945" s="31"/>
      <c r="O945" s="42"/>
      <c r="P945" s="35"/>
      <c r="Q945" s="35"/>
      <c r="R945" s="31"/>
      <c r="S945" s="31"/>
      <c r="T945" s="31"/>
      <c r="U945" s="31"/>
    </row>
    <row r="946">
      <c r="A946" s="31"/>
      <c r="B946" s="32">
        <v>45996.0</v>
      </c>
      <c r="C946" s="55" t="s">
        <v>967</v>
      </c>
      <c r="D946" s="33" t="s">
        <v>42</v>
      </c>
      <c r="E946" s="33" t="s">
        <v>982</v>
      </c>
      <c r="F946" s="33" t="s">
        <v>152</v>
      </c>
      <c r="G946" s="33" t="s">
        <v>721</v>
      </c>
      <c r="H946" s="64">
        <v>3.52674E14</v>
      </c>
      <c r="I946" s="34" t="s">
        <v>78</v>
      </c>
      <c r="J946" s="35"/>
      <c r="K946" s="58" t="s">
        <v>19</v>
      </c>
      <c r="L946" s="35"/>
      <c r="M946" s="35"/>
      <c r="N946" s="31"/>
      <c r="O946" s="42"/>
      <c r="P946" s="35"/>
      <c r="Q946" s="35"/>
      <c r="R946" s="31"/>
      <c r="S946" s="31"/>
      <c r="T946" s="31"/>
      <c r="U946" s="31"/>
    </row>
    <row r="947">
      <c r="A947" s="31"/>
      <c r="B947" s="32">
        <v>45996.0</v>
      </c>
      <c r="C947" s="55" t="s">
        <v>967</v>
      </c>
      <c r="D947" s="33" t="s">
        <v>42</v>
      </c>
      <c r="E947" s="33" t="s">
        <v>982</v>
      </c>
      <c r="F947" s="33" t="s">
        <v>152</v>
      </c>
      <c r="G947" s="33" t="s">
        <v>721</v>
      </c>
      <c r="H947" s="64">
        <v>3.52674E14</v>
      </c>
      <c r="I947" s="34" t="s">
        <v>78</v>
      </c>
      <c r="J947" s="35"/>
      <c r="K947" s="58" t="s">
        <v>19</v>
      </c>
      <c r="L947" s="35"/>
      <c r="M947" s="35"/>
      <c r="N947" s="31"/>
      <c r="O947" s="42"/>
      <c r="P947" s="35"/>
      <c r="Q947" s="35"/>
      <c r="R947" s="31"/>
      <c r="S947" s="31"/>
      <c r="T947" s="31"/>
      <c r="U947" s="31"/>
    </row>
    <row r="948">
      <c r="A948" s="31"/>
      <c r="B948" s="32">
        <v>45996.0</v>
      </c>
      <c r="C948" s="55" t="s">
        <v>967</v>
      </c>
      <c r="D948" s="33" t="s">
        <v>42</v>
      </c>
      <c r="E948" s="33" t="s">
        <v>982</v>
      </c>
      <c r="F948" s="33" t="s">
        <v>983</v>
      </c>
      <c r="G948" s="33" t="s">
        <v>721</v>
      </c>
      <c r="H948" s="64">
        <v>3.52674E14</v>
      </c>
      <c r="I948" s="34" t="s">
        <v>78</v>
      </c>
      <c r="J948" s="35"/>
      <c r="K948" s="58" t="s">
        <v>19</v>
      </c>
      <c r="L948" s="35"/>
      <c r="M948" s="35"/>
      <c r="N948" s="31"/>
      <c r="O948" s="42"/>
      <c r="P948" s="35"/>
      <c r="Q948" s="35"/>
      <c r="R948" s="31"/>
      <c r="S948" s="31"/>
      <c r="T948" s="31"/>
      <c r="U948" s="31"/>
    </row>
    <row r="949">
      <c r="A949" s="31"/>
      <c r="B949" s="32">
        <v>45996.0</v>
      </c>
      <c r="C949" s="55" t="s">
        <v>967</v>
      </c>
      <c r="D949" s="33" t="s">
        <v>42</v>
      </c>
      <c r="E949" s="33" t="s">
        <v>982</v>
      </c>
      <c r="F949" s="33" t="s">
        <v>152</v>
      </c>
      <c r="G949" s="33" t="s">
        <v>721</v>
      </c>
      <c r="H949" s="64">
        <v>3.52674E14</v>
      </c>
      <c r="I949" s="34" t="s">
        <v>78</v>
      </c>
      <c r="J949" s="35"/>
      <c r="K949" s="58" t="s">
        <v>19</v>
      </c>
      <c r="L949" s="35"/>
      <c r="M949" s="35"/>
      <c r="N949" s="31"/>
      <c r="O949" s="42"/>
      <c r="P949" s="35"/>
      <c r="Q949" s="35"/>
      <c r="R949" s="31"/>
      <c r="S949" s="31"/>
      <c r="T949" s="31"/>
      <c r="U949" s="31"/>
    </row>
    <row r="950">
      <c r="A950" s="31"/>
      <c r="B950" s="32">
        <v>45996.0</v>
      </c>
      <c r="C950" s="55" t="s">
        <v>967</v>
      </c>
      <c r="D950" s="33" t="s">
        <v>42</v>
      </c>
      <c r="E950" s="33" t="s">
        <v>982</v>
      </c>
      <c r="F950" s="33" t="s">
        <v>152</v>
      </c>
      <c r="G950" s="33" t="s">
        <v>721</v>
      </c>
      <c r="H950" s="64">
        <v>3.52674E14</v>
      </c>
      <c r="I950" s="34" t="s">
        <v>78</v>
      </c>
      <c r="J950" s="35"/>
      <c r="K950" s="58" t="s">
        <v>19</v>
      </c>
      <c r="L950" s="35"/>
      <c r="M950" s="35"/>
      <c r="N950" s="31"/>
      <c r="O950" s="42"/>
      <c r="P950" s="35"/>
      <c r="Q950" s="35"/>
      <c r="R950" s="31"/>
      <c r="S950" s="31"/>
      <c r="T950" s="31"/>
      <c r="U950" s="31"/>
    </row>
    <row r="951">
      <c r="A951" s="31"/>
      <c r="B951" s="32">
        <v>45996.0</v>
      </c>
      <c r="C951" s="55" t="s">
        <v>967</v>
      </c>
      <c r="D951" s="33" t="s">
        <v>42</v>
      </c>
      <c r="E951" s="33" t="s">
        <v>982</v>
      </c>
      <c r="F951" s="33" t="s">
        <v>152</v>
      </c>
      <c r="G951" s="33" t="s">
        <v>721</v>
      </c>
      <c r="H951" s="64">
        <v>3.52674E14</v>
      </c>
      <c r="I951" s="34" t="s">
        <v>78</v>
      </c>
      <c r="J951" s="35"/>
      <c r="K951" s="58" t="s">
        <v>19</v>
      </c>
      <c r="L951" s="35"/>
      <c r="M951" s="35"/>
      <c r="N951" s="31"/>
      <c r="O951" s="42"/>
      <c r="P951" s="35"/>
      <c r="Q951" s="35"/>
      <c r="R951" s="31"/>
      <c r="S951" s="31"/>
      <c r="T951" s="31"/>
      <c r="U951" s="31"/>
    </row>
    <row r="952">
      <c r="A952" s="31"/>
      <c r="B952" s="32">
        <v>45996.0</v>
      </c>
      <c r="C952" s="55" t="s">
        <v>967</v>
      </c>
      <c r="D952" s="33" t="s">
        <v>42</v>
      </c>
      <c r="E952" s="33" t="s">
        <v>984</v>
      </c>
      <c r="F952" s="33" t="s">
        <v>152</v>
      </c>
      <c r="G952" s="33" t="s">
        <v>721</v>
      </c>
      <c r="H952" s="64">
        <v>3.51372E14</v>
      </c>
      <c r="I952" s="34" t="s">
        <v>895</v>
      </c>
      <c r="J952" s="35"/>
      <c r="K952" s="58" t="s">
        <v>11</v>
      </c>
      <c r="L952" s="35"/>
      <c r="M952" s="35"/>
      <c r="N952" s="31"/>
      <c r="O952" s="42"/>
      <c r="P952" s="35"/>
      <c r="Q952" s="35"/>
      <c r="R952" s="31"/>
      <c r="S952" s="31"/>
      <c r="T952" s="31"/>
      <c r="U952" s="31"/>
    </row>
    <row r="953">
      <c r="A953" s="31"/>
      <c r="B953" s="32">
        <v>45996.0</v>
      </c>
      <c r="C953" s="55" t="s">
        <v>967</v>
      </c>
      <c r="D953" s="33" t="s">
        <v>42</v>
      </c>
      <c r="E953" s="33" t="s">
        <v>982</v>
      </c>
      <c r="F953" s="33" t="s">
        <v>152</v>
      </c>
      <c r="G953" s="33" t="s">
        <v>721</v>
      </c>
      <c r="H953" s="64">
        <v>3.52674E14</v>
      </c>
      <c r="I953" s="34" t="s">
        <v>86</v>
      </c>
      <c r="J953" s="33" t="s">
        <v>985</v>
      </c>
      <c r="K953" s="58" t="s">
        <v>11</v>
      </c>
      <c r="L953" s="35"/>
      <c r="M953" s="35"/>
      <c r="N953" s="31"/>
      <c r="O953" s="42"/>
      <c r="P953" s="35"/>
      <c r="Q953" s="35"/>
      <c r="R953" s="31"/>
      <c r="S953" s="31"/>
      <c r="T953" s="31"/>
      <c r="U953" s="31"/>
    </row>
    <row r="954">
      <c r="A954" s="31"/>
      <c r="B954" s="32">
        <v>45996.0</v>
      </c>
      <c r="C954" s="55" t="s">
        <v>967</v>
      </c>
      <c r="D954" s="33" t="s">
        <v>42</v>
      </c>
      <c r="E954" s="33" t="s">
        <v>982</v>
      </c>
      <c r="F954" s="33" t="s">
        <v>152</v>
      </c>
      <c r="G954" s="33" t="s">
        <v>721</v>
      </c>
      <c r="H954" s="64">
        <v>3.52674E14</v>
      </c>
      <c r="I954" s="34" t="s">
        <v>86</v>
      </c>
      <c r="J954" s="33" t="s">
        <v>986</v>
      </c>
      <c r="K954" s="58" t="s">
        <v>11</v>
      </c>
      <c r="L954" s="35"/>
      <c r="M954" s="35"/>
      <c r="N954" s="31"/>
      <c r="O954" s="42"/>
      <c r="P954" s="35"/>
      <c r="Q954" s="35"/>
      <c r="R954" s="31"/>
      <c r="S954" s="31"/>
      <c r="T954" s="31"/>
      <c r="U954" s="31"/>
    </row>
    <row r="955">
      <c r="A955" s="31"/>
      <c r="B955" s="32">
        <v>45996.0</v>
      </c>
      <c r="C955" s="55" t="s">
        <v>967</v>
      </c>
      <c r="D955" s="33" t="s">
        <v>42</v>
      </c>
      <c r="E955" s="33" t="s">
        <v>982</v>
      </c>
      <c r="F955" s="33" t="s">
        <v>152</v>
      </c>
      <c r="G955" s="33" t="s">
        <v>721</v>
      </c>
      <c r="H955" s="64">
        <v>3.52674E14</v>
      </c>
      <c r="I955" s="34" t="s">
        <v>86</v>
      </c>
      <c r="J955" s="33" t="s">
        <v>987</v>
      </c>
      <c r="K955" s="58" t="s">
        <v>11</v>
      </c>
      <c r="L955" s="35"/>
      <c r="M955" s="35"/>
      <c r="N955" s="31"/>
      <c r="O955" s="42"/>
      <c r="P955" s="35"/>
      <c r="Q955" s="35"/>
      <c r="R955" s="31"/>
      <c r="S955" s="31"/>
      <c r="T955" s="31"/>
      <c r="U955" s="31"/>
    </row>
    <row r="956">
      <c r="A956" s="31"/>
      <c r="B956" s="32">
        <v>45996.0</v>
      </c>
      <c r="C956" s="55" t="s">
        <v>967</v>
      </c>
      <c r="D956" s="33" t="s">
        <v>42</v>
      </c>
      <c r="E956" s="33" t="s">
        <v>982</v>
      </c>
      <c r="F956" s="33" t="s">
        <v>152</v>
      </c>
      <c r="G956" s="33" t="s">
        <v>721</v>
      </c>
      <c r="H956" s="64">
        <v>3.52674E14</v>
      </c>
      <c r="I956" s="34" t="s">
        <v>86</v>
      </c>
      <c r="J956" s="33" t="s">
        <v>988</v>
      </c>
      <c r="K956" s="58" t="s">
        <v>11</v>
      </c>
      <c r="L956" s="35"/>
      <c r="M956" s="35"/>
      <c r="N956" s="31"/>
      <c r="O956" s="42"/>
      <c r="P956" s="35"/>
      <c r="Q956" s="35"/>
      <c r="R956" s="31"/>
      <c r="S956" s="31"/>
      <c r="T956" s="31"/>
      <c r="U956" s="31"/>
    </row>
    <row r="957">
      <c r="A957" s="31"/>
      <c r="B957" s="32">
        <v>46052.0</v>
      </c>
      <c r="C957" s="55" t="s">
        <v>50</v>
      </c>
      <c r="D957" s="33" t="s">
        <v>42</v>
      </c>
      <c r="E957" s="33" t="s">
        <v>989</v>
      </c>
      <c r="F957" s="33" t="s">
        <v>697</v>
      </c>
      <c r="G957" s="33" t="s">
        <v>721</v>
      </c>
      <c r="H957" s="33" t="s">
        <v>990</v>
      </c>
      <c r="I957" s="34" t="s">
        <v>19</v>
      </c>
      <c r="J957" s="35"/>
      <c r="K957" s="59"/>
      <c r="L957" s="35"/>
      <c r="M957" s="35"/>
      <c r="N957" s="31"/>
      <c r="O957" s="42"/>
      <c r="P957" s="35"/>
      <c r="Q957" s="35"/>
      <c r="R957" s="31"/>
      <c r="S957" s="31"/>
      <c r="T957" s="31"/>
      <c r="U957" s="31"/>
    </row>
    <row r="958">
      <c r="A958" s="31"/>
      <c r="B958" s="32">
        <v>46052.0</v>
      </c>
      <c r="C958" s="55" t="s">
        <v>50</v>
      </c>
      <c r="D958" s="33" t="s">
        <v>42</v>
      </c>
      <c r="E958" s="33" t="s">
        <v>991</v>
      </c>
      <c r="F958" s="33" t="s">
        <v>697</v>
      </c>
      <c r="G958" s="33" t="s">
        <v>721</v>
      </c>
      <c r="H958" s="33" t="s">
        <v>992</v>
      </c>
      <c r="I958" s="34" t="s">
        <v>19</v>
      </c>
      <c r="J958" s="35"/>
      <c r="K958" s="59"/>
      <c r="L958" s="35"/>
      <c r="M958" s="35"/>
      <c r="N958" s="31"/>
      <c r="O958" s="42"/>
      <c r="P958" s="35"/>
      <c r="Q958" s="35"/>
      <c r="R958" s="31"/>
      <c r="S958" s="31"/>
      <c r="T958" s="31"/>
      <c r="U958" s="31"/>
    </row>
    <row r="959">
      <c r="A959" s="31"/>
      <c r="B959" s="32">
        <v>46052.0</v>
      </c>
      <c r="C959" s="55" t="s">
        <v>50</v>
      </c>
      <c r="D959" s="33" t="s">
        <v>42</v>
      </c>
      <c r="E959" s="33" t="s">
        <v>989</v>
      </c>
      <c r="F959" s="33" t="s">
        <v>697</v>
      </c>
      <c r="G959" s="33" t="s">
        <v>721</v>
      </c>
      <c r="H959" s="33" t="s">
        <v>993</v>
      </c>
      <c r="I959" s="34" t="s">
        <v>19</v>
      </c>
      <c r="J959" s="35"/>
      <c r="K959" s="59"/>
      <c r="L959" s="35"/>
      <c r="M959" s="35"/>
      <c r="N959" s="31"/>
      <c r="O959" s="42"/>
      <c r="P959" s="35"/>
      <c r="Q959" s="35"/>
      <c r="R959" s="31"/>
      <c r="S959" s="31"/>
      <c r="T959" s="31"/>
      <c r="U959" s="31"/>
    </row>
    <row r="960">
      <c r="A960" s="31"/>
      <c r="B960" s="32">
        <v>46052.0</v>
      </c>
      <c r="C960" s="55" t="s">
        <v>50</v>
      </c>
      <c r="D960" s="33" t="s">
        <v>42</v>
      </c>
      <c r="E960" s="33" t="s">
        <v>991</v>
      </c>
      <c r="F960" s="33" t="s">
        <v>697</v>
      </c>
      <c r="G960" s="33" t="s">
        <v>721</v>
      </c>
      <c r="H960" s="33" t="s">
        <v>994</v>
      </c>
      <c r="I960" s="34" t="s">
        <v>19</v>
      </c>
      <c r="J960" s="35"/>
      <c r="K960" s="59"/>
      <c r="L960" s="35"/>
      <c r="M960" s="35"/>
      <c r="N960" s="31"/>
      <c r="O960" s="42"/>
      <c r="P960" s="35"/>
      <c r="Q960" s="35"/>
      <c r="R960" s="31"/>
      <c r="S960" s="31"/>
      <c r="T960" s="31"/>
      <c r="U960" s="31"/>
    </row>
    <row r="961">
      <c r="A961" s="31"/>
      <c r="B961" s="32">
        <v>46052.0</v>
      </c>
      <c r="C961" s="55" t="s">
        <v>50</v>
      </c>
      <c r="D961" s="33" t="s">
        <v>42</v>
      </c>
      <c r="E961" s="33" t="s">
        <v>989</v>
      </c>
      <c r="F961" s="33" t="s">
        <v>697</v>
      </c>
      <c r="G961" s="33" t="s">
        <v>721</v>
      </c>
      <c r="H961" s="33" t="s">
        <v>995</v>
      </c>
      <c r="I961" s="34" t="s">
        <v>19</v>
      </c>
      <c r="J961" s="35"/>
      <c r="K961" s="59"/>
      <c r="L961" s="35"/>
      <c r="M961" s="35"/>
      <c r="N961" s="31"/>
      <c r="O961" s="42"/>
      <c r="P961" s="35"/>
      <c r="Q961" s="35"/>
      <c r="R961" s="31"/>
      <c r="S961" s="31"/>
      <c r="T961" s="31"/>
      <c r="U961" s="31"/>
    </row>
    <row r="962">
      <c r="A962" s="31"/>
      <c r="B962" s="32">
        <v>46052.0</v>
      </c>
      <c r="C962" s="55" t="s">
        <v>50</v>
      </c>
      <c r="D962" s="33" t="s">
        <v>996</v>
      </c>
      <c r="E962" s="33" t="s">
        <v>991</v>
      </c>
      <c r="F962" s="33" t="s">
        <v>697</v>
      </c>
      <c r="G962" s="33" t="s">
        <v>721</v>
      </c>
      <c r="H962" s="33" t="s">
        <v>997</v>
      </c>
      <c r="I962" s="34" t="s">
        <v>19</v>
      </c>
      <c r="J962" s="35"/>
      <c r="K962" s="59"/>
      <c r="L962" s="35"/>
      <c r="M962" s="35"/>
      <c r="N962" s="31"/>
      <c r="O962" s="42"/>
      <c r="P962" s="35"/>
      <c r="Q962" s="35"/>
      <c r="R962" s="31"/>
      <c r="S962" s="31"/>
      <c r="T962" s="31"/>
      <c r="U962" s="31"/>
    </row>
    <row r="963">
      <c r="A963" s="31"/>
      <c r="B963" s="32">
        <v>46052.0</v>
      </c>
      <c r="C963" s="55" t="s">
        <v>50</v>
      </c>
      <c r="D963" s="33" t="s">
        <v>42</v>
      </c>
      <c r="E963" s="33" t="s">
        <v>989</v>
      </c>
      <c r="F963" s="33" t="s">
        <v>697</v>
      </c>
      <c r="G963" s="33" t="s">
        <v>721</v>
      </c>
      <c r="H963" s="33" t="s">
        <v>998</v>
      </c>
      <c r="I963" s="34" t="s">
        <v>19</v>
      </c>
      <c r="J963" s="35"/>
      <c r="K963" s="59"/>
      <c r="L963" s="35"/>
      <c r="M963" s="35"/>
      <c r="N963" s="31"/>
      <c r="O963" s="42"/>
      <c r="P963" s="35"/>
      <c r="Q963" s="35"/>
      <c r="R963" s="31"/>
      <c r="S963" s="31"/>
      <c r="T963" s="31"/>
      <c r="U963" s="31"/>
    </row>
    <row r="964">
      <c r="A964" s="31"/>
      <c r="B964" s="32">
        <v>46052.0</v>
      </c>
      <c r="C964" s="55" t="s">
        <v>50</v>
      </c>
      <c r="D964" s="33" t="s">
        <v>42</v>
      </c>
      <c r="E964" s="33" t="s">
        <v>991</v>
      </c>
      <c r="F964" s="33" t="s">
        <v>697</v>
      </c>
      <c r="G964" s="33" t="s">
        <v>721</v>
      </c>
      <c r="H964" s="33" t="s">
        <v>999</v>
      </c>
      <c r="I964" s="34" t="s">
        <v>19</v>
      </c>
      <c r="J964" s="35"/>
      <c r="K964" s="59"/>
      <c r="L964" s="35"/>
      <c r="M964" s="35"/>
      <c r="N964" s="31"/>
      <c r="O964" s="42"/>
      <c r="P964" s="35"/>
      <c r="Q964" s="35"/>
      <c r="R964" s="31"/>
      <c r="S964" s="31"/>
      <c r="T964" s="31"/>
      <c r="U964" s="31"/>
    </row>
    <row r="965">
      <c r="A965" s="31"/>
      <c r="B965" s="32">
        <v>46052.0</v>
      </c>
      <c r="C965" s="55" t="s">
        <v>50</v>
      </c>
      <c r="D965" s="33" t="s">
        <v>42</v>
      </c>
      <c r="E965" s="33" t="s">
        <v>989</v>
      </c>
      <c r="F965" s="33" t="s">
        <v>697</v>
      </c>
      <c r="G965" s="33" t="s">
        <v>721</v>
      </c>
      <c r="H965" s="66" t="s">
        <v>1000</v>
      </c>
      <c r="I965" s="34" t="s">
        <v>19</v>
      </c>
      <c r="J965" s="35"/>
      <c r="K965" s="58" t="s">
        <v>78</v>
      </c>
      <c r="L965" s="35"/>
      <c r="M965" s="35"/>
      <c r="N965" s="31"/>
      <c r="O965" s="42"/>
      <c r="P965" s="35"/>
      <c r="Q965" s="35"/>
      <c r="R965" s="31"/>
      <c r="S965" s="31"/>
      <c r="T965" s="31"/>
      <c r="U965" s="31"/>
    </row>
    <row r="966">
      <c r="A966" s="31"/>
      <c r="B966" s="32">
        <v>46052.0</v>
      </c>
      <c r="C966" s="55" t="s">
        <v>50</v>
      </c>
      <c r="D966" s="33" t="s">
        <v>42</v>
      </c>
      <c r="E966" s="33" t="s">
        <v>991</v>
      </c>
      <c r="F966" s="33" t="s">
        <v>697</v>
      </c>
      <c r="G966" s="33" t="s">
        <v>721</v>
      </c>
      <c r="H966" s="33" t="s">
        <v>1001</v>
      </c>
      <c r="I966" s="34" t="s">
        <v>19</v>
      </c>
      <c r="J966" s="35"/>
      <c r="K966" s="59"/>
      <c r="L966" s="35"/>
      <c r="M966" s="35"/>
      <c r="N966" s="31"/>
      <c r="O966" s="42"/>
      <c r="P966" s="35"/>
      <c r="Q966" s="35"/>
      <c r="R966" s="31"/>
      <c r="S966" s="31"/>
      <c r="T966" s="31"/>
      <c r="U966" s="31"/>
    </row>
    <row r="967">
      <c r="A967" s="31"/>
      <c r="B967" s="32">
        <v>46052.0</v>
      </c>
      <c r="C967" s="55" t="s">
        <v>50</v>
      </c>
      <c r="D967" s="33" t="s">
        <v>42</v>
      </c>
      <c r="E967" s="33" t="s">
        <v>989</v>
      </c>
      <c r="F967" s="33" t="s">
        <v>697</v>
      </c>
      <c r="G967" s="33" t="s">
        <v>721</v>
      </c>
      <c r="H967" s="33" t="s">
        <v>1002</v>
      </c>
      <c r="I967" s="34" t="s">
        <v>11</v>
      </c>
      <c r="J967" s="35"/>
      <c r="K967" s="58" t="s">
        <v>78</v>
      </c>
      <c r="L967" s="35"/>
      <c r="M967" s="35"/>
      <c r="N967" s="31"/>
      <c r="O967" s="42"/>
      <c r="P967" s="35"/>
      <c r="Q967" s="35"/>
      <c r="R967" s="31"/>
      <c r="S967" s="31"/>
      <c r="T967" s="31"/>
      <c r="U967" s="31"/>
    </row>
    <row r="968">
      <c r="A968" s="31"/>
      <c r="B968" s="32">
        <v>46052.0</v>
      </c>
      <c r="C968" s="55" t="s">
        <v>50</v>
      </c>
      <c r="D968" s="33" t="s">
        <v>42</v>
      </c>
      <c r="E968" s="33" t="s">
        <v>991</v>
      </c>
      <c r="F968" s="33" t="s">
        <v>697</v>
      </c>
      <c r="G968" s="33" t="s">
        <v>721</v>
      </c>
      <c r="H968" s="33" t="s">
        <v>1003</v>
      </c>
      <c r="I968" s="34" t="s">
        <v>19</v>
      </c>
      <c r="J968" s="35"/>
      <c r="K968" s="59"/>
      <c r="L968" s="35"/>
      <c r="M968" s="35"/>
      <c r="N968" s="31"/>
      <c r="O968" s="42"/>
      <c r="P968" s="35"/>
      <c r="Q968" s="35"/>
      <c r="R968" s="31"/>
      <c r="S968" s="31"/>
      <c r="T968" s="31"/>
      <c r="U968" s="31"/>
    </row>
    <row r="969">
      <c r="A969" s="31"/>
      <c r="B969" s="32">
        <v>46059.0</v>
      </c>
      <c r="C969" s="55" t="s">
        <v>50</v>
      </c>
      <c r="D969" s="33" t="s">
        <v>42</v>
      </c>
      <c r="E969" s="33" t="s">
        <v>989</v>
      </c>
      <c r="F969" s="33" t="s">
        <v>697</v>
      </c>
      <c r="G969" s="33" t="s">
        <v>721</v>
      </c>
      <c r="H969" s="33" t="s">
        <v>1004</v>
      </c>
      <c r="I969" s="34" t="s">
        <v>11</v>
      </c>
      <c r="J969" s="35"/>
      <c r="K969" s="59"/>
      <c r="L969" s="35"/>
      <c r="M969" s="35"/>
      <c r="N969" s="31"/>
      <c r="O969" s="42"/>
      <c r="P969" s="35"/>
      <c r="Q969" s="35"/>
      <c r="R969" s="31"/>
      <c r="S969" s="31"/>
      <c r="T969" s="31"/>
      <c r="U969" s="31"/>
    </row>
    <row r="970">
      <c r="A970" s="31"/>
      <c r="B970" s="32">
        <v>46059.0</v>
      </c>
      <c r="C970" s="55" t="s">
        <v>50</v>
      </c>
      <c r="D970" s="33" t="s">
        <v>42</v>
      </c>
      <c r="E970" s="33" t="s">
        <v>991</v>
      </c>
      <c r="F970" s="33" t="s">
        <v>697</v>
      </c>
      <c r="G970" s="33" t="s">
        <v>721</v>
      </c>
      <c r="H970" s="33" t="s">
        <v>1005</v>
      </c>
      <c r="I970" s="34" t="s">
        <v>11</v>
      </c>
      <c r="J970" s="35"/>
      <c r="K970" s="58" t="s">
        <v>78</v>
      </c>
      <c r="L970" s="35"/>
      <c r="M970" s="35"/>
      <c r="N970" s="31"/>
      <c r="O970" s="42"/>
      <c r="P970" s="35"/>
      <c r="Q970" s="35"/>
      <c r="R970" s="31"/>
      <c r="S970" s="31"/>
      <c r="T970" s="31"/>
      <c r="U970" s="31"/>
    </row>
    <row r="971">
      <c r="A971" s="31"/>
      <c r="B971" s="32">
        <v>46059.0</v>
      </c>
      <c r="C971" s="55" t="s">
        <v>50</v>
      </c>
      <c r="D971" s="33" t="s">
        <v>42</v>
      </c>
      <c r="E971" s="33" t="s">
        <v>989</v>
      </c>
      <c r="F971" s="33" t="s">
        <v>697</v>
      </c>
      <c r="G971" s="33" t="s">
        <v>721</v>
      </c>
      <c r="H971" s="33" t="s">
        <v>1006</v>
      </c>
      <c r="I971" s="34" t="s">
        <v>11</v>
      </c>
      <c r="J971" s="35"/>
      <c r="K971" s="59"/>
      <c r="L971" s="35"/>
      <c r="M971" s="35"/>
      <c r="N971" s="31"/>
      <c r="O971" s="42"/>
      <c r="P971" s="35"/>
      <c r="Q971" s="35"/>
      <c r="R971" s="31"/>
      <c r="S971" s="31"/>
      <c r="T971" s="31"/>
      <c r="U971" s="31"/>
    </row>
    <row r="972">
      <c r="A972" s="31"/>
      <c r="B972" s="32">
        <v>46059.0</v>
      </c>
      <c r="C972" s="55" t="s">
        <v>50</v>
      </c>
      <c r="D972" s="33" t="s">
        <v>42</v>
      </c>
      <c r="E972" s="33" t="s">
        <v>991</v>
      </c>
      <c r="F972" s="33" t="s">
        <v>697</v>
      </c>
      <c r="G972" s="33" t="s">
        <v>721</v>
      </c>
      <c r="H972" s="33" t="s">
        <v>1007</v>
      </c>
      <c r="I972" s="34" t="s">
        <v>11</v>
      </c>
      <c r="J972" s="35"/>
      <c r="K972" s="58" t="s">
        <v>78</v>
      </c>
      <c r="L972" s="35"/>
      <c r="M972" s="35"/>
      <c r="N972" s="31"/>
      <c r="O972" s="42"/>
      <c r="P972" s="35"/>
      <c r="Q972" s="35"/>
      <c r="R972" s="31"/>
      <c r="S972" s="31"/>
      <c r="T972" s="31"/>
      <c r="U972" s="31"/>
    </row>
    <row r="973">
      <c r="A973" s="31"/>
      <c r="B973" s="32">
        <v>46059.0</v>
      </c>
      <c r="C973" s="55" t="s">
        <v>50</v>
      </c>
      <c r="D973" s="33" t="s">
        <v>42</v>
      </c>
      <c r="E973" s="33" t="s">
        <v>989</v>
      </c>
      <c r="F973" s="33" t="s">
        <v>697</v>
      </c>
      <c r="G973" s="33" t="s">
        <v>721</v>
      </c>
      <c r="H973" s="33" t="s">
        <v>1008</v>
      </c>
      <c r="I973" s="34" t="s">
        <v>11</v>
      </c>
      <c r="J973" s="35"/>
      <c r="K973" s="59"/>
      <c r="L973" s="35"/>
      <c r="M973" s="35"/>
      <c r="N973" s="31"/>
      <c r="O973" s="42"/>
      <c r="P973" s="35"/>
      <c r="Q973" s="35"/>
      <c r="R973" s="31"/>
      <c r="S973" s="31"/>
      <c r="T973" s="31"/>
      <c r="U973" s="31"/>
    </row>
    <row r="974">
      <c r="A974" s="31"/>
      <c r="B974" s="32">
        <v>46059.0</v>
      </c>
      <c r="C974" s="55" t="s">
        <v>50</v>
      </c>
      <c r="D974" s="33" t="s">
        <v>42</v>
      </c>
      <c r="E974" s="33" t="s">
        <v>991</v>
      </c>
      <c r="F974" s="33" t="s">
        <v>697</v>
      </c>
      <c r="G974" s="33" t="s">
        <v>721</v>
      </c>
      <c r="H974" s="33" t="s">
        <v>1009</v>
      </c>
      <c r="I974" s="34" t="s">
        <v>11</v>
      </c>
      <c r="J974" s="35"/>
      <c r="K974" s="58" t="s">
        <v>78</v>
      </c>
      <c r="L974" s="35"/>
      <c r="M974" s="35"/>
      <c r="N974" s="31"/>
      <c r="O974" s="42"/>
      <c r="P974" s="35"/>
      <c r="Q974" s="35"/>
      <c r="R974" s="31"/>
      <c r="S974" s="31"/>
      <c r="T974" s="31"/>
      <c r="U974" s="31"/>
    </row>
    <row r="975">
      <c r="A975" s="31"/>
      <c r="B975" s="32">
        <v>46059.0</v>
      </c>
      <c r="C975" s="55" t="s">
        <v>50</v>
      </c>
      <c r="D975" s="33" t="s">
        <v>42</v>
      </c>
      <c r="E975" s="33" t="s">
        <v>989</v>
      </c>
      <c r="F975" s="33" t="s">
        <v>697</v>
      </c>
      <c r="G975" s="33" t="s">
        <v>721</v>
      </c>
      <c r="H975" s="33" t="s">
        <v>1010</v>
      </c>
      <c r="I975" s="34" t="s">
        <v>11</v>
      </c>
      <c r="J975" s="35"/>
      <c r="K975" s="59"/>
      <c r="L975" s="35"/>
      <c r="M975" s="35"/>
      <c r="N975" s="31"/>
      <c r="O975" s="42"/>
      <c r="P975" s="35"/>
      <c r="Q975" s="35"/>
      <c r="R975" s="31"/>
      <c r="S975" s="31"/>
      <c r="T975" s="31"/>
      <c r="U975" s="31"/>
    </row>
    <row r="976">
      <c r="A976" s="31"/>
      <c r="B976" s="32">
        <v>46059.0</v>
      </c>
      <c r="C976" s="55" t="s">
        <v>50</v>
      </c>
      <c r="D976" s="33" t="s">
        <v>42</v>
      </c>
      <c r="E976" s="33" t="s">
        <v>991</v>
      </c>
      <c r="F976" s="33" t="s">
        <v>697</v>
      </c>
      <c r="G976" s="33" t="s">
        <v>721</v>
      </c>
      <c r="H976" s="33" t="s">
        <v>1011</v>
      </c>
      <c r="I976" s="34" t="s">
        <v>11</v>
      </c>
      <c r="J976" s="35"/>
      <c r="K976" s="59"/>
      <c r="L976" s="35"/>
      <c r="M976" s="35"/>
      <c r="N976" s="31"/>
      <c r="O976" s="42"/>
      <c r="P976" s="35"/>
      <c r="Q976" s="35"/>
      <c r="R976" s="31"/>
      <c r="S976" s="31"/>
      <c r="T976" s="31"/>
      <c r="U976" s="31"/>
    </row>
    <row r="977">
      <c r="A977" s="31"/>
      <c r="B977" s="32">
        <v>46059.0</v>
      </c>
      <c r="C977" s="55" t="s">
        <v>50</v>
      </c>
      <c r="D977" s="33" t="s">
        <v>42</v>
      </c>
      <c r="E977" s="33" t="s">
        <v>989</v>
      </c>
      <c r="F977" s="33" t="s">
        <v>697</v>
      </c>
      <c r="G977" s="33" t="s">
        <v>721</v>
      </c>
      <c r="H977" s="33" t="s">
        <v>1012</v>
      </c>
      <c r="I977" s="34" t="s">
        <v>11</v>
      </c>
      <c r="J977" s="35"/>
      <c r="K977" s="59"/>
      <c r="L977" s="35"/>
      <c r="M977" s="35"/>
      <c r="N977" s="31"/>
      <c r="O977" s="42"/>
      <c r="P977" s="35"/>
      <c r="Q977" s="35"/>
      <c r="R977" s="31"/>
      <c r="S977" s="31"/>
      <c r="T977" s="31"/>
      <c r="U977" s="31"/>
    </row>
    <row r="978">
      <c r="A978" s="31"/>
      <c r="B978" s="32">
        <v>46059.0</v>
      </c>
      <c r="C978" s="55" t="s">
        <v>50</v>
      </c>
      <c r="D978" s="33" t="s">
        <v>42</v>
      </c>
      <c r="E978" s="33" t="s">
        <v>991</v>
      </c>
      <c r="F978" s="33" t="s">
        <v>697</v>
      </c>
      <c r="G978" s="33" t="s">
        <v>721</v>
      </c>
      <c r="H978" s="33" t="s">
        <v>1013</v>
      </c>
      <c r="I978" s="34" t="s">
        <v>11</v>
      </c>
      <c r="J978" s="35"/>
      <c r="K978" s="58" t="s">
        <v>78</v>
      </c>
      <c r="L978" s="35"/>
      <c r="M978" s="35"/>
      <c r="N978" s="31"/>
      <c r="O978" s="42"/>
      <c r="P978" s="35"/>
      <c r="Q978" s="35"/>
      <c r="R978" s="31"/>
      <c r="S978" s="31"/>
      <c r="T978" s="31"/>
      <c r="U978" s="31"/>
    </row>
    <row r="979">
      <c r="A979" s="31"/>
      <c r="B979" s="32">
        <v>46059.0</v>
      </c>
      <c r="C979" s="55" t="s">
        <v>50</v>
      </c>
      <c r="D979" s="33" t="s">
        <v>42</v>
      </c>
      <c r="E979" s="33" t="s">
        <v>989</v>
      </c>
      <c r="F979" s="33" t="s">
        <v>697</v>
      </c>
      <c r="G979" s="33" t="s">
        <v>721</v>
      </c>
      <c r="H979" s="33" t="s">
        <v>1014</v>
      </c>
      <c r="I979" s="34" t="s">
        <v>11</v>
      </c>
      <c r="J979" s="35"/>
      <c r="K979" s="59"/>
      <c r="L979" s="35"/>
      <c r="M979" s="35"/>
      <c r="N979" s="31"/>
      <c r="O979" s="42"/>
      <c r="P979" s="35"/>
      <c r="Q979" s="35"/>
      <c r="R979" s="31"/>
      <c r="S979" s="31"/>
      <c r="T979" s="31"/>
      <c r="U979" s="31"/>
    </row>
    <row r="980">
      <c r="A980" s="31"/>
      <c r="B980" s="32">
        <v>46059.0</v>
      </c>
      <c r="C980" s="55" t="s">
        <v>50</v>
      </c>
      <c r="D980" s="33" t="s">
        <v>42</v>
      </c>
      <c r="E980" s="33" t="s">
        <v>991</v>
      </c>
      <c r="F980" s="33" t="s">
        <v>697</v>
      </c>
      <c r="G980" s="33" t="s">
        <v>721</v>
      </c>
      <c r="H980" s="33" t="s">
        <v>1015</v>
      </c>
      <c r="I980" s="34" t="s">
        <v>11</v>
      </c>
      <c r="J980" s="35"/>
      <c r="K980" s="58" t="s">
        <v>78</v>
      </c>
      <c r="L980" s="35"/>
      <c r="M980" s="35"/>
      <c r="N980" s="31"/>
      <c r="O980" s="42"/>
      <c r="P980" s="35"/>
      <c r="Q980" s="35"/>
      <c r="R980" s="31"/>
      <c r="S980" s="31"/>
      <c r="T980" s="31"/>
      <c r="U980" s="31"/>
    </row>
    <row r="981">
      <c r="A981" s="31"/>
      <c r="B981" s="32">
        <v>46059.0</v>
      </c>
      <c r="C981" s="55" t="s">
        <v>50</v>
      </c>
      <c r="D981" s="33" t="s">
        <v>42</v>
      </c>
      <c r="E981" s="33" t="s">
        <v>989</v>
      </c>
      <c r="F981" s="33" t="s">
        <v>697</v>
      </c>
      <c r="G981" s="33" t="s">
        <v>721</v>
      </c>
      <c r="H981" s="33" t="s">
        <v>1016</v>
      </c>
      <c r="I981" s="34" t="s">
        <v>11</v>
      </c>
      <c r="J981" s="35"/>
      <c r="K981" s="59"/>
      <c r="L981" s="35"/>
      <c r="M981" s="35"/>
      <c r="N981" s="31"/>
      <c r="O981" s="42"/>
      <c r="P981" s="35"/>
      <c r="Q981" s="35"/>
      <c r="R981" s="31"/>
      <c r="S981" s="31"/>
      <c r="T981" s="31"/>
      <c r="U981" s="31"/>
    </row>
    <row r="982">
      <c r="A982" s="31"/>
      <c r="B982" s="32">
        <v>46059.0</v>
      </c>
      <c r="C982" s="55" t="s">
        <v>50</v>
      </c>
      <c r="D982" s="33" t="s">
        <v>42</v>
      </c>
      <c r="E982" s="33" t="s">
        <v>991</v>
      </c>
      <c r="F982" s="33" t="s">
        <v>697</v>
      </c>
      <c r="G982" s="33" t="s">
        <v>721</v>
      </c>
      <c r="H982" s="33" t="s">
        <v>1017</v>
      </c>
      <c r="I982" s="34" t="s">
        <v>11</v>
      </c>
      <c r="J982" s="35"/>
      <c r="K982" s="59"/>
      <c r="L982" s="35"/>
      <c r="M982" s="35"/>
      <c r="N982" s="31"/>
      <c r="O982" s="42"/>
      <c r="P982" s="35"/>
      <c r="Q982" s="35"/>
      <c r="R982" s="31"/>
      <c r="S982" s="31"/>
      <c r="T982" s="31"/>
      <c r="U982" s="31"/>
    </row>
    <row r="983">
      <c r="A983" s="31"/>
      <c r="B983" s="32">
        <v>46059.0</v>
      </c>
      <c r="C983" s="55" t="s">
        <v>50</v>
      </c>
      <c r="D983" s="33" t="s">
        <v>42</v>
      </c>
      <c r="E983" s="33" t="s">
        <v>989</v>
      </c>
      <c r="F983" s="33" t="s">
        <v>697</v>
      </c>
      <c r="G983" s="33" t="s">
        <v>721</v>
      </c>
      <c r="H983" s="33" t="s">
        <v>1018</v>
      </c>
      <c r="I983" s="34" t="s">
        <v>11</v>
      </c>
      <c r="J983" s="35"/>
      <c r="K983" s="59"/>
      <c r="L983" s="35"/>
      <c r="M983" s="35"/>
      <c r="N983" s="31"/>
      <c r="O983" s="42"/>
      <c r="P983" s="35"/>
      <c r="Q983" s="35"/>
      <c r="R983" s="31"/>
      <c r="S983" s="31"/>
      <c r="T983" s="31"/>
      <c r="U983" s="31"/>
    </row>
    <row r="984">
      <c r="A984" s="31"/>
      <c r="B984" s="32">
        <v>46059.0</v>
      </c>
      <c r="C984" s="55" t="s">
        <v>50</v>
      </c>
      <c r="D984" s="33" t="s">
        <v>42</v>
      </c>
      <c r="E984" s="33" t="s">
        <v>991</v>
      </c>
      <c r="F984" s="33" t="s">
        <v>697</v>
      </c>
      <c r="G984" s="33" t="s">
        <v>721</v>
      </c>
      <c r="H984" s="33" t="s">
        <v>1019</v>
      </c>
      <c r="I984" s="34" t="s">
        <v>11</v>
      </c>
      <c r="J984" s="35"/>
      <c r="K984" s="58" t="s">
        <v>78</v>
      </c>
      <c r="L984" s="35"/>
      <c r="M984" s="35"/>
      <c r="N984" s="31"/>
      <c r="O984" s="42"/>
      <c r="P984" s="35"/>
      <c r="Q984" s="35"/>
      <c r="R984" s="31"/>
      <c r="S984" s="31"/>
      <c r="T984" s="31"/>
      <c r="U984" s="31"/>
    </row>
    <row r="985">
      <c r="A985" s="31"/>
      <c r="B985" s="32">
        <v>46059.0</v>
      </c>
      <c r="C985" s="55" t="s">
        <v>50</v>
      </c>
      <c r="D985" s="33" t="s">
        <v>42</v>
      </c>
      <c r="E985" s="33" t="s">
        <v>989</v>
      </c>
      <c r="F985" s="33" t="s">
        <v>697</v>
      </c>
      <c r="G985" s="33" t="s">
        <v>721</v>
      </c>
      <c r="H985" s="33" t="s">
        <v>1020</v>
      </c>
      <c r="I985" s="34" t="s">
        <v>11</v>
      </c>
      <c r="J985" s="35"/>
      <c r="K985" s="59"/>
      <c r="L985" s="35"/>
      <c r="M985" s="35"/>
      <c r="N985" s="31"/>
      <c r="O985" s="42"/>
      <c r="P985" s="35"/>
      <c r="Q985" s="35"/>
      <c r="R985" s="31"/>
      <c r="S985" s="31"/>
      <c r="T985" s="31"/>
      <c r="U985" s="31"/>
    </row>
    <row r="986">
      <c r="A986" s="31"/>
      <c r="B986" s="32">
        <v>46059.0</v>
      </c>
      <c r="C986" s="55" t="s">
        <v>50</v>
      </c>
      <c r="D986" s="33" t="s">
        <v>42</v>
      </c>
      <c r="E986" s="33" t="s">
        <v>991</v>
      </c>
      <c r="F986" s="33" t="s">
        <v>697</v>
      </c>
      <c r="G986" s="33" t="s">
        <v>721</v>
      </c>
      <c r="H986" s="33" t="s">
        <v>1021</v>
      </c>
      <c r="I986" s="34" t="s">
        <v>11</v>
      </c>
      <c r="J986" s="35"/>
      <c r="K986" s="59"/>
      <c r="L986" s="35"/>
      <c r="M986" s="35"/>
      <c r="N986" s="31"/>
      <c r="O986" s="42"/>
      <c r="P986" s="35"/>
      <c r="Q986" s="35"/>
      <c r="R986" s="31"/>
      <c r="S986" s="31"/>
      <c r="T986" s="31"/>
      <c r="U986" s="31"/>
    </row>
    <row r="987">
      <c r="A987" s="31"/>
      <c r="B987" s="32">
        <v>46059.0</v>
      </c>
      <c r="C987" s="55" t="s">
        <v>50</v>
      </c>
      <c r="D987" s="33" t="s">
        <v>42</v>
      </c>
      <c r="E987" s="33" t="s">
        <v>989</v>
      </c>
      <c r="F987" s="33" t="s">
        <v>697</v>
      </c>
      <c r="G987" s="33" t="s">
        <v>721</v>
      </c>
      <c r="H987" s="33" t="s">
        <v>1022</v>
      </c>
      <c r="I987" s="34" t="s">
        <v>11</v>
      </c>
      <c r="J987" s="35"/>
      <c r="K987" s="59"/>
      <c r="L987" s="35"/>
      <c r="M987" s="35"/>
      <c r="N987" s="31"/>
      <c r="O987" s="42"/>
      <c r="P987" s="35"/>
      <c r="Q987" s="35"/>
      <c r="R987" s="31"/>
      <c r="S987" s="31"/>
      <c r="T987" s="31"/>
      <c r="U987" s="31"/>
    </row>
    <row r="988">
      <c r="A988" s="31"/>
      <c r="B988" s="32">
        <v>46059.0</v>
      </c>
      <c r="C988" s="55" t="s">
        <v>50</v>
      </c>
      <c r="D988" s="33" t="s">
        <v>42</v>
      </c>
      <c r="E988" s="33" t="s">
        <v>991</v>
      </c>
      <c r="F988" s="33" t="s">
        <v>697</v>
      </c>
      <c r="G988" s="33" t="s">
        <v>721</v>
      </c>
      <c r="H988" s="33" t="s">
        <v>1023</v>
      </c>
      <c r="I988" s="34" t="s">
        <v>11</v>
      </c>
      <c r="J988" s="35"/>
      <c r="K988" s="58" t="s">
        <v>78</v>
      </c>
      <c r="L988" s="35"/>
      <c r="M988" s="35"/>
      <c r="N988" s="31"/>
      <c r="O988" s="42"/>
      <c r="P988" s="35"/>
      <c r="Q988" s="35"/>
      <c r="R988" s="31"/>
      <c r="S988" s="31"/>
      <c r="T988" s="31"/>
      <c r="U988" s="31"/>
    </row>
    <row r="989">
      <c r="A989" s="31"/>
      <c r="B989" s="32">
        <v>46059.0</v>
      </c>
      <c r="C989" s="55" t="s">
        <v>50</v>
      </c>
      <c r="D989" s="33" t="s">
        <v>42</v>
      </c>
      <c r="E989" s="33" t="s">
        <v>989</v>
      </c>
      <c r="F989" s="33" t="s">
        <v>697</v>
      </c>
      <c r="G989" s="33" t="s">
        <v>721</v>
      </c>
      <c r="H989" s="33" t="s">
        <v>1024</v>
      </c>
      <c r="I989" s="34" t="s">
        <v>11</v>
      </c>
      <c r="J989" s="35"/>
      <c r="K989" s="59"/>
      <c r="L989" s="35"/>
      <c r="M989" s="35"/>
      <c r="N989" s="31"/>
      <c r="O989" s="42"/>
      <c r="P989" s="35"/>
      <c r="Q989" s="35"/>
      <c r="R989" s="31"/>
      <c r="S989" s="31"/>
      <c r="T989" s="31"/>
      <c r="U989" s="31"/>
    </row>
    <row r="990">
      <c r="A990" s="31"/>
      <c r="B990" s="32">
        <v>46059.0</v>
      </c>
      <c r="C990" s="55" t="s">
        <v>50</v>
      </c>
      <c r="D990" s="33" t="s">
        <v>42</v>
      </c>
      <c r="E990" s="33" t="s">
        <v>991</v>
      </c>
      <c r="F990" s="33" t="s">
        <v>697</v>
      </c>
      <c r="G990" s="33" t="s">
        <v>721</v>
      </c>
      <c r="H990" s="33" t="s">
        <v>1025</v>
      </c>
      <c r="I990" s="34" t="s">
        <v>11</v>
      </c>
      <c r="J990" s="35"/>
      <c r="K990" s="58" t="s">
        <v>78</v>
      </c>
      <c r="L990" s="35"/>
      <c r="M990" s="35"/>
      <c r="N990" s="31"/>
      <c r="O990" s="42"/>
      <c r="P990" s="35"/>
      <c r="Q990" s="35"/>
      <c r="R990" s="31"/>
      <c r="S990" s="31"/>
      <c r="T990" s="31"/>
      <c r="U990" s="31"/>
    </row>
    <row r="991">
      <c r="A991" s="31"/>
      <c r="B991" s="32">
        <v>46064.0</v>
      </c>
      <c r="C991" s="31"/>
      <c r="D991" s="33" t="s">
        <v>31</v>
      </c>
      <c r="E991" s="33" t="s">
        <v>1026</v>
      </c>
      <c r="F991" s="33" t="s">
        <v>152</v>
      </c>
      <c r="G991" s="33" t="s">
        <v>1027</v>
      </c>
      <c r="H991" s="33">
        <v>3.5033472117909E14</v>
      </c>
      <c r="I991" s="34" t="s">
        <v>78</v>
      </c>
      <c r="J991" s="35"/>
      <c r="K991" s="33" t="s">
        <v>11</v>
      </c>
      <c r="L991" s="35"/>
      <c r="M991" s="35"/>
      <c r="N991" s="31"/>
      <c r="O991" s="42"/>
      <c r="P991" s="35"/>
      <c r="Q991" s="35"/>
      <c r="R991" s="31"/>
      <c r="S991" s="31"/>
      <c r="T991" s="31"/>
      <c r="U991" s="31"/>
    </row>
    <row r="992">
      <c r="A992" s="31"/>
      <c r="B992" s="32">
        <v>46064.0</v>
      </c>
      <c r="C992" s="31"/>
      <c r="D992" s="33" t="s">
        <v>31</v>
      </c>
      <c r="E992" s="33" t="s">
        <v>1028</v>
      </c>
      <c r="F992" s="33" t="s">
        <v>152</v>
      </c>
      <c r="G992" s="33" t="s">
        <v>845</v>
      </c>
      <c r="H992" s="33">
        <v>3.55649780289687E14</v>
      </c>
      <c r="I992" s="34" t="s">
        <v>78</v>
      </c>
      <c r="J992" s="35"/>
      <c r="K992" s="58" t="s">
        <v>11</v>
      </c>
      <c r="L992" s="35"/>
      <c r="M992" s="35"/>
      <c r="N992" s="31"/>
      <c r="O992" s="42"/>
      <c r="P992" s="35"/>
      <c r="Q992" s="35"/>
      <c r="R992" s="31"/>
      <c r="S992" s="31"/>
      <c r="T992" s="31"/>
      <c r="U992" s="31"/>
    </row>
    <row r="993">
      <c r="A993" s="31"/>
      <c r="B993" s="32">
        <v>46064.0</v>
      </c>
      <c r="C993" s="31"/>
      <c r="D993" s="33" t="s">
        <v>31</v>
      </c>
      <c r="E993" s="33" t="s">
        <v>1028</v>
      </c>
      <c r="F993" s="33" t="s">
        <v>152</v>
      </c>
      <c r="G993" s="33" t="s">
        <v>845</v>
      </c>
      <c r="H993" s="33">
        <v>3.55649780289729E14</v>
      </c>
      <c r="I993" s="34" t="s">
        <v>78</v>
      </c>
      <c r="J993" s="35"/>
      <c r="K993" s="58" t="s">
        <v>11</v>
      </c>
      <c r="L993" s="35"/>
      <c r="M993" s="35"/>
      <c r="N993" s="31"/>
      <c r="O993" s="42"/>
      <c r="P993" s="35"/>
      <c r="Q993" s="35"/>
      <c r="R993" s="31"/>
      <c r="S993" s="31"/>
      <c r="T993" s="31"/>
      <c r="U993" s="31"/>
    </row>
    <row r="994">
      <c r="A994" s="31"/>
      <c r="B994" s="32">
        <v>46064.0</v>
      </c>
      <c r="C994" s="31"/>
      <c r="D994" s="33" t="s">
        <v>31</v>
      </c>
      <c r="E994" s="33" t="s">
        <v>1028</v>
      </c>
      <c r="F994" s="33" t="s">
        <v>152</v>
      </c>
      <c r="G994" s="33" t="s">
        <v>845</v>
      </c>
      <c r="H994" s="33">
        <v>3.55649780288663E14</v>
      </c>
      <c r="I994" s="34" t="s">
        <v>78</v>
      </c>
      <c r="J994" s="35"/>
      <c r="K994" s="58" t="s">
        <v>11</v>
      </c>
      <c r="L994" s="35"/>
      <c r="M994" s="35"/>
      <c r="N994" s="31"/>
      <c r="O994" s="42"/>
      <c r="P994" s="35"/>
      <c r="Q994" s="35"/>
      <c r="R994" s="31"/>
      <c r="S994" s="31"/>
      <c r="T994" s="31"/>
      <c r="U994" s="31"/>
    </row>
    <row r="995">
      <c r="A995" s="31"/>
      <c r="B995" s="32">
        <v>46064.0</v>
      </c>
      <c r="C995" s="31"/>
      <c r="D995" s="33" t="s">
        <v>31</v>
      </c>
      <c r="E995" s="33" t="s">
        <v>1028</v>
      </c>
      <c r="F995" s="33" t="s">
        <v>152</v>
      </c>
      <c r="G995" s="33" t="s">
        <v>845</v>
      </c>
      <c r="H995" s="33">
        <v>3.55649780289422E14</v>
      </c>
      <c r="I995" s="34" t="s">
        <v>78</v>
      </c>
      <c r="J995" s="35"/>
      <c r="K995" s="59"/>
      <c r="L995" s="35"/>
      <c r="M995" s="35"/>
      <c r="N995" s="31"/>
      <c r="O995" s="42"/>
      <c r="P995" s="35"/>
      <c r="Q995" s="35"/>
      <c r="R995" s="31"/>
      <c r="S995" s="31"/>
      <c r="T995" s="31"/>
      <c r="U995" s="31"/>
    </row>
    <row r="996">
      <c r="A996" s="31"/>
      <c r="B996" s="32">
        <v>46064.0</v>
      </c>
      <c r="C996" s="31"/>
      <c r="D996" s="33" t="s">
        <v>31</v>
      </c>
      <c r="E996" s="33" t="s">
        <v>1028</v>
      </c>
      <c r="F996" s="33" t="s">
        <v>152</v>
      </c>
      <c r="G996" s="33" t="s">
        <v>845</v>
      </c>
      <c r="H996" s="33">
        <v>3.55649780286204E14</v>
      </c>
      <c r="I996" s="34" t="s">
        <v>78</v>
      </c>
      <c r="J996" s="35"/>
      <c r="K996" s="59"/>
      <c r="L996" s="35"/>
      <c r="M996" s="35"/>
      <c r="N996" s="31"/>
      <c r="O996" s="42"/>
      <c r="P996" s="35"/>
      <c r="Q996" s="35"/>
      <c r="R996" s="31"/>
      <c r="S996" s="31"/>
      <c r="T996" s="31"/>
      <c r="U996" s="31"/>
    </row>
    <row r="997">
      <c r="A997" s="31"/>
      <c r="B997" s="32">
        <v>46064.0</v>
      </c>
      <c r="C997" s="31"/>
      <c r="D997" s="33" t="s">
        <v>31</v>
      </c>
      <c r="E997" s="33" t="s">
        <v>1028</v>
      </c>
      <c r="F997" s="33" t="s">
        <v>152</v>
      </c>
      <c r="G997" s="33" t="s">
        <v>845</v>
      </c>
      <c r="H997" s="33">
        <v>3.55649780289521E14</v>
      </c>
      <c r="I997" s="34" t="s">
        <v>78</v>
      </c>
      <c r="J997" s="35"/>
      <c r="K997" s="59"/>
      <c r="L997" s="35"/>
      <c r="M997" s="35"/>
      <c r="N997" s="31"/>
      <c r="O997" s="42"/>
      <c r="P997" s="35"/>
      <c r="Q997" s="35"/>
      <c r="R997" s="31"/>
      <c r="S997" s="31"/>
      <c r="T997" s="31"/>
      <c r="U997" s="31"/>
    </row>
    <row r="998">
      <c r="A998" s="31"/>
      <c r="B998" s="32">
        <v>46064.0</v>
      </c>
      <c r="C998" s="31"/>
      <c r="D998" s="33" t="s">
        <v>31</v>
      </c>
      <c r="E998" s="33" t="s">
        <v>1028</v>
      </c>
      <c r="F998" s="33" t="s">
        <v>152</v>
      </c>
      <c r="G998" s="33" t="s">
        <v>845</v>
      </c>
      <c r="H998" s="33">
        <v>3.55649780289638E14</v>
      </c>
      <c r="I998" s="34" t="s">
        <v>78</v>
      </c>
      <c r="J998" s="35"/>
      <c r="K998" s="59"/>
      <c r="L998" s="35"/>
      <c r="M998" s="35"/>
      <c r="N998" s="31"/>
      <c r="O998" s="42"/>
      <c r="P998" s="35"/>
      <c r="Q998" s="35"/>
      <c r="R998" s="31"/>
      <c r="S998" s="31"/>
      <c r="T998" s="31"/>
      <c r="U998" s="31"/>
    </row>
    <row r="999">
      <c r="A999" s="31"/>
      <c r="B999" s="32">
        <v>46064.0</v>
      </c>
      <c r="C999" s="31"/>
      <c r="D999" s="33" t="s">
        <v>31</v>
      </c>
      <c r="E999" s="33" t="s">
        <v>1028</v>
      </c>
      <c r="F999" s="33" t="s">
        <v>152</v>
      </c>
      <c r="G999" s="33" t="s">
        <v>845</v>
      </c>
      <c r="H999" s="33">
        <v>3.55649780289513E14</v>
      </c>
      <c r="I999" s="34" t="s">
        <v>78</v>
      </c>
      <c r="J999" s="35"/>
      <c r="K999" s="59"/>
      <c r="L999" s="35"/>
      <c r="M999" s="35"/>
      <c r="N999" s="31"/>
      <c r="O999" s="42"/>
      <c r="P999" s="35"/>
      <c r="Q999" s="35"/>
      <c r="R999" s="31"/>
      <c r="S999" s="31"/>
      <c r="T999" s="31"/>
      <c r="U999" s="31"/>
    </row>
    <row r="1000">
      <c r="A1000" s="31"/>
      <c r="B1000" s="32">
        <v>46064.0</v>
      </c>
      <c r="C1000" s="31"/>
      <c r="D1000" s="33" t="s">
        <v>31</v>
      </c>
      <c r="E1000" s="33" t="s">
        <v>1028</v>
      </c>
      <c r="F1000" s="33" t="s">
        <v>152</v>
      </c>
      <c r="G1000" s="33" t="s">
        <v>845</v>
      </c>
      <c r="H1000" s="33">
        <v>3.55649780288341E14</v>
      </c>
      <c r="I1000" s="34" t="s">
        <v>78</v>
      </c>
      <c r="J1000" s="35"/>
      <c r="K1000" s="59"/>
      <c r="L1000" s="35"/>
      <c r="M1000" s="35"/>
      <c r="N1000" s="31"/>
      <c r="O1000" s="42"/>
      <c r="P1000" s="35"/>
      <c r="Q1000" s="35"/>
      <c r="R1000" s="31"/>
      <c r="S1000" s="31"/>
      <c r="T1000" s="31"/>
      <c r="U1000" s="31"/>
    </row>
    <row r="1001">
      <c r="A1001" s="31"/>
      <c r="B1001" s="32">
        <v>46064.0</v>
      </c>
      <c r="C1001" s="31"/>
      <c r="D1001" s="33" t="s">
        <v>31</v>
      </c>
      <c r="E1001" s="33" t="s">
        <v>1028</v>
      </c>
      <c r="F1001" s="33" t="s">
        <v>152</v>
      </c>
      <c r="G1001" s="33" t="s">
        <v>845</v>
      </c>
      <c r="H1001" s="33">
        <v>3.55649780289364E14</v>
      </c>
      <c r="I1001" s="34" t="s">
        <v>78</v>
      </c>
      <c r="J1001" s="35"/>
      <c r="K1001" s="59"/>
      <c r="L1001" s="35"/>
      <c r="M1001" s="35"/>
      <c r="N1001" s="31"/>
      <c r="O1001" s="42"/>
      <c r="P1001" s="35"/>
      <c r="Q1001" s="35"/>
      <c r="R1001" s="31"/>
      <c r="S1001" s="31"/>
      <c r="T1001" s="31"/>
      <c r="U1001" s="31"/>
    </row>
    <row r="1002">
      <c r="A1002" s="31"/>
      <c r="B1002" s="32">
        <v>46064.0</v>
      </c>
      <c r="C1002" s="31"/>
      <c r="D1002" s="33" t="s">
        <v>31</v>
      </c>
      <c r="E1002" s="33" t="s">
        <v>1028</v>
      </c>
      <c r="F1002" s="33" t="s">
        <v>152</v>
      </c>
      <c r="G1002" s="33" t="s">
        <v>845</v>
      </c>
      <c r="H1002" s="33">
        <v>3.55649780289018E14</v>
      </c>
      <c r="I1002" s="34" t="s">
        <v>78</v>
      </c>
      <c r="J1002" s="35"/>
      <c r="K1002" s="59"/>
      <c r="L1002" s="35"/>
      <c r="M1002" s="35"/>
      <c r="N1002" s="31"/>
      <c r="O1002" s="42"/>
      <c r="P1002" s="35"/>
      <c r="Q1002" s="35"/>
      <c r="R1002" s="31"/>
      <c r="S1002" s="31"/>
      <c r="T1002" s="31"/>
      <c r="U1002" s="31"/>
    </row>
    <row r="1003">
      <c r="A1003" s="31"/>
      <c r="B1003" s="32">
        <v>46064.0</v>
      </c>
      <c r="C1003" s="31"/>
      <c r="D1003" s="33" t="s">
        <v>42</v>
      </c>
      <c r="E1003" s="33" t="s">
        <v>1029</v>
      </c>
      <c r="F1003" s="33" t="s">
        <v>152</v>
      </c>
      <c r="G1003" s="33" t="s">
        <v>721</v>
      </c>
      <c r="H1003" s="33" t="s">
        <v>1030</v>
      </c>
      <c r="I1003" s="34" t="s">
        <v>78</v>
      </c>
      <c r="J1003" s="35"/>
      <c r="K1003" s="59"/>
      <c r="L1003" s="35"/>
      <c r="M1003" s="35"/>
      <c r="N1003" s="31"/>
      <c r="O1003" s="42"/>
      <c r="P1003" s="35"/>
      <c r="Q1003" s="35"/>
      <c r="R1003" s="31"/>
      <c r="S1003" s="31"/>
      <c r="T1003" s="31"/>
      <c r="U1003" s="31"/>
    </row>
    <row r="1004">
      <c r="A1004" s="31"/>
      <c r="B1004" s="32">
        <v>46064.0</v>
      </c>
      <c r="C1004" s="31"/>
      <c r="D1004" s="33" t="s">
        <v>31</v>
      </c>
      <c r="E1004" s="33" t="s">
        <v>1031</v>
      </c>
      <c r="F1004" s="33" t="s">
        <v>84</v>
      </c>
      <c r="G1004" s="33" t="s">
        <v>1032</v>
      </c>
      <c r="H1004" s="33">
        <v>3.52744885024858E14</v>
      </c>
      <c r="I1004" s="34" t="s">
        <v>78</v>
      </c>
      <c r="J1004" s="35"/>
      <c r="K1004" s="58" t="s">
        <v>11</v>
      </c>
      <c r="L1004" s="32">
        <v>46064.0</v>
      </c>
      <c r="M1004" s="35"/>
      <c r="N1004" s="55" t="s">
        <v>1033</v>
      </c>
      <c r="O1004" s="42"/>
      <c r="P1004" s="35"/>
      <c r="Q1004" s="35"/>
      <c r="R1004" s="31"/>
      <c r="S1004" s="31"/>
      <c r="T1004" s="31"/>
      <c r="U1004" s="31"/>
    </row>
    <row r="1005">
      <c r="A1005" s="31"/>
      <c r="B1005" s="32">
        <v>46064.0</v>
      </c>
      <c r="C1005" s="31"/>
      <c r="D1005" s="33" t="s">
        <v>31</v>
      </c>
      <c r="E1005" s="33" t="s">
        <v>1034</v>
      </c>
      <c r="F1005" s="33" t="s">
        <v>293</v>
      </c>
      <c r="G1005" s="33" t="s">
        <v>1032</v>
      </c>
      <c r="H1005" s="33">
        <v>3.53892182028392E14</v>
      </c>
      <c r="I1005" s="34" t="s">
        <v>78</v>
      </c>
      <c r="J1005" s="35"/>
      <c r="K1005" s="58" t="s">
        <v>11</v>
      </c>
      <c r="L1005" s="32">
        <v>46064.0</v>
      </c>
      <c r="M1005" s="35"/>
      <c r="N1005" s="55" t="s">
        <v>1033</v>
      </c>
      <c r="O1005" s="42"/>
      <c r="P1005" s="35"/>
      <c r="Q1005" s="35"/>
      <c r="R1005" s="31"/>
      <c r="S1005" s="31"/>
      <c r="T1005" s="31"/>
      <c r="U1005" s="31"/>
    </row>
    <row r="1006">
      <c r="A1006" s="31"/>
      <c r="B1006" s="32">
        <v>46064.0</v>
      </c>
      <c r="C1006" s="31"/>
      <c r="D1006" s="33" t="s">
        <v>31</v>
      </c>
      <c r="E1006" s="33" t="s">
        <v>1035</v>
      </c>
      <c r="F1006" s="33" t="s">
        <v>318</v>
      </c>
      <c r="G1006" s="33" t="s">
        <v>328</v>
      </c>
      <c r="H1006" s="33">
        <v>3.5492213001603E14</v>
      </c>
      <c r="I1006" s="34" t="s">
        <v>78</v>
      </c>
      <c r="J1006" s="35"/>
      <c r="K1006" s="58" t="s">
        <v>11</v>
      </c>
      <c r="L1006" s="35"/>
      <c r="M1006" s="35"/>
      <c r="N1006" s="31"/>
      <c r="O1006" s="42"/>
      <c r="P1006" s="35"/>
      <c r="Q1006" s="35"/>
      <c r="R1006" s="31"/>
      <c r="S1006" s="31"/>
      <c r="T1006" s="31"/>
      <c r="U1006" s="31"/>
    </row>
    <row r="1007">
      <c r="A1007" s="31"/>
      <c r="B1007" s="32">
        <v>46064.0</v>
      </c>
      <c r="C1007" s="31"/>
      <c r="D1007" s="33" t="s">
        <v>17</v>
      </c>
      <c r="E1007" s="33" t="s">
        <v>185</v>
      </c>
      <c r="F1007" s="35"/>
      <c r="G1007" s="33" t="s">
        <v>187</v>
      </c>
      <c r="H1007" s="33" t="s">
        <v>188</v>
      </c>
      <c r="I1007" s="34" t="s">
        <v>78</v>
      </c>
      <c r="J1007" s="35"/>
      <c r="K1007" s="58" t="s">
        <v>19</v>
      </c>
      <c r="L1007" s="35"/>
      <c r="M1007" s="35"/>
      <c r="N1007" s="31"/>
      <c r="O1007" s="42"/>
      <c r="P1007" s="35"/>
      <c r="Q1007" s="35"/>
      <c r="R1007" s="31"/>
      <c r="S1007" s="31"/>
      <c r="T1007" s="31"/>
      <c r="U1007" s="31"/>
    </row>
    <row r="1008">
      <c r="A1008" s="31"/>
      <c r="B1008" s="32">
        <v>46064.0</v>
      </c>
      <c r="C1008" s="31"/>
      <c r="D1008" s="33" t="s">
        <v>17</v>
      </c>
      <c r="E1008" s="33" t="s">
        <v>182</v>
      </c>
      <c r="F1008" s="33" t="s">
        <v>262</v>
      </c>
      <c r="G1008" s="33" t="s">
        <v>262</v>
      </c>
      <c r="H1008" s="33" t="s">
        <v>306</v>
      </c>
      <c r="I1008" s="34" t="s">
        <v>78</v>
      </c>
      <c r="J1008" s="35"/>
      <c r="K1008" s="58" t="s">
        <v>19</v>
      </c>
      <c r="L1008" s="35"/>
      <c r="M1008" s="35"/>
      <c r="N1008" s="31"/>
      <c r="O1008" s="42"/>
      <c r="P1008" s="35"/>
      <c r="Q1008" s="35"/>
      <c r="R1008" s="31"/>
      <c r="S1008" s="31"/>
      <c r="T1008" s="31"/>
      <c r="U1008" s="31"/>
    </row>
    <row r="1009">
      <c r="A1009" s="31"/>
      <c r="B1009" s="32">
        <v>46064.0</v>
      </c>
      <c r="C1009" s="31"/>
      <c r="D1009" s="33" t="s">
        <v>17</v>
      </c>
      <c r="E1009" s="33" t="s">
        <v>182</v>
      </c>
      <c r="F1009" s="35"/>
      <c r="G1009" s="33" t="s">
        <v>222</v>
      </c>
      <c r="H1009" s="33" t="s">
        <v>223</v>
      </c>
      <c r="I1009" s="34" t="s">
        <v>78</v>
      </c>
      <c r="J1009" s="35"/>
      <c r="K1009" s="58" t="s">
        <v>19</v>
      </c>
      <c r="L1009" s="35"/>
      <c r="M1009" s="35"/>
      <c r="N1009" s="31"/>
      <c r="O1009" s="42"/>
      <c r="P1009" s="35"/>
      <c r="Q1009" s="35"/>
      <c r="R1009" s="31"/>
      <c r="S1009" s="31"/>
      <c r="T1009" s="31"/>
      <c r="U1009" s="31"/>
    </row>
    <row r="1010">
      <c r="A1010" s="31"/>
      <c r="B1010" s="32">
        <v>46064.0</v>
      </c>
      <c r="C1010" s="31"/>
      <c r="D1010" s="33" t="s">
        <v>17</v>
      </c>
      <c r="E1010" s="33" t="s">
        <v>182</v>
      </c>
      <c r="F1010" s="33" t="s">
        <v>262</v>
      </c>
      <c r="G1010" s="33" t="s">
        <v>262</v>
      </c>
      <c r="H1010" s="33" t="s">
        <v>305</v>
      </c>
      <c r="I1010" s="34" t="s">
        <v>78</v>
      </c>
      <c r="J1010" s="35"/>
      <c r="K1010" s="58" t="s">
        <v>19</v>
      </c>
      <c r="L1010" s="35"/>
      <c r="M1010" s="35"/>
      <c r="N1010" s="31"/>
      <c r="O1010" s="42"/>
      <c r="P1010" s="35"/>
      <c r="Q1010" s="35"/>
      <c r="R1010" s="31"/>
      <c r="S1010" s="31"/>
      <c r="T1010" s="31"/>
      <c r="U1010" s="31"/>
    </row>
    <row r="1011">
      <c r="A1011" s="31"/>
      <c r="B1011" s="32">
        <v>46064.0</v>
      </c>
      <c r="C1011" s="31"/>
      <c r="D1011" s="33" t="s">
        <v>17</v>
      </c>
      <c r="E1011" s="33" t="s">
        <v>182</v>
      </c>
      <c r="F1011" s="35"/>
      <c r="G1011" s="33" t="s">
        <v>207</v>
      </c>
      <c r="H1011" s="33" t="s">
        <v>211</v>
      </c>
      <c r="I1011" s="34" t="s">
        <v>78</v>
      </c>
      <c r="J1011" s="35"/>
      <c r="K1011" s="58" t="s">
        <v>19</v>
      </c>
      <c r="L1011" s="35"/>
      <c r="M1011" s="35"/>
      <c r="N1011" s="31"/>
      <c r="O1011" s="42"/>
      <c r="P1011" s="35"/>
      <c r="Q1011" s="35"/>
      <c r="R1011" s="31"/>
      <c r="S1011" s="31"/>
      <c r="T1011" s="31"/>
      <c r="U1011" s="31"/>
    </row>
    <row r="1012">
      <c r="A1012" s="31"/>
      <c r="B1012" s="32">
        <v>46064.0</v>
      </c>
      <c r="C1012" s="31"/>
      <c r="D1012" s="33" t="s">
        <v>17</v>
      </c>
      <c r="E1012" s="33" t="s">
        <v>182</v>
      </c>
      <c r="F1012" s="35"/>
      <c r="G1012" s="33" t="s">
        <v>224</v>
      </c>
      <c r="H1012" s="33" t="s">
        <v>225</v>
      </c>
      <c r="I1012" s="34" t="s">
        <v>106</v>
      </c>
      <c r="J1012" s="35"/>
      <c r="K1012" s="33" t="s">
        <v>105</v>
      </c>
      <c r="L1012" s="35"/>
      <c r="M1012" s="35"/>
      <c r="N1012" s="31"/>
      <c r="O1012" s="42"/>
      <c r="P1012" s="35"/>
      <c r="Q1012" s="35"/>
      <c r="R1012" s="31"/>
      <c r="S1012" s="31"/>
      <c r="T1012" s="31"/>
      <c r="U1012" s="31"/>
    </row>
    <row r="1013">
      <c r="A1013" s="31"/>
      <c r="B1013" s="32">
        <v>46064.0</v>
      </c>
      <c r="C1013" s="31"/>
      <c r="D1013" s="33" t="s">
        <v>17</v>
      </c>
      <c r="E1013" s="33" t="s">
        <v>182</v>
      </c>
      <c r="F1013" s="35"/>
      <c r="G1013" s="33" t="s">
        <v>176</v>
      </c>
      <c r="H1013" s="33" t="s">
        <v>183</v>
      </c>
      <c r="I1013" s="34" t="s">
        <v>78</v>
      </c>
      <c r="J1013" s="35"/>
      <c r="K1013" s="58" t="s">
        <v>11</v>
      </c>
      <c r="L1013" s="35"/>
      <c r="M1013" s="35"/>
      <c r="N1013" s="31"/>
      <c r="O1013" s="42"/>
      <c r="P1013" s="35"/>
      <c r="Q1013" s="35"/>
      <c r="R1013" s="31"/>
      <c r="S1013" s="31"/>
      <c r="T1013" s="31"/>
      <c r="U1013" s="31"/>
    </row>
    <row r="1014">
      <c r="A1014" s="31"/>
      <c r="B1014" s="32">
        <v>46064.0</v>
      </c>
      <c r="C1014" s="31"/>
      <c r="D1014" s="33" t="s">
        <v>17</v>
      </c>
      <c r="E1014" s="33" t="s">
        <v>185</v>
      </c>
      <c r="F1014" s="35"/>
      <c r="G1014" s="33" t="s">
        <v>207</v>
      </c>
      <c r="H1014" s="33" t="s">
        <v>231</v>
      </c>
      <c r="I1014" s="34" t="s">
        <v>106</v>
      </c>
      <c r="J1014" s="35"/>
      <c r="K1014" s="58" t="s">
        <v>105</v>
      </c>
      <c r="L1014" s="35"/>
      <c r="M1014" s="35"/>
      <c r="N1014" s="31"/>
      <c r="O1014" s="42"/>
      <c r="P1014" s="35"/>
      <c r="Q1014" s="35"/>
      <c r="R1014" s="31"/>
      <c r="S1014" s="31"/>
      <c r="T1014" s="31"/>
      <c r="U1014" s="31"/>
    </row>
    <row r="1015">
      <c r="A1015" s="31"/>
      <c r="B1015" s="32">
        <v>46064.0</v>
      </c>
      <c r="C1015" s="31"/>
      <c r="D1015" s="33" t="s">
        <v>17</v>
      </c>
      <c r="E1015" s="33" t="s">
        <v>185</v>
      </c>
      <c r="F1015" s="35"/>
      <c r="G1015" s="33" t="s">
        <v>169</v>
      </c>
      <c r="H1015" s="33" t="s">
        <v>186</v>
      </c>
      <c r="I1015" s="34" t="s">
        <v>78</v>
      </c>
      <c r="J1015" s="35"/>
      <c r="K1015" s="33" t="s">
        <v>11</v>
      </c>
      <c r="L1015" s="35"/>
      <c r="M1015" s="35"/>
      <c r="N1015" s="31"/>
      <c r="O1015" s="42"/>
      <c r="P1015" s="35"/>
      <c r="Q1015" s="35"/>
      <c r="R1015" s="31"/>
      <c r="S1015" s="31"/>
      <c r="T1015" s="31"/>
      <c r="U1015" s="31"/>
    </row>
    <row r="1016">
      <c r="A1016" s="31"/>
      <c r="B1016" s="32">
        <v>46064.0</v>
      </c>
      <c r="C1016" s="31"/>
      <c r="D1016" s="33" t="s">
        <v>17</v>
      </c>
      <c r="E1016" s="33" t="s">
        <v>185</v>
      </c>
      <c r="F1016" s="35"/>
      <c r="G1016" s="33" t="s">
        <v>215</v>
      </c>
      <c r="H1016" s="33" t="s">
        <v>216</v>
      </c>
      <c r="I1016" s="34" t="s">
        <v>106</v>
      </c>
      <c r="J1016" s="35"/>
      <c r="K1016" s="58" t="s">
        <v>105</v>
      </c>
      <c r="L1016" s="35"/>
      <c r="M1016" s="35"/>
      <c r="N1016" s="31"/>
      <c r="O1016" s="42"/>
      <c r="P1016" s="35"/>
      <c r="Q1016" s="35"/>
      <c r="R1016" s="31"/>
      <c r="S1016" s="31"/>
      <c r="T1016" s="31"/>
      <c r="U1016" s="31"/>
    </row>
  </sheetData>
  <autoFilter ref="$A$1:$T$1016"/>
  <mergeCells count="21">
    <mergeCell ref="A636:B636"/>
    <mergeCell ref="A637:B637"/>
    <mergeCell ref="A638:B638"/>
    <mergeCell ref="A639:B639"/>
    <mergeCell ref="A640:B640"/>
    <mergeCell ref="A641:B641"/>
    <mergeCell ref="A891:B891"/>
    <mergeCell ref="A899:B899"/>
    <mergeCell ref="A900:B900"/>
    <mergeCell ref="A901:B901"/>
    <mergeCell ref="A907:B907"/>
    <mergeCell ref="A923:B923"/>
    <mergeCell ref="A924:B924"/>
    <mergeCell ref="A925:B925"/>
    <mergeCell ref="A892:B892"/>
    <mergeCell ref="A893:B893"/>
    <mergeCell ref="A894:B894"/>
    <mergeCell ref="A895:B895"/>
    <mergeCell ref="A896:B896"/>
    <mergeCell ref="A897:B897"/>
    <mergeCell ref="A898:B898"/>
  </mergeCells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63"/>
  </cols>
  <sheetData>
    <row r="1">
      <c r="A1" s="67" t="s">
        <v>1036</v>
      </c>
      <c r="B1" s="68" t="s">
        <v>54</v>
      </c>
      <c r="C1" s="68" t="s">
        <v>55</v>
      </c>
      <c r="D1" s="68" t="s">
        <v>56</v>
      </c>
      <c r="E1" s="68" t="s">
        <v>57</v>
      </c>
      <c r="F1" s="68" t="s">
        <v>58</v>
      </c>
      <c r="G1" s="68" t="s">
        <v>59</v>
      </c>
      <c r="H1" s="68" t="s">
        <v>60</v>
      </c>
      <c r="I1" s="68" t="s">
        <v>61</v>
      </c>
      <c r="J1" s="68" t="s">
        <v>62</v>
      </c>
      <c r="K1" s="68" t="s">
        <v>63</v>
      </c>
      <c r="L1" s="69" t="s">
        <v>64</v>
      </c>
      <c r="M1" s="70" t="s">
        <v>65</v>
      </c>
      <c r="N1" s="70" t="s">
        <v>66</v>
      </c>
      <c r="O1" s="70" t="s">
        <v>67</v>
      </c>
      <c r="P1" s="70" t="s">
        <v>68</v>
      </c>
      <c r="Q1" s="70" t="s">
        <v>69</v>
      </c>
      <c r="R1" s="70" t="s">
        <v>70</v>
      </c>
      <c r="S1" s="70" t="s">
        <v>1037</v>
      </c>
      <c r="T1" s="70" t="s">
        <v>72</v>
      </c>
    </row>
    <row r="2">
      <c r="A2" s="71" t="s">
        <v>1038</v>
      </c>
      <c r="B2" s="72">
        <v>45849.0</v>
      </c>
      <c r="C2" s="73" t="s">
        <v>50</v>
      </c>
      <c r="D2" s="73" t="s">
        <v>31</v>
      </c>
      <c r="E2" s="73" t="s">
        <v>815</v>
      </c>
      <c r="F2" s="73" t="s">
        <v>84</v>
      </c>
      <c r="G2" s="73" t="s">
        <v>115</v>
      </c>
      <c r="H2" s="73">
        <v>3.54312420005291E14</v>
      </c>
      <c r="I2" s="73" t="s">
        <v>900</v>
      </c>
      <c r="J2" s="73" t="s">
        <v>107</v>
      </c>
      <c r="K2" s="73" t="s">
        <v>327</v>
      </c>
      <c r="L2" s="74"/>
      <c r="M2" s="74"/>
      <c r="N2" s="74"/>
      <c r="O2" s="74"/>
      <c r="P2" s="74"/>
      <c r="Q2" s="74"/>
      <c r="R2" s="75" t="e">
        <v>#VALUE!</v>
      </c>
      <c r="S2" s="74"/>
      <c r="T2" s="76"/>
    </row>
    <row r="3">
      <c r="A3" s="71" t="s">
        <v>1039</v>
      </c>
      <c r="B3" s="72">
        <v>45849.0</v>
      </c>
      <c r="C3" s="73" t="s">
        <v>50</v>
      </c>
      <c r="D3" s="73" t="s">
        <v>31</v>
      </c>
      <c r="E3" s="73" t="s">
        <v>811</v>
      </c>
      <c r="F3" s="73" t="s">
        <v>84</v>
      </c>
      <c r="G3" s="73" t="s">
        <v>376</v>
      </c>
      <c r="H3" s="73">
        <v>3.54312420005978E14</v>
      </c>
      <c r="I3" s="73" t="s">
        <v>78</v>
      </c>
      <c r="J3" s="73" t="s">
        <v>1040</v>
      </c>
      <c r="K3" s="73" t="s">
        <v>327</v>
      </c>
      <c r="L3" s="74"/>
      <c r="M3" s="74"/>
      <c r="N3" s="74"/>
      <c r="O3" s="74"/>
      <c r="P3" s="74"/>
      <c r="Q3" s="74"/>
      <c r="R3" s="75" t="e">
        <v>#VALUE!</v>
      </c>
      <c r="S3" s="74"/>
      <c r="T3" s="77"/>
    </row>
    <row r="4">
      <c r="A4" s="71" t="s">
        <v>1041</v>
      </c>
      <c r="B4" s="78">
        <v>45849.0</v>
      </c>
      <c r="C4" s="79" t="s">
        <v>50</v>
      </c>
      <c r="D4" s="79" t="s">
        <v>31</v>
      </c>
      <c r="E4" s="79" t="s">
        <v>811</v>
      </c>
      <c r="F4" s="79" t="s">
        <v>84</v>
      </c>
      <c r="G4" s="79" t="s">
        <v>376</v>
      </c>
      <c r="H4" s="79">
        <v>3.5431242000365E14</v>
      </c>
      <c r="I4" s="79" t="s">
        <v>78</v>
      </c>
      <c r="J4" s="79" t="s">
        <v>1042</v>
      </c>
      <c r="K4" s="79" t="s">
        <v>327</v>
      </c>
      <c r="L4" s="80" t="s">
        <v>1043</v>
      </c>
      <c r="M4" s="80" t="s">
        <v>1044</v>
      </c>
      <c r="N4" s="74"/>
      <c r="O4" s="74"/>
      <c r="P4" s="74"/>
      <c r="Q4" s="74"/>
      <c r="R4" s="75" t="e">
        <v>#VALUE!</v>
      </c>
      <c r="S4" s="74"/>
      <c r="T4" s="76"/>
    </row>
    <row r="5">
      <c r="A5" s="81"/>
      <c r="B5" s="72">
        <v>45849.0</v>
      </c>
      <c r="C5" s="73" t="s">
        <v>50</v>
      </c>
      <c r="D5" s="73" t="s">
        <v>31</v>
      </c>
      <c r="E5" s="73" t="s">
        <v>811</v>
      </c>
      <c r="F5" s="73" t="s">
        <v>84</v>
      </c>
      <c r="G5" s="73" t="s">
        <v>376</v>
      </c>
      <c r="H5" s="73">
        <v>3.54312420003726E14</v>
      </c>
      <c r="I5" s="73" t="s">
        <v>436</v>
      </c>
      <c r="J5" s="73" t="s">
        <v>1045</v>
      </c>
      <c r="K5" s="73" t="s">
        <v>327</v>
      </c>
      <c r="L5" s="81"/>
      <c r="M5" s="81"/>
      <c r="N5" s="81"/>
      <c r="O5" s="81"/>
      <c r="P5" s="81"/>
      <c r="Q5" s="81"/>
      <c r="R5" s="81"/>
      <c r="S5" s="81"/>
      <c r="T5" s="81"/>
    </row>
    <row r="6">
      <c r="A6" s="81"/>
      <c r="B6" s="72">
        <v>45849.0</v>
      </c>
      <c r="C6" s="73" t="s">
        <v>50</v>
      </c>
      <c r="D6" s="73" t="s">
        <v>31</v>
      </c>
      <c r="E6" s="73" t="s">
        <v>811</v>
      </c>
      <c r="F6" s="73" t="s">
        <v>84</v>
      </c>
      <c r="G6" s="73" t="s">
        <v>376</v>
      </c>
      <c r="H6" s="73">
        <v>3.54312420006034E14</v>
      </c>
      <c r="I6" s="73" t="s">
        <v>436</v>
      </c>
      <c r="J6" s="73" t="s">
        <v>748</v>
      </c>
      <c r="K6" s="73" t="s">
        <v>327</v>
      </c>
      <c r="L6" s="81"/>
      <c r="M6" s="81"/>
      <c r="N6" s="81"/>
      <c r="O6" s="81"/>
      <c r="P6" s="81"/>
      <c r="Q6" s="81"/>
      <c r="R6" s="81"/>
      <c r="S6" s="81"/>
      <c r="T6" s="81"/>
    </row>
    <row r="7">
      <c r="A7" s="81"/>
      <c r="B7" s="72">
        <v>45849.0</v>
      </c>
      <c r="C7" s="73" t="s">
        <v>50</v>
      </c>
      <c r="D7" s="73" t="s">
        <v>31</v>
      </c>
      <c r="E7" s="73" t="s">
        <v>811</v>
      </c>
      <c r="F7" s="73" t="s">
        <v>84</v>
      </c>
      <c r="G7" s="73" t="s">
        <v>376</v>
      </c>
      <c r="H7" s="73">
        <v>3.54312420005168E14</v>
      </c>
      <c r="I7" s="73" t="s">
        <v>436</v>
      </c>
      <c r="J7" s="73" t="s">
        <v>1046</v>
      </c>
      <c r="K7" s="73" t="s">
        <v>327</v>
      </c>
      <c r="L7" s="81"/>
      <c r="M7" s="81"/>
      <c r="N7" s="81"/>
      <c r="O7" s="81"/>
      <c r="P7" s="81"/>
      <c r="Q7" s="81"/>
      <c r="R7" s="81"/>
      <c r="S7" s="81"/>
      <c r="T7" s="81"/>
    </row>
    <row r="8">
      <c r="A8" s="81"/>
      <c r="B8" s="72">
        <v>45849.0</v>
      </c>
      <c r="C8" s="73" t="s">
        <v>50</v>
      </c>
      <c r="D8" s="73" t="s">
        <v>31</v>
      </c>
      <c r="E8" s="73" t="s">
        <v>811</v>
      </c>
      <c r="F8" s="73" t="s">
        <v>84</v>
      </c>
      <c r="G8" s="73" t="s">
        <v>376</v>
      </c>
      <c r="H8" s="73">
        <v>3.54312420004609E14</v>
      </c>
      <c r="I8" s="73" t="s">
        <v>78</v>
      </c>
      <c r="J8" s="73" t="s">
        <v>1047</v>
      </c>
      <c r="K8" s="73" t="s">
        <v>327</v>
      </c>
      <c r="L8" s="81"/>
      <c r="M8" s="81"/>
      <c r="N8" s="81"/>
      <c r="O8" s="81"/>
      <c r="P8" s="81"/>
      <c r="Q8" s="81"/>
      <c r="R8" s="81"/>
      <c r="S8" s="81"/>
      <c r="T8" s="81"/>
    </row>
    <row r="9">
      <c r="A9" s="81"/>
      <c r="B9" s="72">
        <v>45849.0</v>
      </c>
      <c r="C9" s="73" t="s">
        <v>50</v>
      </c>
      <c r="D9" s="73" t="s">
        <v>31</v>
      </c>
      <c r="E9" s="73" t="s">
        <v>811</v>
      </c>
      <c r="F9" s="73" t="s">
        <v>84</v>
      </c>
      <c r="G9" s="73" t="s">
        <v>376</v>
      </c>
      <c r="H9" s="73">
        <v>3.54312420005101E14</v>
      </c>
      <c r="I9" s="73" t="s">
        <v>436</v>
      </c>
      <c r="J9" s="73" t="s">
        <v>751</v>
      </c>
      <c r="K9" s="73" t="s">
        <v>327</v>
      </c>
      <c r="L9" s="81"/>
      <c r="M9" s="81"/>
      <c r="N9" s="81"/>
      <c r="O9" s="81"/>
      <c r="P9" s="81"/>
      <c r="Q9" s="81"/>
      <c r="R9" s="81"/>
      <c r="S9" s="81"/>
      <c r="T9" s="81"/>
    </row>
    <row r="10">
      <c r="A10" s="81"/>
      <c r="B10" s="72">
        <v>45849.0</v>
      </c>
      <c r="C10" s="73" t="s">
        <v>50</v>
      </c>
      <c r="D10" s="73" t="s">
        <v>31</v>
      </c>
      <c r="E10" s="73" t="s">
        <v>811</v>
      </c>
      <c r="F10" s="73" t="s">
        <v>84</v>
      </c>
      <c r="G10" s="73" t="s">
        <v>376</v>
      </c>
      <c r="H10" s="73">
        <v>3.5431242000346E14</v>
      </c>
      <c r="I10" s="73" t="s">
        <v>78</v>
      </c>
      <c r="J10" s="73" t="s">
        <v>1048</v>
      </c>
      <c r="K10" s="73" t="s">
        <v>327</v>
      </c>
      <c r="L10" s="81"/>
      <c r="M10" s="81"/>
      <c r="N10" s="81"/>
      <c r="O10" s="81"/>
      <c r="P10" s="81"/>
      <c r="Q10" s="81"/>
      <c r="R10" s="81"/>
      <c r="S10" s="81"/>
      <c r="T10" s="81"/>
    </row>
    <row r="11">
      <c r="A11" s="81"/>
      <c r="B11" s="78">
        <v>45849.0</v>
      </c>
      <c r="C11" s="79" t="s">
        <v>50</v>
      </c>
      <c r="D11" s="79" t="s">
        <v>31</v>
      </c>
      <c r="E11" s="79" t="s">
        <v>811</v>
      </c>
      <c r="F11" s="79" t="s">
        <v>76</v>
      </c>
      <c r="G11" s="79" t="s">
        <v>376</v>
      </c>
      <c r="H11" s="79">
        <v>3.5169118000191E14</v>
      </c>
      <c r="I11" s="79" t="s">
        <v>1049</v>
      </c>
      <c r="J11" s="79" t="s">
        <v>1050</v>
      </c>
      <c r="K11" s="79" t="s">
        <v>327</v>
      </c>
      <c r="L11" s="81"/>
      <c r="M11" s="81"/>
      <c r="N11" s="81"/>
      <c r="O11" s="81"/>
      <c r="P11" s="81"/>
      <c r="Q11" s="81"/>
      <c r="R11" s="81"/>
      <c r="S11" s="81"/>
      <c r="T11" s="81"/>
    </row>
    <row r="12">
      <c r="A12" s="81"/>
      <c r="B12" s="72">
        <v>45849.0</v>
      </c>
      <c r="C12" s="73" t="s">
        <v>50</v>
      </c>
      <c r="D12" s="73" t="s">
        <v>31</v>
      </c>
      <c r="E12" s="73" t="s">
        <v>811</v>
      </c>
      <c r="F12" s="73" t="s">
        <v>84</v>
      </c>
      <c r="G12" s="73" t="s">
        <v>778</v>
      </c>
      <c r="H12" s="73">
        <v>3.54312420019045E14</v>
      </c>
      <c r="I12" s="73" t="s">
        <v>436</v>
      </c>
      <c r="J12" s="73" t="s">
        <v>1046</v>
      </c>
      <c r="K12" s="73" t="s">
        <v>327</v>
      </c>
      <c r="L12" s="81"/>
      <c r="M12" s="81"/>
      <c r="N12" s="81"/>
      <c r="O12" s="81"/>
      <c r="P12" s="81"/>
      <c r="Q12" s="81"/>
      <c r="R12" s="81"/>
      <c r="S12" s="81"/>
      <c r="T12" s="81"/>
    </row>
    <row r="13">
      <c r="A13" s="81"/>
      <c r="B13" s="72">
        <v>45850.0</v>
      </c>
      <c r="C13" s="73" t="s">
        <v>50</v>
      </c>
      <c r="D13" s="73" t="s">
        <v>31</v>
      </c>
      <c r="E13" s="73" t="s">
        <v>811</v>
      </c>
      <c r="F13" s="73" t="s">
        <v>84</v>
      </c>
      <c r="G13" s="73" t="s">
        <v>778</v>
      </c>
      <c r="H13" s="73">
        <v>3.54312420026305E14</v>
      </c>
      <c r="I13" s="73" t="s">
        <v>436</v>
      </c>
      <c r="J13" s="73" t="s">
        <v>1051</v>
      </c>
      <c r="K13" s="73" t="s">
        <v>327</v>
      </c>
      <c r="L13" s="81"/>
      <c r="M13" s="81"/>
      <c r="N13" s="81"/>
      <c r="O13" s="81"/>
      <c r="P13" s="81"/>
      <c r="Q13" s="81"/>
      <c r="R13" s="81"/>
      <c r="S13" s="81"/>
      <c r="T13" s="81"/>
    </row>
    <row r="14">
      <c r="A14" s="81"/>
      <c r="B14" s="72">
        <v>45851.0</v>
      </c>
      <c r="C14" s="73" t="s">
        <v>50</v>
      </c>
      <c r="D14" s="73" t="s">
        <v>31</v>
      </c>
      <c r="E14" s="73" t="s">
        <v>811</v>
      </c>
      <c r="F14" s="73" t="s">
        <v>84</v>
      </c>
      <c r="G14" s="73" t="s">
        <v>778</v>
      </c>
      <c r="H14" s="73">
        <v>3.54312420016298E14</v>
      </c>
      <c r="I14" s="73" t="s">
        <v>436</v>
      </c>
      <c r="J14" s="73" t="s">
        <v>1052</v>
      </c>
      <c r="K14" s="73" t="s">
        <v>327</v>
      </c>
      <c r="L14" s="81"/>
      <c r="M14" s="81"/>
      <c r="N14" s="81"/>
      <c r="O14" s="81"/>
      <c r="P14" s="81"/>
      <c r="Q14" s="81"/>
      <c r="R14" s="81"/>
      <c r="S14" s="81"/>
      <c r="T14" s="81"/>
    </row>
    <row r="15">
      <c r="A15" s="81"/>
      <c r="B15" s="82">
        <v>45849.0</v>
      </c>
      <c r="C15" s="83" t="s">
        <v>50</v>
      </c>
      <c r="D15" s="83" t="s">
        <v>31</v>
      </c>
      <c r="E15" s="83" t="s">
        <v>811</v>
      </c>
      <c r="F15" s="83" t="s">
        <v>84</v>
      </c>
      <c r="G15" s="83" t="s">
        <v>778</v>
      </c>
      <c r="H15" s="83">
        <v>3.54312420016223E14</v>
      </c>
      <c r="I15" s="83" t="s">
        <v>436</v>
      </c>
      <c r="J15" s="83" t="s">
        <v>1053</v>
      </c>
      <c r="K15" s="83" t="s">
        <v>327</v>
      </c>
      <c r="L15" s="81"/>
      <c r="M15" s="84" t="s">
        <v>1044</v>
      </c>
      <c r="N15" s="81"/>
      <c r="O15" s="81"/>
      <c r="P15" s="81"/>
      <c r="Q15" s="81"/>
      <c r="R15" s="81"/>
      <c r="S15" s="81"/>
      <c r="T15" s="81"/>
    </row>
    <row r="16">
      <c r="A16" s="81"/>
      <c r="B16" s="72">
        <v>45849.0</v>
      </c>
      <c r="C16" s="73" t="s">
        <v>50</v>
      </c>
      <c r="D16" s="73" t="s">
        <v>31</v>
      </c>
      <c r="E16" s="73" t="s">
        <v>811</v>
      </c>
      <c r="F16" s="73" t="s">
        <v>84</v>
      </c>
      <c r="G16" s="73" t="s">
        <v>778</v>
      </c>
      <c r="H16" s="73">
        <v>3.54312420022171E14</v>
      </c>
      <c r="I16" s="73" t="s">
        <v>436</v>
      </c>
      <c r="J16" s="73" t="s">
        <v>1054</v>
      </c>
      <c r="K16" s="73" t="s">
        <v>327</v>
      </c>
      <c r="L16" s="81"/>
      <c r="M16" s="81"/>
      <c r="N16" s="81"/>
      <c r="O16" s="85" t="s">
        <v>1055</v>
      </c>
      <c r="P16" s="81"/>
      <c r="Q16" s="81"/>
      <c r="R16" s="81"/>
      <c r="S16" s="81"/>
      <c r="T16" s="81"/>
    </row>
    <row r="17">
      <c r="A17" s="81"/>
      <c r="B17" s="72">
        <v>45849.0</v>
      </c>
      <c r="C17" s="73" t="s">
        <v>50</v>
      </c>
      <c r="D17" s="73" t="s">
        <v>31</v>
      </c>
      <c r="E17" s="73" t="s">
        <v>811</v>
      </c>
      <c r="F17" s="73" t="s">
        <v>84</v>
      </c>
      <c r="G17" s="73" t="s">
        <v>778</v>
      </c>
      <c r="H17" s="73">
        <v>3.54312420023609E14</v>
      </c>
      <c r="I17" s="73" t="s">
        <v>436</v>
      </c>
      <c r="J17" s="73" t="s">
        <v>1056</v>
      </c>
      <c r="K17" s="73" t="s">
        <v>327</v>
      </c>
      <c r="L17" s="84" t="s">
        <v>1057</v>
      </c>
      <c r="M17" s="81"/>
      <c r="N17" s="81"/>
      <c r="O17" s="81"/>
      <c r="P17" s="81"/>
      <c r="Q17" s="81"/>
      <c r="R17" s="81"/>
      <c r="S17" s="81"/>
      <c r="T17" s="81"/>
    </row>
    <row r="18">
      <c r="A18" s="81"/>
      <c r="B18" s="78">
        <v>45849.0</v>
      </c>
      <c r="C18" s="79" t="s">
        <v>50</v>
      </c>
      <c r="D18" s="79" t="s">
        <v>31</v>
      </c>
      <c r="E18" s="79" t="s">
        <v>811</v>
      </c>
      <c r="F18" s="79" t="s">
        <v>84</v>
      </c>
      <c r="G18" s="79" t="s">
        <v>778</v>
      </c>
      <c r="H18" s="79">
        <v>3.54312420023625E14</v>
      </c>
      <c r="I18" s="79" t="s">
        <v>1058</v>
      </c>
      <c r="J18" s="79" t="s">
        <v>1050</v>
      </c>
      <c r="K18" s="79" t="s">
        <v>327</v>
      </c>
      <c r="L18" s="81"/>
      <c r="M18" s="84" t="s">
        <v>1044</v>
      </c>
      <c r="N18" s="81"/>
      <c r="O18" s="81"/>
      <c r="P18" s="81"/>
      <c r="Q18" s="81"/>
      <c r="R18" s="81"/>
      <c r="S18" s="81"/>
      <c r="T18" s="81"/>
    </row>
    <row r="19">
      <c r="A19" s="81"/>
      <c r="B19" s="72">
        <v>45849.0</v>
      </c>
      <c r="C19" s="73" t="s">
        <v>50</v>
      </c>
      <c r="D19" s="73" t="s">
        <v>31</v>
      </c>
      <c r="E19" s="73" t="s">
        <v>811</v>
      </c>
      <c r="F19" s="73" t="s">
        <v>84</v>
      </c>
      <c r="G19" s="73" t="s">
        <v>778</v>
      </c>
      <c r="H19" s="73">
        <v>3.54312420014004E14</v>
      </c>
      <c r="I19" s="73" t="s">
        <v>78</v>
      </c>
      <c r="J19" s="73" t="s">
        <v>1059</v>
      </c>
      <c r="K19" s="73" t="s">
        <v>327</v>
      </c>
      <c r="L19" s="81"/>
      <c r="M19" s="81"/>
      <c r="N19" s="81"/>
      <c r="O19" s="81"/>
      <c r="P19" s="81"/>
      <c r="Q19" s="81"/>
      <c r="R19" s="81"/>
      <c r="S19" s="81"/>
      <c r="T19" s="81"/>
    </row>
    <row r="20">
      <c r="A20" s="81"/>
      <c r="B20" s="72">
        <v>45849.0</v>
      </c>
      <c r="C20" s="73" t="s">
        <v>50</v>
      </c>
      <c r="D20" s="73" t="s">
        <v>31</v>
      </c>
      <c r="E20" s="73" t="s">
        <v>811</v>
      </c>
      <c r="F20" s="73" t="s">
        <v>84</v>
      </c>
      <c r="G20" s="73" t="s">
        <v>812</v>
      </c>
      <c r="H20" s="73">
        <v>3.54312420000441E14</v>
      </c>
      <c r="I20" s="73" t="s">
        <v>436</v>
      </c>
      <c r="J20" s="73" t="s">
        <v>1060</v>
      </c>
      <c r="K20" s="73" t="s">
        <v>327</v>
      </c>
      <c r="L20" s="81"/>
      <c r="M20" s="81"/>
      <c r="N20" s="81"/>
      <c r="O20" s="81"/>
      <c r="P20" s="81"/>
      <c r="Q20" s="81"/>
      <c r="R20" s="81"/>
      <c r="S20" s="81"/>
      <c r="T20" s="81"/>
    </row>
    <row r="21">
      <c r="A21" s="81"/>
      <c r="B21" s="78">
        <v>45849.0</v>
      </c>
      <c r="C21" s="79" t="s">
        <v>50</v>
      </c>
      <c r="D21" s="79" t="s">
        <v>31</v>
      </c>
      <c r="E21" s="79" t="s">
        <v>811</v>
      </c>
      <c r="F21" s="79" t="s">
        <v>84</v>
      </c>
      <c r="G21" s="79" t="s">
        <v>812</v>
      </c>
      <c r="H21" s="79">
        <v>3.54312420001514E14</v>
      </c>
      <c r="I21" s="79" t="s">
        <v>78</v>
      </c>
      <c r="J21" s="79" t="s">
        <v>1042</v>
      </c>
      <c r="K21" s="79" t="s">
        <v>327</v>
      </c>
      <c r="L21" s="81"/>
      <c r="M21" s="81"/>
      <c r="N21" s="81"/>
      <c r="O21" s="81"/>
      <c r="P21" s="81"/>
      <c r="Q21" s="81"/>
      <c r="R21" s="81"/>
      <c r="S21" s="81"/>
      <c r="T21" s="81"/>
    </row>
    <row r="22">
      <c r="A22" s="81"/>
      <c r="B22" s="78">
        <v>45849.0</v>
      </c>
      <c r="C22" s="79" t="s">
        <v>50</v>
      </c>
      <c r="D22" s="79" t="s">
        <v>31</v>
      </c>
      <c r="E22" s="79" t="s">
        <v>811</v>
      </c>
      <c r="F22" s="79" t="s">
        <v>84</v>
      </c>
      <c r="G22" s="79" t="s">
        <v>812</v>
      </c>
      <c r="H22" s="79">
        <v>3.54312420001241E14</v>
      </c>
      <c r="I22" s="79" t="s">
        <v>78</v>
      </c>
      <c r="J22" s="79" t="s">
        <v>1042</v>
      </c>
      <c r="K22" s="79" t="s">
        <v>327</v>
      </c>
      <c r="L22" s="81"/>
      <c r="M22" s="81"/>
      <c r="N22" s="81"/>
      <c r="O22" s="81"/>
      <c r="P22" s="81"/>
      <c r="Q22" s="81"/>
      <c r="R22" s="81"/>
      <c r="S22" s="81"/>
      <c r="T22" s="81"/>
    </row>
    <row r="23">
      <c r="A23" s="81"/>
      <c r="B23" s="72">
        <v>45849.0</v>
      </c>
      <c r="C23" s="73" t="s">
        <v>50</v>
      </c>
      <c r="D23" s="73" t="s">
        <v>31</v>
      </c>
      <c r="E23" s="73" t="s">
        <v>811</v>
      </c>
      <c r="F23" s="73" t="s">
        <v>84</v>
      </c>
      <c r="G23" s="73" t="s">
        <v>812</v>
      </c>
      <c r="H23" s="73">
        <v>3.54312420001548E14</v>
      </c>
      <c r="I23" s="73" t="s">
        <v>78</v>
      </c>
      <c r="J23" s="73" t="s">
        <v>699</v>
      </c>
      <c r="K23" s="73" t="s">
        <v>327</v>
      </c>
      <c r="L23" s="81"/>
      <c r="M23" s="81"/>
      <c r="N23" s="81"/>
      <c r="O23" s="81"/>
      <c r="P23" s="81"/>
      <c r="Q23" s="81"/>
      <c r="R23" s="81"/>
      <c r="S23" s="81"/>
      <c r="T23" s="81"/>
    </row>
    <row r="24">
      <c r="A24" s="81"/>
      <c r="B24" s="78">
        <v>45849.0</v>
      </c>
      <c r="C24" s="79" t="s">
        <v>50</v>
      </c>
      <c r="D24" s="79" t="s">
        <v>31</v>
      </c>
      <c r="E24" s="79" t="s">
        <v>811</v>
      </c>
      <c r="F24" s="79" t="s">
        <v>84</v>
      </c>
      <c r="G24" s="79" t="s">
        <v>812</v>
      </c>
      <c r="H24" s="79">
        <v>3.54312420000268E14</v>
      </c>
      <c r="I24" s="79" t="s">
        <v>78</v>
      </c>
      <c r="J24" s="79" t="s">
        <v>1042</v>
      </c>
      <c r="K24" s="79" t="s">
        <v>327</v>
      </c>
      <c r="L24" s="86" t="s">
        <v>734</v>
      </c>
      <c r="M24" s="84" t="s">
        <v>1044</v>
      </c>
      <c r="N24" s="81"/>
      <c r="O24" s="81"/>
      <c r="P24" s="81"/>
      <c r="Q24" s="81"/>
      <c r="R24" s="81"/>
      <c r="S24" s="81"/>
      <c r="T24" s="81"/>
    </row>
    <row r="25">
      <c r="A25" s="81"/>
      <c r="B25" s="82">
        <v>45849.0</v>
      </c>
      <c r="C25" s="83" t="s">
        <v>50</v>
      </c>
      <c r="D25" s="83" t="s">
        <v>31</v>
      </c>
      <c r="E25" s="83" t="s">
        <v>811</v>
      </c>
      <c r="F25" s="83" t="s">
        <v>84</v>
      </c>
      <c r="G25" s="83" t="s">
        <v>118</v>
      </c>
      <c r="H25" s="83">
        <v>3.54312420002603E14</v>
      </c>
      <c r="I25" s="83" t="s">
        <v>436</v>
      </c>
      <c r="J25" s="83" t="s">
        <v>1061</v>
      </c>
      <c r="K25" s="83" t="s">
        <v>327</v>
      </c>
      <c r="L25" s="84" t="s">
        <v>1061</v>
      </c>
      <c r="M25" s="84" t="s">
        <v>1044</v>
      </c>
      <c r="N25" s="81"/>
      <c r="O25" s="81"/>
      <c r="P25" s="81"/>
      <c r="Q25" s="81"/>
      <c r="R25" s="81"/>
      <c r="S25" s="81"/>
      <c r="T25" s="81"/>
    </row>
    <row r="26">
      <c r="A26" s="81"/>
      <c r="B26" s="87">
        <v>45849.0</v>
      </c>
      <c r="C26" s="88" t="s">
        <v>50</v>
      </c>
      <c r="D26" s="88" t="s">
        <v>31</v>
      </c>
      <c r="E26" s="88" t="s">
        <v>811</v>
      </c>
      <c r="F26" s="88" t="s">
        <v>84</v>
      </c>
      <c r="G26" s="88" t="s">
        <v>118</v>
      </c>
      <c r="H26" s="88">
        <v>3.54312420002165E14</v>
      </c>
      <c r="I26" s="88" t="s">
        <v>436</v>
      </c>
      <c r="J26" s="88" t="s">
        <v>1062</v>
      </c>
      <c r="K26" s="88" t="s">
        <v>327</v>
      </c>
      <c r="L26" s="81"/>
      <c r="M26" s="81"/>
      <c r="N26" s="81"/>
      <c r="O26" s="85" t="s">
        <v>1063</v>
      </c>
      <c r="P26" s="81"/>
      <c r="Q26" s="81"/>
      <c r="R26" s="81"/>
      <c r="S26" s="81"/>
      <c r="T26" s="81"/>
    </row>
    <row r="27">
      <c r="A27" s="81"/>
      <c r="B27" s="72">
        <v>45849.0</v>
      </c>
      <c r="C27" s="73" t="s">
        <v>50</v>
      </c>
      <c r="D27" s="73" t="s">
        <v>31</v>
      </c>
      <c r="E27" s="73" t="s">
        <v>815</v>
      </c>
      <c r="F27" s="73" t="s">
        <v>84</v>
      </c>
      <c r="G27" s="73" t="s">
        <v>115</v>
      </c>
      <c r="H27" s="73" t="s">
        <v>1064</v>
      </c>
      <c r="I27" s="73" t="s">
        <v>78</v>
      </c>
      <c r="J27" s="89"/>
      <c r="K27" s="73" t="s">
        <v>327</v>
      </c>
      <c r="L27" s="81"/>
      <c r="M27" s="81"/>
      <c r="N27" s="81"/>
      <c r="O27" s="81"/>
      <c r="P27" s="81"/>
      <c r="Q27" s="81"/>
      <c r="R27" s="81"/>
      <c r="S27" s="81"/>
      <c r="T27" s="81"/>
    </row>
    <row r="28">
      <c r="A28" s="81"/>
      <c r="B28" s="72">
        <v>45849.0</v>
      </c>
      <c r="C28" s="73" t="s">
        <v>50</v>
      </c>
      <c r="D28" s="73" t="s">
        <v>31</v>
      </c>
      <c r="E28" s="73" t="s">
        <v>815</v>
      </c>
      <c r="F28" s="73" t="s">
        <v>84</v>
      </c>
      <c r="G28" s="73" t="s">
        <v>115</v>
      </c>
      <c r="H28" s="73">
        <v>3.55626620006257E14</v>
      </c>
      <c r="I28" s="73" t="s">
        <v>436</v>
      </c>
      <c r="J28" s="73" t="s">
        <v>1046</v>
      </c>
      <c r="K28" s="73" t="s">
        <v>327</v>
      </c>
      <c r="L28" s="81"/>
      <c r="M28" s="81"/>
      <c r="N28" s="81"/>
      <c r="O28" s="81"/>
      <c r="P28" s="81"/>
      <c r="Q28" s="81"/>
      <c r="R28" s="81"/>
      <c r="S28" s="81"/>
      <c r="T28" s="81"/>
    </row>
    <row r="29">
      <c r="A29" s="81"/>
      <c r="B29" s="87">
        <v>45849.0</v>
      </c>
      <c r="C29" s="88" t="s">
        <v>50</v>
      </c>
      <c r="D29" s="88" t="s">
        <v>31</v>
      </c>
      <c r="E29" s="88" t="s">
        <v>815</v>
      </c>
      <c r="F29" s="88" t="s">
        <v>84</v>
      </c>
      <c r="G29" s="88" t="s">
        <v>115</v>
      </c>
      <c r="H29" s="88">
        <v>3.55626620007495E14</v>
      </c>
      <c r="I29" s="88" t="s">
        <v>436</v>
      </c>
      <c r="J29" s="90" t="s">
        <v>1065</v>
      </c>
      <c r="K29" s="88" t="s">
        <v>327</v>
      </c>
      <c r="L29" s="84" t="s">
        <v>1065</v>
      </c>
      <c r="M29" s="84" t="s">
        <v>1066</v>
      </c>
      <c r="N29" s="81"/>
      <c r="O29" s="81"/>
      <c r="P29" s="81"/>
      <c r="Q29" s="81"/>
      <c r="R29" s="81"/>
      <c r="S29" s="81"/>
      <c r="T29" s="81"/>
    </row>
    <row r="30">
      <c r="A30" s="81"/>
      <c r="B30" s="82">
        <v>45849.0</v>
      </c>
      <c r="C30" s="83" t="s">
        <v>50</v>
      </c>
      <c r="D30" s="83" t="s">
        <v>31</v>
      </c>
      <c r="E30" s="83" t="s">
        <v>815</v>
      </c>
      <c r="F30" s="83" t="s">
        <v>84</v>
      </c>
      <c r="G30" s="83" t="s">
        <v>115</v>
      </c>
      <c r="H30" s="83">
        <v>3.55626620007164E14</v>
      </c>
      <c r="I30" s="83" t="s">
        <v>436</v>
      </c>
      <c r="J30" s="83" t="s">
        <v>1067</v>
      </c>
      <c r="K30" s="83" t="s">
        <v>327</v>
      </c>
      <c r="L30" s="84" t="s">
        <v>1068</v>
      </c>
      <c r="M30" s="91" t="s">
        <v>1069</v>
      </c>
      <c r="N30" s="81"/>
      <c r="O30" s="81"/>
      <c r="P30" s="81"/>
      <c r="Q30" s="81"/>
      <c r="R30" s="81"/>
      <c r="S30" s="81"/>
      <c r="T30" s="81"/>
    </row>
    <row r="31">
      <c r="A31" s="81"/>
      <c r="B31" s="72">
        <v>45849.0</v>
      </c>
      <c r="C31" s="73" t="s">
        <v>50</v>
      </c>
      <c r="D31" s="73" t="s">
        <v>31</v>
      </c>
      <c r="E31" s="73" t="s">
        <v>815</v>
      </c>
      <c r="F31" s="73" t="s">
        <v>84</v>
      </c>
      <c r="G31" s="73" t="s">
        <v>115</v>
      </c>
      <c r="H31" s="73">
        <v>3.55626620005291E14</v>
      </c>
      <c r="I31" s="73" t="s">
        <v>78</v>
      </c>
      <c r="J31" s="73" t="s">
        <v>1070</v>
      </c>
      <c r="K31" s="73" t="s">
        <v>327</v>
      </c>
      <c r="L31" s="81"/>
      <c r="M31" s="81"/>
      <c r="N31" s="81"/>
      <c r="O31" s="81"/>
      <c r="P31" s="81"/>
      <c r="Q31" s="81"/>
      <c r="R31" s="81"/>
      <c r="S31" s="81"/>
      <c r="T31" s="81"/>
    </row>
    <row r="32">
      <c r="A32" s="81"/>
      <c r="B32" s="72">
        <v>45849.0</v>
      </c>
      <c r="C32" s="73" t="s">
        <v>50</v>
      </c>
      <c r="D32" s="73" t="s">
        <v>31</v>
      </c>
      <c r="E32" s="73" t="s">
        <v>815</v>
      </c>
      <c r="F32" s="73" t="s">
        <v>84</v>
      </c>
      <c r="G32" s="73" t="s">
        <v>115</v>
      </c>
      <c r="H32" s="73">
        <v>3.55626620007362E14</v>
      </c>
      <c r="I32" s="73" t="s">
        <v>436</v>
      </c>
      <c r="J32" s="73" t="s">
        <v>1071</v>
      </c>
      <c r="K32" s="73" t="s">
        <v>327</v>
      </c>
      <c r="L32" s="81"/>
      <c r="M32" s="81"/>
      <c r="N32" s="81"/>
      <c r="O32" s="81"/>
      <c r="P32" s="81"/>
      <c r="Q32" s="81"/>
      <c r="R32" s="81"/>
      <c r="S32" s="81"/>
      <c r="T32" s="81"/>
    </row>
    <row r="33">
      <c r="A33" s="81"/>
      <c r="B33" s="72">
        <v>45849.0</v>
      </c>
      <c r="C33" s="73" t="s">
        <v>50</v>
      </c>
      <c r="D33" s="73" t="s">
        <v>31</v>
      </c>
      <c r="E33" s="73" t="s">
        <v>815</v>
      </c>
      <c r="F33" s="73" t="s">
        <v>84</v>
      </c>
      <c r="G33" s="73" t="s">
        <v>778</v>
      </c>
      <c r="H33" s="73">
        <v>3.55626620017056E14</v>
      </c>
      <c r="I33" s="73" t="s">
        <v>436</v>
      </c>
      <c r="J33" s="73" t="s">
        <v>1072</v>
      </c>
      <c r="K33" s="73" t="s">
        <v>327</v>
      </c>
      <c r="L33" s="81"/>
      <c r="M33" s="81"/>
      <c r="N33" s="81"/>
      <c r="O33" s="85" t="s">
        <v>1073</v>
      </c>
      <c r="P33" s="81"/>
      <c r="Q33" s="81"/>
      <c r="R33" s="81"/>
      <c r="S33" s="81"/>
      <c r="T33" s="81"/>
    </row>
    <row r="34">
      <c r="A34" s="81"/>
      <c r="B34" s="72">
        <v>45849.0</v>
      </c>
      <c r="C34" s="73" t="s">
        <v>50</v>
      </c>
      <c r="D34" s="73" t="s">
        <v>31</v>
      </c>
      <c r="E34" s="73" t="s">
        <v>815</v>
      </c>
      <c r="F34" s="73" t="s">
        <v>84</v>
      </c>
      <c r="G34" s="73" t="s">
        <v>778</v>
      </c>
      <c r="H34" s="73">
        <v>3.55626620015407E14</v>
      </c>
      <c r="I34" s="73" t="s">
        <v>436</v>
      </c>
      <c r="J34" s="73" t="s">
        <v>1074</v>
      </c>
      <c r="K34" s="73" t="s">
        <v>327</v>
      </c>
      <c r="L34" s="81"/>
      <c r="M34" s="81"/>
      <c r="N34" s="81"/>
      <c r="O34" s="81"/>
      <c r="P34" s="81"/>
      <c r="Q34" s="81"/>
      <c r="R34" s="81"/>
      <c r="S34" s="81"/>
      <c r="T34" s="81"/>
    </row>
    <row r="35">
      <c r="A35" s="81"/>
      <c r="B35" s="87">
        <v>45849.0</v>
      </c>
      <c r="C35" s="88" t="s">
        <v>50</v>
      </c>
      <c r="D35" s="88" t="s">
        <v>31</v>
      </c>
      <c r="E35" s="88" t="s">
        <v>815</v>
      </c>
      <c r="F35" s="88" t="s">
        <v>84</v>
      </c>
      <c r="G35" s="88" t="s">
        <v>778</v>
      </c>
      <c r="H35" s="88">
        <v>3.556266200185E14</v>
      </c>
      <c r="I35" s="88" t="s">
        <v>436</v>
      </c>
      <c r="J35" s="88" t="s">
        <v>1075</v>
      </c>
      <c r="K35" s="88" t="s">
        <v>327</v>
      </c>
      <c r="L35" s="81"/>
      <c r="M35" s="81"/>
      <c r="N35" s="81"/>
      <c r="O35" s="81"/>
      <c r="P35" s="81"/>
      <c r="Q35" s="81"/>
      <c r="R35" s="81"/>
      <c r="S35" s="81"/>
      <c r="T35" s="81"/>
    </row>
    <row r="36">
      <c r="A36" s="81"/>
      <c r="B36" s="87">
        <v>45849.0</v>
      </c>
      <c r="C36" s="88" t="s">
        <v>50</v>
      </c>
      <c r="D36" s="88" t="s">
        <v>31</v>
      </c>
      <c r="E36" s="88" t="s">
        <v>815</v>
      </c>
      <c r="F36" s="88" t="s">
        <v>84</v>
      </c>
      <c r="G36" s="88" t="s">
        <v>778</v>
      </c>
      <c r="H36" s="88">
        <v>3.55626620019656E14</v>
      </c>
      <c r="I36" s="88" t="s">
        <v>436</v>
      </c>
      <c r="J36" s="88" t="s">
        <v>1076</v>
      </c>
      <c r="K36" s="88" t="s">
        <v>327</v>
      </c>
      <c r="L36" s="81"/>
      <c r="M36" s="81"/>
      <c r="N36" s="81"/>
      <c r="O36" s="81"/>
      <c r="P36" s="81"/>
      <c r="Q36" s="81"/>
      <c r="R36" s="81"/>
      <c r="S36" s="81"/>
      <c r="T36" s="81"/>
    </row>
    <row r="37">
      <c r="A37" s="81"/>
      <c r="B37" s="72">
        <v>45849.0</v>
      </c>
      <c r="C37" s="73" t="s">
        <v>50</v>
      </c>
      <c r="D37" s="73" t="s">
        <v>31</v>
      </c>
      <c r="E37" s="73" t="s">
        <v>815</v>
      </c>
      <c r="F37" s="73" t="s">
        <v>84</v>
      </c>
      <c r="G37" s="73" t="s">
        <v>778</v>
      </c>
      <c r="H37" s="73">
        <v>3.5562662001628E14</v>
      </c>
      <c r="I37" s="73" t="s">
        <v>436</v>
      </c>
      <c r="J37" s="73" t="s">
        <v>1077</v>
      </c>
      <c r="K37" s="73" t="s">
        <v>327</v>
      </c>
      <c r="L37" s="81"/>
      <c r="M37" s="81"/>
      <c r="N37" s="81"/>
      <c r="O37" s="81"/>
      <c r="P37" s="81"/>
      <c r="Q37" s="81"/>
      <c r="R37" s="81"/>
      <c r="S37" s="81"/>
      <c r="T37" s="81"/>
    </row>
    <row r="38">
      <c r="A38" s="81"/>
      <c r="B38" s="72">
        <v>45849.0</v>
      </c>
      <c r="C38" s="73" t="s">
        <v>50</v>
      </c>
      <c r="D38" s="73" t="s">
        <v>31</v>
      </c>
      <c r="E38" s="73" t="s">
        <v>815</v>
      </c>
      <c r="F38" s="73" t="s">
        <v>76</v>
      </c>
      <c r="G38" s="73" t="s">
        <v>778</v>
      </c>
      <c r="H38" s="73">
        <v>3.5633551000313E14</v>
      </c>
      <c r="I38" s="73" t="s">
        <v>436</v>
      </c>
      <c r="J38" s="73" t="s">
        <v>741</v>
      </c>
      <c r="K38" s="73" t="s">
        <v>327</v>
      </c>
      <c r="L38" s="81"/>
      <c r="M38" s="81"/>
      <c r="N38" s="81"/>
      <c r="O38" s="81"/>
      <c r="P38" s="81"/>
      <c r="Q38" s="81"/>
      <c r="R38" s="81"/>
      <c r="S38" s="81"/>
      <c r="T38" s="81"/>
    </row>
    <row r="39">
      <c r="A39" s="81"/>
      <c r="B39" s="72">
        <v>45849.0</v>
      </c>
      <c r="C39" s="73" t="s">
        <v>50</v>
      </c>
      <c r="D39" s="73" t="s">
        <v>31</v>
      </c>
      <c r="E39" s="73" t="s">
        <v>815</v>
      </c>
      <c r="F39" s="73" t="s">
        <v>76</v>
      </c>
      <c r="G39" s="73" t="s">
        <v>778</v>
      </c>
      <c r="H39" s="73">
        <v>3.56335510003817E14</v>
      </c>
      <c r="I39" s="73" t="s">
        <v>78</v>
      </c>
      <c r="J39" s="73" t="s">
        <v>1078</v>
      </c>
      <c r="K39" s="73" t="s">
        <v>327</v>
      </c>
      <c r="L39" s="81"/>
      <c r="M39" s="81"/>
      <c r="N39" s="81"/>
      <c r="O39" s="81"/>
      <c r="P39" s="81"/>
      <c r="Q39" s="81"/>
      <c r="R39" s="81"/>
      <c r="S39" s="81"/>
      <c r="T39" s="81"/>
    </row>
    <row r="40">
      <c r="A40" s="81"/>
      <c r="B40" s="72">
        <v>45849.0</v>
      </c>
      <c r="C40" s="73" t="s">
        <v>50</v>
      </c>
      <c r="D40" s="73" t="s">
        <v>31</v>
      </c>
      <c r="E40" s="73" t="s">
        <v>815</v>
      </c>
      <c r="F40" s="73" t="s">
        <v>76</v>
      </c>
      <c r="G40" s="73" t="s">
        <v>778</v>
      </c>
      <c r="H40" s="73">
        <v>3.56335510003924E14</v>
      </c>
      <c r="I40" s="73" t="s">
        <v>436</v>
      </c>
      <c r="J40" s="73" t="s">
        <v>1079</v>
      </c>
      <c r="K40" s="73" t="s">
        <v>327</v>
      </c>
      <c r="L40" s="81"/>
      <c r="M40" s="81"/>
      <c r="N40" s="81"/>
      <c r="O40" s="85" t="s">
        <v>1080</v>
      </c>
      <c r="P40" s="81"/>
      <c r="Q40" s="81"/>
      <c r="R40" s="81"/>
      <c r="S40" s="81"/>
      <c r="T40" s="81"/>
    </row>
    <row r="41">
      <c r="A41" s="81"/>
      <c r="B41" s="72">
        <v>45849.0</v>
      </c>
      <c r="C41" s="73" t="s">
        <v>50</v>
      </c>
      <c r="D41" s="73" t="s">
        <v>31</v>
      </c>
      <c r="E41" s="73" t="s">
        <v>815</v>
      </c>
      <c r="F41" s="73" t="s">
        <v>84</v>
      </c>
      <c r="G41" s="73" t="s">
        <v>778</v>
      </c>
      <c r="H41" s="73">
        <v>3.5562662001322E14</v>
      </c>
      <c r="I41" s="73" t="s">
        <v>436</v>
      </c>
      <c r="J41" s="73" t="s">
        <v>1046</v>
      </c>
      <c r="K41" s="73" t="s">
        <v>327</v>
      </c>
      <c r="L41" s="81"/>
      <c r="M41" s="81"/>
      <c r="N41" s="81"/>
      <c r="O41" s="81"/>
      <c r="P41" s="81"/>
      <c r="Q41" s="81"/>
      <c r="R41" s="81"/>
      <c r="S41" s="81"/>
      <c r="T41" s="81"/>
    </row>
    <row r="42">
      <c r="A42" s="81"/>
      <c r="B42" s="87">
        <v>45849.0</v>
      </c>
      <c r="C42" s="88" t="s">
        <v>50</v>
      </c>
      <c r="D42" s="88" t="s">
        <v>31</v>
      </c>
      <c r="E42" s="88" t="s">
        <v>815</v>
      </c>
      <c r="F42" s="88" t="s">
        <v>84</v>
      </c>
      <c r="G42" s="88" t="s">
        <v>778</v>
      </c>
      <c r="H42" s="92"/>
      <c r="I42" s="88" t="s">
        <v>436</v>
      </c>
      <c r="J42" s="88" t="s">
        <v>1081</v>
      </c>
      <c r="K42" s="88" t="s">
        <v>327</v>
      </c>
      <c r="L42" s="81"/>
      <c r="M42" s="81"/>
      <c r="N42" s="81"/>
      <c r="O42" s="85" t="s">
        <v>1082</v>
      </c>
      <c r="P42" s="81"/>
      <c r="Q42" s="81"/>
      <c r="R42" s="81"/>
      <c r="S42" s="81"/>
      <c r="T42" s="81"/>
    </row>
    <row r="43">
      <c r="A43" s="81"/>
      <c r="B43" s="87">
        <v>45849.0</v>
      </c>
      <c r="C43" s="88" t="s">
        <v>30</v>
      </c>
      <c r="D43" s="88" t="s">
        <v>31</v>
      </c>
      <c r="E43" s="88" t="s">
        <v>776</v>
      </c>
      <c r="F43" s="88" t="s">
        <v>318</v>
      </c>
      <c r="G43" s="88" t="s">
        <v>321</v>
      </c>
      <c r="H43" s="88">
        <v>3.55626620012099E14</v>
      </c>
      <c r="I43" s="88" t="s">
        <v>1083</v>
      </c>
      <c r="J43" s="90" t="s">
        <v>1084</v>
      </c>
      <c r="K43" s="88" t="s">
        <v>11</v>
      </c>
      <c r="L43" s="93"/>
      <c r="M43" s="81"/>
      <c r="N43" s="84" t="s">
        <v>1085</v>
      </c>
      <c r="O43" s="81"/>
      <c r="P43" s="81"/>
      <c r="Q43" s="81"/>
      <c r="R43" s="81"/>
      <c r="S43" s="81"/>
      <c r="T43" s="81"/>
    </row>
    <row r="44">
      <c r="A44" s="81"/>
      <c r="B44" s="87">
        <v>45849.0</v>
      </c>
      <c r="C44" s="88" t="s">
        <v>30</v>
      </c>
      <c r="D44" s="88" t="s">
        <v>31</v>
      </c>
      <c r="E44" s="88" t="s">
        <v>776</v>
      </c>
      <c r="F44" s="88" t="s">
        <v>318</v>
      </c>
      <c r="G44" s="88" t="s">
        <v>778</v>
      </c>
      <c r="H44" s="88">
        <v>3.55626620019516E14</v>
      </c>
      <c r="I44" s="88" t="s">
        <v>1083</v>
      </c>
      <c r="J44" s="90" t="s">
        <v>1084</v>
      </c>
      <c r="K44" s="88" t="s">
        <v>11</v>
      </c>
      <c r="L44" s="89"/>
      <c r="M44" s="81"/>
      <c r="N44" s="81"/>
      <c r="O44" s="81"/>
      <c r="P44" s="81"/>
      <c r="Q44" s="81"/>
      <c r="R44" s="81"/>
      <c r="S44" s="81"/>
      <c r="T44" s="81"/>
    </row>
    <row r="45">
      <c r="A45" s="81"/>
      <c r="B45" s="87">
        <v>45849.0</v>
      </c>
      <c r="C45" s="88" t="s">
        <v>30</v>
      </c>
      <c r="D45" s="88" t="s">
        <v>31</v>
      </c>
      <c r="E45" s="88" t="s">
        <v>776</v>
      </c>
      <c r="F45" s="88" t="s">
        <v>318</v>
      </c>
      <c r="G45" s="88" t="s">
        <v>778</v>
      </c>
      <c r="H45" s="88">
        <v>3.55626620013626E14</v>
      </c>
      <c r="I45" s="88" t="s">
        <v>1083</v>
      </c>
      <c r="J45" s="90" t="s">
        <v>1084</v>
      </c>
      <c r="K45" s="88" t="s">
        <v>11</v>
      </c>
      <c r="L45" s="81"/>
      <c r="M45" s="81"/>
      <c r="N45" s="81"/>
      <c r="O45" s="81"/>
      <c r="P45" s="81"/>
      <c r="Q45" s="81"/>
      <c r="R45" s="81"/>
      <c r="S45" s="81"/>
      <c r="T45" s="81"/>
    </row>
    <row r="46">
      <c r="A46" s="94"/>
      <c r="B46" s="78">
        <v>45849.0</v>
      </c>
      <c r="C46" s="79" t="s">
        <v>30</v>
      </c>
      <c r="D46" s="79" t="s">
        <v>31</v>
      </c>
      <c r="E46" s="79" t="s">
        <v>776</v>
      </c>
      <c r="F46" s="79" t="s">
        <v>318</v>
      </c>
      <c r="G46" s="79" t="s">
        <v>778</v>
      </c>
      <c r="H46" s="79" t="s">
        <v>78</v>
      </c>
      <c r="I46" s="95"/>
      <c r="J46" s="79" t="s">
        <v>1086</v>
      </c>
      <c r="K46" s="79" t="s">
        <v>11</v>
      </c>
      <c r="L46" s="93"/>
      <c r="M46" s="81"/>
      <c r="N46" s="81"/>
      <c r="O46" s="81"/>
      <c r="P46" s="81"/>
      <c r="Q46" s="81"/>
      <c r="R46" s="81"/>
      <c r="S46" s="81"/>
      <c r="T46" s="81"/>
    </row>
    <row r="47">
      <c r="A47" s="81"/>
      <c r="B47" s="87">
        <v>45849.0</v>
      </c>
      <c r="C47" s="88" t="s">
        <v>30</v>
      </c>
      <c r="D47" s="88" t="s">
        <v>31</v>
      </c>
      <c r="E47" s="88" t="s">
        <v>776</v>
      </c>
      <c r="F47" s="88" t="s">
        <v>318</v>
      </c>
      <c r="G47" s="88" t="s">
        <v>778</v>
      </c>
      <c r="H47" s="88">
        <v>3.55626620013402E14</v>
      </c>
      <c r="I47" s="88" t="s">
        <v>1083</v>
      </c>
      <c r="J47" s="90" t="s">
        <v>1084</v>
      </c>
      <c r="K47" s="88" t="s">
        <v>11</v>
      </c>
      <c r="L47" s="81"/>
      <c r="M47" s="81"/>
      <c r="N47" s="81"/>
      <c r="O47" s="81"/>
      <c r="P47" s="81"/>
      <c r="Q47" s="81"/>
      <c r="R47" s="81"/>
      <c r="S47" s="81"/>
      <c r="T47" s="81"/>
    </row>
    <row r="48">
      <c r="A48" s="94"/>
      <c r="B48" s="87">
        <v>45849.0</v>
      </c>
      <c r="C48" s="88" t="s">
        <v>30</v>
      </c>
      <c r="D48" s="88" t="s">
        <v>31</v>
      </c>
      <c r="E48" s="88" t="s">
        <v>776</v>
      </c>
      <c r="F48" s="88" t="s">
        <v>318</v>
      </c>
      <c r="G48" s="88" t="s">
        <v>779</v>
      </c>
      <c r="H48" s="88">
        <v>3.55626620002322E14</v>
      </c>
      <c r="I48" s="88" t="s">
        <v>1083</v>
      </c>
      <c r="J48" s="90" t="s">
        <v>1084</v>
      </c>
      <c r="K48" s="88" t="s">
        <v>11</v>
      </c>
      <c r="L48" s="81"/>
      <c r="M48" s="81"/>
      <c r="N48" s="81"/>
      <c r="O48" s="81"/>
      <c r="P48" s="81"/>
      <c r="Q48" s="81"/>
      <c r="R48" s="81"/>
      <c r="S48" s="81"/>
      <c r="T48" s="81"/>
    </row>
    <row r="49">
      <c r="A49" s="81"/>
      <c r="B49" s="82">
        <v>45849.0</v>
      </c>
      <c r="C49" s="83" t="s">
        <v>30</v>
      </c>
      <c r="D49" s="83" t="s">
        <v>31</v>
      </c>
      <c r="E49" s="83" t="s">
        <v>776</v>
      </c>
      <c r="F49" s="83" t="s">
        <v>318</v>
      </c>
      <c r="G49" s="83" t="s">
        <v>779</v>
      </c>
      <c r="H49" s="83">
        <v>3.55626620002728E14</v>
      </c>
      <c r="I49" s="83" t="s">
        <v>436</v>
      </c>
      <c r="J49" s="83" t="s">
        <v>1087</v>
      </c>
      <c r="K49" s="83" t="s">
        <v>11</v>
      </c>
      <c r="L49" s="96" t="s">
        <v>1088</v>
      </c>
      <c r="M49" s="96" t="s">
        <v>1044</v>
      </c>
      <c r="N49" s="81"/>
      <c r="O49" s="81"/>
      <c r="P49" s="81"/>
      <c r="Q49" s="81"/>
      <c r="R49" s="81"/>
      <c r="S49" s="81"/>
      <c r="T49" s="81"/>
    </row>
    <row r="50">
      <c r="A50" s="81"/>
      <c r="B50" s="78">
        <v>45849.0</v>
      </c>
      <c r="C50" s="79" t="s">
        <v>50</v>
      </c>
      <c r="D50" s="79" t="s">
        <v>31</v>
      </c>
      <c r="E50" s="79" t="s">
        <v>815</v>
      </c>
      <c r="F50" s="79" t="s">
        <v>76</v>
      </c>
      <c r="G50" s="79" t="s">
        <v>115</v>
      </c>
      <c r="H50" s="79">
        <v>3.56335510008717E14</v>
      </c>
      <c r="I50" s="79" t="s">
        <v>436</v>
      </c>
      <c r="J50" s="79" t="s">
        <v>1089</v>
      </c>
      <c r="K50" s="79" t="s">
        <v>327</v>
      </c>
      <c r="L50" s="84" t="s">
        <v>1090</v>
      </c>
      <c r="M50" s="81"/>
      <c r="N50" s="81"/>
      <c r="O50" s="81"/>
      <c r="P50" s="81"/>
      <c r="Q50" s="81"/>
      <c r="R50" s="81"/>
      <c r="S50" s="81"/>
      <c r="T50" s="81"/>
    </row>
    <row r="51">
      <c r="A51" s="81"/>
      <c r="B51" s="72">
        <v>45849.0</v>
      </c>
      <c r="C51" s="73" t="s">
        <v>50</v>
      </c>
      <c r="D51" s="73" t="s">
        <v>31</v>
      </c>
      <c r="E51" s="73" t="s">
        <v>815</v>
      </c>
      <c r="F51" s="73" t="s">
        <v>76</v>
      </c>
      <c r="G51" s="73" t="s">
        <v>812</v>
      </c>
      <c r="H51" s="73">
        <v>3.5633551000266E14</v>
      </c>
      <c r="I51" s="73" t="s">
        <v>78</v>
      </c>
      <c r="J51" s="73" t="s">
        <v>1091</v>
      </c>
      <c r="K51" s="73" t="s">
        <v>327</v>
      </c>
      <c r="L51" s="81"/>
      <c r="M51" s="81"/>
      <c r="N51" s="81"/>
      <c r="O51" s="81"/>
      <c r="P51" s="81"/>
      <c r="Q51" s="81"/>
      <c r="R51" s="81"/>
      <c r="S51" s="81"/>
      <c r="T51" s="81"/>
    </row>
    <row r="52">
      <c r="A52" s="81"/>
      <c r="B52" s="72">
        <v>45849.0</v>
      </c>
      <c r="C52" s="73" t="s">
        <v>50</v>
      </c>
      <c r="D52" s="73" t="s">
        <v>31</v>
      </c>
      <c r="E52" s="73" t="s">
        <v>815</v>
      </c>
      <c r="F52" s="73" t="s">
        <v>76</v>
      </c>
      <c r="G52" s="73" t="s">
        <v>812</v>
      </c>
      <c r="H52" s="73">
        <v>3.56335510022486E14</v>
      </c>
      <c r="I52" s="73" t="s">
        <v>78</v>
      </c>
      <c r="J52" s="89"/>
      <c r="K52" s="73" t="s">
        <v>327</v>
      </c>
      <c r="L52" s="81"/>
      <c r="M52" s="81"/>
      <c r="N52" s="81"/>
      <c r="O52" s="81"/>
      <c r="P52" s="81"/>
      <c r="Q52" s="81"/>
      <c r="R52" s="81"/>
      <c r="S52" s="81"/>
      <c r="T52" s="81"/>
    </row>
    <row r="53">
      <c r="A53" s="81"/>
      <c r="B53" s="72">
        <v>45849.0</v>
      </c>
      <c r="C53" s="73" t="s">
        <v>50</v>
      </c>
      <c r="D53" s="73" t="s">
        <v>31</v>
      </c>
      <c r="E53" s="73" t="s">
        <v>815</v>
      </c>
      <c r="F53" s="73" t="s">
        <v>84</v>
      </c>
      <c r="G53" s="73" t="s">
        <v>115</v>
      </c>
      <c r="H53" s="73">
        <v>3.55626620005416E14</v>
      </c>
      <c r="I53" s="73" t="s">
        <v>436</v>
      </c>
      <c r="J53" s="73" t="s">
        <v>1092</v>
      </c>
      <c r="K53" s="73" t="s">
        <v>327</v>
      </c>
      <c r="L53" s="81"/>
      <c r="M53" s="81"/>
      <c r="N53" s="81"/>
      <c r="O53" s="81"/>
      <c r="P53" s="81"/>
      <c r="Q53" s="81"/>
      <c r="R53" s="81"/>
      <c r="S53" s="81"/>
      <c r="T53" s="81"/>
    </row>
    <row r="54">
      <c r="A54" s="81"/>
      <c r="B54" s="87">
        <v>45854.0</v>
      </c>
      <c r="C54" s="88" t="s">
        <v>30</v>
      </c>
      <c r="D54" s="88" t="s">
        <v>31</v>
      </c>
      <c r="E54" s="88" t="s">
        <v>781</v>
      </c>
      <c r="F54" s="88" t="s">
        <v>318</v>
      </c>
      <c r="G54" s="88" t="s">
        <v>778</v>
      </c>
      <c r="H54" s="88">
        <v>3.54312420025166E14</v>
      </c>
      <c r="I54" s="88" t="s">
        <v>436</v>
      </c>
      <c r="J54" s="88" t="s">
        <v>1093</v>
      </c>
      <c r="K54" s="88" t="s">
        <v>11</v>
      </c>
      <c r="L54" s="81"/>
      <c r="M54" s="81"/>
      <c r="N54" s="81"/>
      <c r="O54" s="81"/>
      <c r="P54" s="81"/>
      <c r="Q54" s="81"/>
      <c r="R54" s="81"/>
      <c r="S54" s="81"/>
      <c r="T54" s="81"/>
    </row>
    <row r="55">
      <c r="A55" s="81"/>
      <c r="B55" s="72">
        <v>45854.0</v>
      </c>
      <c r="C55" s="73" t="s">
        <v>30</v>
      </c>
      <c r="D55" s="73" t="s">
        <v>31</v>
      </c>
      <c r="E55" s="73" t="s">
        <v>781</v>
      </c>
      <c r="F55" s="73" t="s">
        <v>318</v>
      </c>
      <c r="G55" s="73" t="s">
        <v>778</v>
      </c>
      <c r="H55" s="73">
        <v>3.54312420025398E14</v>
      </c>
      <c r="I55" s="73" t="s">
        <v>436</v>
      </c>
      <c r="J55" s="73" t="s">
        <v>1094</v>
      </c>
      <c r="K55" s="73" t="s">
        <v>11</v>
      </c>
      <c r="L55" s="81"/>
      <c r="M55" s="81"/>
      <c r="N55" s="81"/>
      <c r="O55" s="81"/>
      <c r="P55" s="81"/>
      <c r="Q55" s="81"/>
      <c r="R55" s="81"/>
      <c r="S55" s="81"/>
      <c r="T55" s="81"/>
    </row>
    <row r="56">
      <c r="A56" s="81"/>
      <c r="B56" s="82">
        <v>45854.0</v>
      </c>
      <c r="C56" s="83" t="s">
        <v>30</v>
      </c>
      <c r="D56" s="83" t="s">
        <v>31</v>
      </c>
      <c r="E56" s="83" t="s">
        <v>781</v>
      </c>
      <c r="F56" s="83" t="s">
        <v>318</v>
      </c>
      <c r="G56" s="83" t="s">
        <v>778</v>
      </c>
      <c r="H56" s="83">
        <v>3.54312420025786E14</v>
      </c>
      <c r="I56" s="83" t="s">
        <v>436</v>
      </c>
      <c r="J56" s="83" t="s">
        <v>1095</v>
      </c>
      <c r="K56" s="83" t="s">
        <v>11</v>
      </c>
      <c r="L56" s="84" t="s">
        <v>1096</v>
      </c>
      <c r="M56" s="84" t="s">
        <v>1097</v>
      </c>
      <c r="N56" s="81"/>
      <c r="O56" s="81"/>
      <c r="P56" s="81"/>
      <c r="Q56" s="81"/>
      <c r="R56" s="81"/>
      <c r="S56" s="81"/>
      <c r="T56" s="81"/>
    </row>
    <row r="57">
      <c r="A57" s="81"/>
      <c r="B57" s="78">
        <v>45854.0</v>
      </c>
      <c r="C57" s="79" t="s">
        <v>30</v>
      </c>
      <c r="D57" s="79" t="s">
        <v>31</v>
      </c>
      <c r="E57" s="79" t="s">
        <v>781</v>
      </c>
      <c r="F57" s="79" t="s">
        <v>318</v>
      </c>
      <c r="G57" s="79" t="s">
        <v>376</v>
      </c>
      <c r="H57" s="79">
        <v>3.5431242000558E14</v>
      </c>
      <c r="I57" s="79" t="s">
        <v>78</v>
      </c>
      <c r="J57" s="79" t="s">
        <v>1042</v>
      </c>
      <c r="K57" s="79" t="s">
        <v>11</v>
      </c>
      <c r="L57" s="84" t="s">
        <v>1096</v>
      </c>
      <c r="M57" s="84" t="s">
        <v>1097</v>
      </c>
      <c r="N57" s="81"/>
      <c r="O57" s="81"/>
      <c r="P57" s="81"/>
      <c r="Q57" s="81"/>
      <c r="R57" s="81"/>
      <c r="S57" s="81"/>
      <c r="T57" s="81"/>
    </row>
    <row r="58">
      <c r="A58" s="81"/>
      <c r="B58" s="87">
        <v>45854.0</v>
      </c>
      <c r="C58" s="88" t="s">
        <v>30</v>
      </c>
      <c r="D58" s="88" t="s">
        <v>31</v>
      </c>
      <c r="E58" s="88" t="s">
        <v>781</v>
      </c>
      <c r="F58" s="88" t="s">
        <v>318</v>
      </c>
      <c r="G58" s="88" t="s">
        <v>376</v>
      </c>
      <c r="H58" s="88">
        <v>3.54312420005721E14</v>
      </c>
      <c r="I58" s="88" t="s">
        <v>78</v>
      </c>
      <c r="J58" s="88" t="s">
        <v>1093</v>
      </c>
      <c r="K58" s="88" t="s">
        <v>11</v>
      </c>
      <c r="L58" s="81"/>
      <c r="M58" s="81"/>
      <c r="N58" s="81"/>
      <c r="O58" s="81"/>
      <c r="P58" s="81"/>
      <c r="Q58" s="81"/>
      <c r="R58" s="81"/>
      <c r="S58" s="81"/>
      <c r="T58" s="81"/>
    </row>
    <row r="59">
      <c r="A59" s="81"/>
      <c r="B59" s="87">
        <v>45854.0</v>
      </c>
      <c r="C59" s="88" t="s">
        <v>30</v>
      </c>
      <c r="D59" s="88" t="s">
        <v>31</v>
      </c>
      <c r="E59" s="88" t="s">
        <v>781</v>
      </c>
      <c r="F59" s="88" t="s">
        <v>318</v>
      </c>
      <c r="G59" s="88" t="s">
        <v>118</v>
      </c>
      <c r="H59" s="88">
        <v>3.54312420002629E14</v>
      </c>
      <c r="I59" s="88" t="s">
        <v>78</v>
      </c>
      <c r="J59" s="88" t="s">
        <v>1084</v>
      </c>
      <c r="K59" s="88" t="s">
        <v>11</v>
      </c>
      <c r="L59" s="84" t="s">
        <v>1098</v>
      </c>
      <c r="M59" s="84" t="s">
        <v>1097</v>
      </c>
      <c r="N59" s="81"/>
      <c r="O59" s="81"/>
      <c r="P59" s="81"/>
      <c r="Q59" s="81"/>
      <c r="R59" s="81"/>
      <c r="S59" s="81"/>
      <c r="T59" s="81"/>
    </row>
    <row r="60">
      <c r="A60" s="81"/>
      <c r="B60" s="97"/>
      <c r="C60" s="97"/>
      <c r="D60" s="83" t="s">
        <v>31</v>
      </c>
      <c r="E60" s="83" t="s">
        <v>781</v>
      </c>
      <c r="F60" s="83" t="s">
        <v>318</v>
      </c>
      <c r="G60" s="83" t="s">
        <v>778</v>
      </c>
      <c r="H60" s="83">
        <v>3.50798022213826E14</v>
      </c>
      <c r="I60" s="83" t="s">
        <v>436</v>
      </c>
      <c r="J60" s="83" t="s">
        <v>1099</v>
      </c>
      <c r="K60" s="83" t="s">
        <v>11</v>
      </c>
      <c r="L60" s="84" t="s">
        <v>1100</v>
      </c>
      <c r="M60" s="81"/>
      <c r="N60" s="81"/>
      <c r="O60" s="81"/>
      <c r="P60" s="81"/>
      <c r="Q60" s="81"/>
      <c r="R60" s="81"/>
      <c r="S60" s="81"/>
      <c r="T60" s="81"/>
    </row>
    <row r="61">
      <c r="A61" s="81"/>
      <c r="B61" s="95"/>
      <c r="C61" s="95"/>
      <c r="D61" s="79" t="s">
        <v>31</v>
      </c>
      <c r="E61" s="79" t="s">
        <v>815</v>
      </c>
      <c r="F61" s="95"/>
      <c r="G61" s="79" t="s">
        <v>814</v>
      </c>
      <c r="H61" s="98">
        <v>3.50966321030114E14</v>
      </c>
      <c r="I61" s="79" t="s">
        <v>78</v>
      </c>
      <c r="J61" s="79" t="s">
        <v>1042</v>
      </c>
      <c r="K61" s="79" t="s">
        <v>11</v>
      </c>
      <c r="L61" s="84" t="s">
        <v>1100</v>
      </c>
      <c r="M61" s="81"/>
      <c r="N61" s="81"/>
      <c r="O61" s="81"/>
      <c r="P61" s="81"/>
      <c r="Q61" s="81"/>
      <c r="R61" s="81"/>
      <c r="S61" s="81"/>
      <c r="T61" s="81"/>
    </row>
    <row r="62">
      <c r="A62" s="81"/>
      <c r="B62" s="99">
        <v>45854.0</v>
      </c>
      <c r="C62" s="84" t="s">
        <v>30</v>
      </c>
      <c r="D62" s="84" t="s">
        <v>31</v>
      </c>
      <c r="E62" s="96" t="s">
        <v>1101</v>
      </c>
      <c r="F62" s="84" t="s">
        <v>318</v>
      </c>
      <c r="G62" s="84" t="s">
        <v>778</v>
      </c>
      <c r="H62" s="96">
        <v>3.50966321026294E14</v>
      </c>
      <c r="I62" s="73" t="s">
        <v>78</v>
      </c>
      <c r="J62" s="84" t="s">
        <v>1042</v>
      </c>
      <c r="K62" s="84" t="s">
        <v>109</v>
      </c>
      <c r="L62" s="84" t="s">
        <v>1100</v>
      </c>
      <c r="M62" s="81"/>
      <c r="N62" s="81"/>
      <c r="O62" s="81"/>
      <c r="P62" s="81"/>
      <c r="Q62" s="81"/>
      <c r="R62" s="81"/>
      <c r="S62" s="81"/>
      <c r="T62" s="81"/>
    </row>
    <row r="63">
      <c r="A63" s="81"/>
      <c r="B63" s="89"/>
      <c r="C63" s="89"/>
      <c r="D63" s="73" t="s">
        <v>31</v>
      </c>
      <c r="E63" s="73" t="s">
        <v>815</v>
      </c>
      <c r="F63" s="89"/>
      <c r="G63" s="73" t="s">
        <v>814</v>
      </c>
      <c r="H63" s="89"/>
      <c r="I63" s="73" t="s">
        <v>436</v>
      </c>
      <c r="J63" s="73" t="s">
        <v>1102</v>
      </c>
      <c r="K63" s="73" t="s">
        <v>11</v>
      </c>
      <c r="L63" s="84" t="s">
        <v>1103</v>
      </c>
      <c r="M63" s="81"/>
      <c r="N63" s="81"/>
      <c r="O63" s="81"/>
      <c r="P63" s="81"/>
      <c r="Q63" s="81"/>
      <c r="R63" s="81"/>
      <c r="S63" s="81"/>
      <c r="T63" s="81"/>
    </row>
    <row r="64">
      <c r="A64" s="81"/>
      <c r="B64" s="89"/>
      <c r="C64" s="89"/>
      <c r="D64" s="73" t="s">
        <v>31</v>
      </c>
      <c r="E64" s="73" t="s">
        <v>815</v>
      </c>
      <c r="F64" s="89"/>
      <c r="G64" s="73" t="s">
        <v>814</v>
      </c>
      <c r="H64" s="73">
        <v>3.5096632103065E14</v>
      </c>
      <c r="I64" s="73" t="s">
        <v>436</v>
      </c>
      <c r="J64" s="73" t="s">
        <v>1104</v>
      </c>
      <c r="K64" s="73" t="s">
        <v>11</v>
      </c>
      <c r="L64" s="84" t="s">
        <v>1103</v>
      </c>
      <c r="M64" s="81"/>
      <c r="N64" s="81"/>
      <c r="O64" s="81"/>
      <c r="P64" s="81"/>
      <c r="Q64" s="81"/>
      <c r="R64" s="81"/>
      <c r="S64" s="81"/>
      <c r="T64" s="81"/>
    </row>
    <row r="65">
      <c r="A65" s="81"/>
      <c r="B65" s="72">
        <v>45849.0</v>
      </c>
      <c r="C65" s="73" t="s">
        <v>50</v>
      </c>
      <c r="D65" s="73" t="s">
        <v>31</v>
      </c>
      <c r="E65" s="73" t="s">
        <v>811</v>
      </c>
      <c r="F65" s="73" t="s">
        <v>76</v>
      </c>
      <c r="G65" s="73" t="s">
        <v>778</v>
      </c>
      <c r="H65" s="73">
        <v>3.51691180017171E14</v>
      </c>
      <c r="I65" s="73" t="s">
        <v>436</v>
      </c>
      <c r="J65" s="73" t="s">
        <v>1105</v>
      </c>
      <c r="K65" s="73" t="s">
        <v>327</v>
      </c>
      <c r="L65" s="84" t="s">
        <v>1106</v>
      </c>
      <c r="M65" s="84" t="s">
        <v>1107</v>
      </c>
      <c r="N65" s="81"/>
      <c r="O65" s="81"/>
      <c r="P65" s="81"/>
      <c r="Q65" s="81"/>
      <c r="R65" s="81"/>
      <c r="S65" s="81"/>
      <c r="T65" s="81"/>
    </row>
    <row r="66">
      <c r="A66" s="100"/>
      <c r="B66" s="87">
        <v>45866.0</v>
      </c>
      <c r="C66" s="88" t="s">
        <v>50</v>
      </c>
      <c r="D66" s="88" t="s">
        <v>31</v>
      </c>
      <c r="E66" s="88" t="s">
        <v>815</v>
      </c>
      <c r="F66" s="92"/>
      <c r="G66" s="88" t="s">
        <v>115</v>
      </c>
      <c r="H66" s="88">
        <v>3.56335510136922E14</v>
      </c>
      <c r="I66" s="88" t="s">
        <v>436</v>
      </c>
      <c r="J66" s="88" t="s">
        <v>256</v>
      </c>
      <c r="K66" s="88" t="s">
        <v>19</v>
      </c>
      <c r="L66" s="81"/>
      <c r="M66" s="81"/>
      <c r="N66" s="81"/>
      <c r="O66" s="81"/>
      <c r="P66" s="81"/>
      <c r="Q66" s="81"/>
      <c r="R66" s="81"/>
      <c r="S66" s="81"/>
      <c r="T66" s="81"/>
    </row>
    <row r="67">
      <c r="A67" s="100"/>
      <c r="B67" s="87">
        <v>45867.0</v>
      </c>
      <c r="C67" s="88" t="s">
        <v>1108</v>
      </c>
      <c r="D67" s="88" t="s">
        <v>31</v>
      </c>
      <c r="E67" s="88" t="s">
        <v>781</v>
      </c>
      <c r="F67" s="88" t="s">
        <v>76</v>
      </c>
      <c r="G67" s="88" t="s">
        <v>376</v>
      </c>
      <c r="H67" s="88">
        <v>3.54312420005168E14</v>
      </c>
      <c r="I67" s="88" t="s">
        <v>436</v>
      </c>
      <c r="J67" s="88" t="s">
        <v>1109</v>
      </c>
      <c r="K67" s="88" t="s">
        <v>11</v>
      </c>
      <c r="L67" s="81"/>
      <c r="M67" s="81"/>
      <c r="N67" s="81"/>
      <c r="O67" s="81"/>
      <c r="P67" s="81"/>
      <c r="Q67" s="81"/>
      <c r="R67" s="81"/>
      <c r="S67" s="81"/>
      <c r="T67" s="81"/>
    </row>
    <row r="68">
      <c r="A68" s="100"/>
      <c r="B68" s="101"/>
      <c r="C68" s="92"/>
      <c r="D68" s="88" t="s">
        <v>31</v>
      </c>
      <c r="E68" s="88" t="s">
        <v>781</v>
      </c>
      <c r="F68" s="88" t="s">
        <v>84</v>
      </c>
      <c r="G68" s="88" t="s">
        <v>778</v>
      </c>
      <c r="H68" s="88">
        <v>3.54312420019045E14</v>
      </c>
      <c r="I68" s="88" t="s">
        <v>436</v>
      </c>
      <c r="J68" s="88" t="s">
        <v>1109</v>
      </c>
      <c r="K68" s="88" t="s">
        <v>11</v>
      </c>
      <c r="L68" s="81"/>
      <c r="M68" s="81"/>
      <c r="N68" s="81"/>
      <c r="O68" s="81"/>
      <c r="P68" s="81"/>
      <c r="Q68" s="81"/>
      <c r="R68" s="81"/>
      <c r="S68" s="81"/>
      <c r="T68" s="81"/>
    </row>
    <row r="69">
      <c r="A69" s="100"/>
      <c r="B69" s="101"/>
      <c r="C69" s="92"/>
      <c r="D69" s="88" t="s">
        <v>31</v>
      </c>
      <c r="E69" s="88" t="s">
        <v>815</v>
      </c>
      <c r="F69" s="88" t="s">
        <v>84</v>
      </c>
      <c r="G69" s="88" t="s">
        <v>778</v>
      </c>
      <c r="H69" s="88">
        <v>3.5562662001322E14</v>
      </c>
      <c r="I69" s="88" t="s">
        <v>436</v>
      </c>
      <c r="J69" s="88" t="s">
        <v>1109</v>
      </c>
      <c r="K69" s="88" t="s">
        <v>11</v>
      </c>
      <c r="L69" s="81"/>
      <c r="M69" s="81"/>
      <c r="N69" s="81"/>
      <c r="O69" s="81"/>
      <c r="P69" s="81"/>
      <c r="Q69" s="81"/>
      <c r="R69" s="81"/>
      <c r="S69" s="81"/>
      <c r="T69" s="81"/>
    </row>
    <row r="70">
      <c r="A70" s="100"/>
      <c r="B70" s="101"/>
      <c r="C70" s="92"/>
      <c r="D70" s="88" t="s">
        <v>31</v>
      </c>
      <c r="E70" s="88" t="s">
        <v>815</v>
      </c>
      <c r="F70" s="88" t="s">
        <v>84</v>
      </c>
      <c r="G70" s="88" t="s">
        <v>115</v>
      </c>
      <c r="H70" s="88">
        <v>3.55626620006257E14</v>
      </c>
      <c r="I70" s="88" t="s">
        <v>436</v>
      </c>
      <c r="J70" s="88" t="s">
        <v>1109</v>
      </c>
      <c r="K70" s="88" t="s">
        <v>11</v>
      </c>
      <c r="L70" s="81"/>
      <c r="M70" s="81"/>
      <c r="N70" s="81"/>
      <c r="O70" s="81"/>
      <c r="P70" s="81"/>
      <c r="Q70" s="81"/>
      <c r="R70" s="81"/>
      <c r="S70" s="81"/>
      <c r="T70" s="81"/>
    </row>
    <row r="71">
      <c r="A71" s="100"/>
      <c r="B71" s="101"/>
      <c r="C71" s="92"/>
      <c r="D71" s="88" t="s">
        <v>31</v>
      </c>
      <c r="E71" s="88" t="s">
        <v>781</v>
      </c>
      <c r="F71" s="88" t="s">
        <v>76</v>
      </c>
      <c r="G71" s="88" t="s">
        <v>118</v>
      </c>
      <c r="H71" s="88">
        <v>3.5169118003401E14</v>
      </c>
      <c r="I71" s="88" t="s">
        <v>436</v>
      </c>
      <c r="J71" s="88" t="s">
        <v>1109</v>
      </c>
      <c r="K71" s="88" t="s">
        <v>19</v>
      </c>
      <c r="L71" s="81"/>
      <c r="M71" s="81"/>
      <c r="N71" s="81"/>
      <c r="O71" s="81"/>
      <c r="P71" s="81"/>
      <c r="Q71" s="81"/>
      <c r="R71" s="81"/>
      <c r="S71" s="81"/>
      <c r="T71" s="81"/>
    </row>
    <row r="72">
      <c r="A72" s="100"/>
      <c r="B72" s="92"/>
      <c r="C72" s="92"/>
      <c r="D72" s="88" t="s">
        <v>31</v>
      </c>
      <c r="E72" s="88" t="s">
        <v>815</v>
      </c>
      <c r="F72" s="88" t="s">
        <v>76</v>
      </c>
      <c r="G72" s="88" t="s">
        <v>812</v>
      </c>
      <c r="H72" s="88">
        <v>3.56335510022486E14</v>
      </c>
      <c r="I72" s="88" t="s">
        <v>436</v>
      </c>
      <c r="J72" s="88" t="s">
        <v>1109</v>
      </c>
      <c r="K72" s="88" t="s">
        <v>19</v>
      </c>
      <c r="L72" s="81"/>
      <c r="M72" s="81"/>
      <c r="N72" s="81"/>
      <c r="O72" s="81"/>
      <c r="P72" s="81"/>
      <c r="Q72" s="81"/>
      <c r="R72" s="81"/>
      <c r="S72" s="81"/>
      <c r="T72" s="81"/>
    </row>
    <row r="73">
      <c r="A73" s="100"/>
      <c r="B73" s="92"/>
      <c r="C73" s="92"/>
      <c r="D73" s="88" t="s">
        <v>31</v>
      </c>
      <c r="E73" s="88" t="s">
        <v>781</v>
      </c>
      <c r="F73" s="88" t="s">
        <v>76</v>
      </c>
      <c r="G73" s="88" t="s">
        <v>376</v>
      </c>
      <c r="H73" s="88">
        <v>3.51691180097355E14</v>
      </c>
      <c r="I73" s="88" t="s">
        <v>436</v>
      </c>
      <c r="J73" s="88" t="s">
        <v>1109</v>
      </c>
      <c r="K73" s="88" t="s">
        <v>19</v>
      </c>
      <c r="L73" s="81"/>
      <c r="M73" s="81"/>
      <c r="N73" s="81"/>
      <c r="O73" s="81"/>
      <c r="P73" s="81"/>
      <c r="Q73" s="81"/>
      <c r="R73" s="81"/>
      <c r="S73" s="81"/>
      <c r="T73" s="81"/>
    </row>
    <row r="74">
      <c r="A74" s="100"/>
      <c r="B74" s="92"/>
      <c r="C74" s="92"/>
      <c r="D74" s="88" t="s">
        <v>31</v>
      </c>
      <c r="E74" s="88" t="s">
        <v>815</v>
      </c>
      <c r="F74" s="88" t="s">
        <v>76</v>
      </c>
      <c r="G74" s="88" t="s">
        <v>118</v>
      </c>
      <c r="H74" s="88">
        <v>3.56335510198146E14</v>
      </c>
      <c r="I74" s="88" t="s">
        <v>436</v>
      </c>
      <c r="J74" s="88" t="s">
        <v>1109</v>
      </c>
      <c r="K74" s="88" t="s">
        <v>19</v>
      </c>
      <c r="L74" s="81"/>
      <c r="M74" s="81"/>
      <c r="N74" s="81"/>
      <c r="O74" s="81"/>
      <c r="P74" s="81"/>
      <c r="Q74" s="81"/>
      <c r="R74" s="81"/>
      <c r="S74" s="81"/>
      <c r="T74" s="81"/>
    </row>
    <row r="75">
      <c r="A75" s="102"/>
      <c r="B75" s="103"/>
      <c r="C75" s="104"/>
      <c r="D75" s="105" t="s">
        <v>31</v>
      </c>
      <c r="E75" s="105" t="s">
        <v>781</v>
      </c>
      <c r="F75" s="104"/>
      <c r="G75" s="105" t="s">
        <v>118</v>
      </c>
      <c r="H75" s="105">
        <v>3.54312420002603E14</v>
      </c>
      <c r="I75" s="105" t="s">
        <v>436</v>
      </c>
      <c r="J75" s="106" t="s">
        <v>1109</v>
      </c>
      <c r="K75" s="105" t="s">
        <v>11</v>
      </c>
      <c r="L75" s="102"/>
      <c r="M75" s="102"/>
      <c r="N75" s="102"/>
      <c r="O75" s="102"/>
      <c r="P75" s="102"/>
      <c r="Q75" s="102"/>
      <c r="R75" s="102"/>
      <c r="S75" s="102"/>
      <c r="T75" s="102"/>
    </row>
    <row r="76">
      <c r="A76" s="81"/>
      <c r="B76" s="72">
        <v>45854.0</v>
      </c>
      <c r="C76" s="73" t="s">
        <v>50</v>
      </c>
      <c r="D76" s="73" t="s">
        <v>31</v>
      </c>
      <c r="E76" s="73" t="s">
        <v>811</v>
      </c>
      <c r="F76" s="89"/>
      <c r="G76" s="73" t="s">
        <v>778</v>
      </c>
      <c r="H76" s="73">
        <v>3.51691180030836E14</v>
      </c>
      <c r="I76" s="73" t="s">
        <v>78</v>
      </c>
      <c r="J76" s="73" t="s">
        <v>1110</v>
      </c>
      <c r="K76" s="73" t="s">
        <v>1111</v>
      </c>
      <c r="L76" s="81"/>
      <c r="M76" s="81"/>
      <c r="N76" s="81"/>
      <c r="O76" s="81"/>
      <c r="P76" s="81"/>
      <c r="Q76" s="81"/>
      <c r="R76" s="81"/>
      <c r="S76" s="81"/>
      <c r="T76" s="81"/>
    </row>
    <row r="77">
      <c r="A77" s="81"/>
      <c r="B77" s="72">
        <v>45854.0</v>
      </c>
      <c r="C77" s="73" t="s">
        <v>50</v>
      </c>
      <c r="D77" s="73" t="s">
        <v>31</v>
      </c>
      <c r="E77" s="73" t="s">
        <v>815</v>
      </c>
      <c r="F77" s="89"/>
      <c r="G77" s="73" t="s">
        <v>778</v>
      </c>
      <c r="H77" s="73">
        <v>3.56335510081367E14</v>
      </c>
      <c r="I77" s="73" t="s">
        <v>78</v>
      </c>
      <c r="J77" s="73" t="s">
        <v>1112</v>
      </c>
      <c r="K77" s="73" t="s">
        <v>19</v>
      </c>
      <c r="L77" s="81"/>
      <c r="M77" s="81"/>
      <c r="N77" s="81"/>
      <c r="O77" s="81"/>
      <c r="P77" s="81"/>
      <c r="Q77" s="81"/>
      <c r="R77" s="81"/>
      <c r="S77" s="81"/>
      <c r="T77" s="81"/>
    </row>
    <row r="78">
      <c r="A78" s="81"/>
      <c r="B78" s="92"/>
      <c r="C78" s="92"/>
      <c r="D78" s="88" t="s">
        <v>31</v>
      </c>
      <c r="E78" s="88" t="s">
        <v>815</v>
      </c>
      <c r="F78" s="88" t="s">
        <v>84</v>
      </c>
      <c r="G78" s="88" t="s">
        <v>778</v>
      </c>
      <c r="H78" s="88">
        <v>3.55626620132798E14</v>
      </c>
      <c r="I78" s="88" t="s">
        <v>1113</v>
      </c>
      <c r="J78" s="88" t="s">
        <v>1114</v>
      </c>
      <c r="K78" s="88" t="s">
        <v>19</v>
      </c>
      <c r="L78" s="81"/>
      <c r="M78" s="81"/>
      <c r="N78" s="81"/>
      <c r="O78" s="81"/>
      <c r="P78" s="81"/>
      <c r="Q78" s="81"/>
      <c r="R78" s="81"/>
      <c r="S78" s="81"/>
      <c r="T78" s="81"/>
    </row>
    <row r="79">
      <c r="A79" s="81"/>
      <c r="B79" s="97"/>
      <c r="C79" s="97"/>
      <c r="D79" s="83" t="s">
        <v>31</v>
      </c>
      <c r="E79" s="83" t="s">
        <v>815</v>
      </c>
      <c r="F79" s="97"/>
      <c r="G79" s="83" t="s">
        <v>778</v>
      </c>
      <c r="H79" s="83">
        <v>3.50966321021204E14</v>
      </c>
      <c r="I79" s="107" t="s">
        <v>436</v>
      </c>
      <c r="J79" s="83" t="s">
        <v>1115</v>
      </c>
      <c r="K79" s="108" t="s">
        <v>11</v>
      </c>
      <c r="L79" s="84" t="s">
        <v>1100</v>
      </c>
      <c r="M79" s="81"/>
      <c r="N79" s="81"/>
      <c r="O79" s="81"/>
      <c r="P79" s="81"/>
      <c r="Q79" s="81"/>
      <c r="R79" s="81"/>
      <c r="S79" s="81"/>
      <c r="T79" s="81"/>
    </row>
    <row r="80">
      <c r="A80" s="81"/>
      <c r="B80" s="109">
        <v>45975.0</v>
      </c>
      <c r="C80" s="73" t="s">
        <v>1108</v>
      </c>
      <c r="D80" s="73" t="s">
        <v>31</v>
      </c>
      <c r="E80" s="73" t="s">
        <v>811</v>
      </c>
      <c r="F80" s="73" t="s">
        <v>318</v>
      </c>
      <c r="G80" s="73" t="s">
        <v>779</v>
      </c>
      <c r="H80" s="73">
        <v>3.54312420001548E14</v>
      </c>
      <c r="I80" s="110" t="s">
        <v>436</v>
      </c>
      <c r="J80" s="73" t="s">
        <v>1116</v>
      </c>
      <c r="K80" s="73" t="s">
        <v>19</v>
      </c>
      <c r="L80" s="81"/>
      <c r="M80" s="81"/>
      <c r="N80" s="81"/>
      <c r="O80" s="81"/>
      <c r="P80" s="81"/>
      <c r="Q80" s="81"/>
      <c r="R80" s="81"/>
      <c r="S80" s="81"/>
      <c r="T80" s="81"/>
    </row>
    <row r="81">
      <c r="A81" s="81"/>
      <c r="B81" s="89"/>
      <c r="C81" s="89"/>
      <c r="D81" s="89"/>
      <c r="E81" s="111" t="s">
        <v>1117</v>
      </c>
      <c r="F81" s="89"/>
      <c r="G81" s="89"/>
      <c r="H81" s="89"/>
      <c r="I81" s="111" t="s">
        <v>1118</v>
      </c>
      <c r="J81" s="89"/>
      <c r="K81" s="89"/>
      <c r="L81" s="81"/>
      <c r="M81" s="81"/>
      <c r="N81" s="81"/>
      <c r="O81" s="81"/>
      <c r="P81" s="81"/>
      <c r="Q81" s="81"/>
      <c r="R81" s="81"/>
      <c r="S81" s="81"/>
      <c r="T81" s="81"/>
    </row>
  </sheetData>
  <hyperlinks>
    <hyperlink r:id="rId1" ref="A1"/>
    <hyperlink r:id="rId2" ref="A2"/>
    <hyperlink r:id="rId3" ref="A3"/>
    <hyperlink r:id="rId4" ref="A4"/>
    <hyperlink r:id="rId5" ref="O16"/>
    <hyperlink r:id="rId6" ref="O26"/>
    <hyperlink r:id="rId7" ref="O33"/>
    <hyperlink r:id="rId8" ref="O40"/>
    <hyperlink r:id="rId9" ref="O42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23.0"/>
    <col customWidth="1" min="3" max="3" width="14.88"/>
    <col customWidth="1" min="4" max="4" width="15.75"/>
    <col customWidth="1" min="5" max="5" width="19.38"/>
    <col customWidth="1" min="6" max="6" width="16.5"/>
    <col customWidth="1" min="7" max="7" width="31.75"/>
  </cols>
  <sheetData>
    <row r="1" ht="33.75" customHeight="1">
      <c r="A1" s="112"/>
      <c r="B1" s="113" t="s">
        <v>1119</v>
      </c>
      <c r="C1" s="113" t="s">
        <v>1120</v>
      </c>
      <c r="D1" s="113" t="s">
        <v>1121</v>
      </c>
      <c r="E1" s="113" t="s">
        <v>1122</v>
      </c>
      <c r="F1" s="114" t="s">
        <v>1123</v>
      </c>
      <c r="G1" s="115" t="s">
        <v>1124</v>
      </c>
      <c r="H1" s="116"/>
      <c r="I1" s="112"/>
    </row>
    <row r="2">
      <c r="B2" s="117">
        <v>3.51690530003519E14</v>
      </c>
      <c r="C2" s="117">
        <v>3.52380640003513E14</v>
      </c>
      <c r="D2" s="117" t="s">
        <v>1125</v>
      </c>
      <c r="E2" s="117" t="s">
        <v>1126</v>
      </c>
      <c r="F2" s="118" t="str">
        <f>IFERROR(IF(ISNUMBER(MATCH(B2,'Step 1 Data Bank'!E:E, 0)), "Find", "Not Find"),"")</f>
        <v>Not Find</v>
      </c>
      <c r="G2" s="119" t="str">
        <f t="array" ref="G2">XLOOKUP(B2,'Step 1 Data Bank'!E:E,'Step 1 Data Bank'!F:F)</f>
        <v>#N/A</v>
      </c>
    </row>
    <row r="3">
      <c r="B3" s="117">
        <v>3.51690530003956E14</v>
      </c>
      <c r="C3" s="117">
        <v>3.5238064000395E14</v>
      </c>
      <c r="D3" s="117" t="s">
        <v>1125</v>
      </c>
      <c r="E3" s="117" t="s">
        <v>752</v>
      </c>
      <c r="F3" s="118" t="str">
        <f>IFERROR(IF(ISNUMBER(MATCH(B3,'Step 1 Data Bank'!E:E, 0)), "Find", "Not Find"),"")</f>
        <v>Not Find</v>
      </c>
      <c r="G3" s="119" t="str">
        <f t="array" ref="G3">XLOOKUP(B3,'Step 1 Data Bank'!E:E,'Step 1 Data Bank'!F:F)</f>
        <v>#N/A</v>
      </c>
    </row>
    <row r="4">
      <c r="B4" s="117">
        <v>3.51690530004327E14</v>
      </c>
      <c r="C4" s="117">
        <v>3.52380640004321E14</v>
      </c>
      <c r="D4" s="117" t="s">
        <v>1127</v>
      </c>
      <c r="E4" s="117" t="s">
        <v>752</v>
      </c>
      <c r="F4" s="118" t="str">
        <f>IFERROR(IF(ISNUMBER(MATCH(B4,'Step 1 Data Bank'!E:E, 0)), "Find", "Not Find"),"")</f>
        <v>Not Find</v>
      </c>
      <c r="G4" s="119" t="str">
        <f t="array" ref="G4">XLOOKUP(B4,'Step 1 Data Bank'!E:E,'Step 1 Data Bank'!F:F)</f>
        <v>#N/A</v>
      </c>
    </row>
    <row r="5">
      <c r="B5" s="117">
        <v>3.51690530004418E14</v>
      </c>
      <c r="C5" s="117">
        <v>3.52380640004412E14</v>
      </c>
      <c r="D5" s="117" t="s">
        <v>1127</v>
      </c>
      <c r="E5" s="117" t="s">
        <v>752</v>
      </c>
      <c r="F5" s="118" t="str">
        <f>IFERROR(IF(ISNUMBER(MATCH(B5,'Step 1 Data Bank'!E:E, 0)), "Find", "Not Find"),"")</f>
        <v>Not Find</v>
      </c>
      <c r="G5" s="119" t="str">
        <f t="array" ref="G5">XLOOKUP(B5,'Step 1 Data Bank'!E:E,'Step 1 Data Bank'!F:F)</f>
        <v>#N/A</v>
      </c>
    </row>
    <row r="6">
      <c r="B6" s="117">
        <v>3.51690530004806E14</v>
      </c>
      <c r="C6" s="117">
        <v>3.523806400048E14</v>
      </c>
      <c r="D6" s="117" t="s">
        <v>1127</v>
      </c>
      <c r="E6" s="117" t="s">
        <v>1126</v>
      </c>
      <c r="F6" s="118" t="str">
        <f>IFERROR(IF(ISNUMBER(MATCH(B6,'Step 1 Data Bank'!E:E, 0)), "Find", "Not Find"),"")</f>
        <v>Not Find</v>
      </c>
      <c r="G6" s="119" t="str">
        <f t="array" ref="G6">XLOOKUP(B6,'Step 1 Data Bank'!E:E,'Step 1 Data Bank'!F:F)</f>
        <v>#N/A</v>
      </c>
    </row>
    <row r="7">
      <c r="B7" s="117">
        <v>3.51690530004988E14</v>
      </c>
      <c r="C7" s="117">
        <v>3.52380640004982E14</v>
      </c>
      <c r="D7" s="117" t="s">
        <v>1127</v>
      </c>
      <c r="E7" s="117" t="s">
        <v>1126</v>
      </c>
      <c r="F7" s="118" t="str">
        <f>IFERROR(IF(ISNUMBER(MATCH(B7,'Step 1 Data Bank'!E:E, 0)), "Find", "Not Find"),"")</f>
        <v>Not Find</v>
      </c>
      <c r="G7" s="119" t="str">
        <f t="array" ref="G7">XLOOKUP(B7,'Step 1 Data Bank'!E:E,'Step 1 Data Bank'!F:F)</f>
        <v>#N/A</v>
      </c>
    </row>
    <row r="8">
      <c r="B8" s="117">
        <v>3.51690530005167E14</v>
      </c>
      <c r="C8" s="117">
        <v>3.52380640005161E14</v>
      </c>
      <c r="D8" s="117" t="s">
        <v>1127</v>
      </c>
      <c r="E8" s="117" t="s">
        <v>1126</v>
      </c>
      <c r="F8" s="118" t="str">
        <f>IFERROR(IF(ISNUMBER(MATCH(B8,'Step 1 Data Bank'!E:E, 0)), "Find", "Not Find"),"")</f>
        <v>Not Find</v>
      </c>
      <c r="G8" s="119" t="str">
        <f t="array" ref="G8">XLOOKUP(B8,'Step 1 Data Bank'!E:E,'Step 1 Data Bank'!F:F)</f>
        <v>#N/A</v>
      </c>
    </row>
    <row r="9">
      <c r="B9" s="117">
        <v>3.51690530005431E14</v>
      </c>
      <c r="C9" s="117">
        <v>3.52380640005435E14</v>
      </c>
      <c r="D9" s="117" t="s">
        <v>1127</v>
      </c>
      <c r="E9" s="117" t="s">
        <v>752</v>
      </c>
      <c r="F9" s="118" t="str">
        <f>IFERROR(IF(ISNUMBER(MATCH(B9,'Step 1 Data Bank'!E:E, 0)), "Find", "Not Find"),"")</f>
        <v>Not Find</v>
      </c>
      <c r="G9" s="119" t="str">
        <f t="array" ref="G9">XLOOKUP(B9,'Step 1 Data Bank'!E:E,'Step 1 Data Bank'!F:F)</f>
        <v>#N/A</v>
      </c>
    </row>
    <row r="10">
      <c r="B10" s="117">
        <v>3.51690530005613E14</v>
      </c>
      <c r="C10" s="117">
        <v>3.52380640005617E14</v>
      </c>
      <c r="D10" s="117" t="s">
        <v>1127</v>
      </c>
      <c r="E10" s="117" t="s">
        <v>1126</v>
      </c>
      <c r="F10" s="118" t="str">
        <f>IFERROR(IF(ISNUMBER(MATCH(B10,'Step 1 Data Bank'!E:E, 0)), "Find", "Not Find"),"")</f>
        <v>Not Find</v>
      </c>
      <c r="G10" s="119" t="str">
        <f t="array" ref="G10">XLOOKUP(B10,'Step 1 Data Bank'!E:E,'Step 1 Data Bank'!F:F)</f>
        <v>#N/A</v>
      </c>
    </row>
    <row r="11">
      <c r="B11" s="117">
        <v>3.51690530005787E14</v>
      </c>
      <c r="C11" s="117">
        <v>3.52380640005781E14</v>
      </c>
      <c r="D11" s="117" t="s">
        <v>1127</v>
      </c>
      <c r="E11" s="117" t="s">
        <v>1126</v>
      </c>
      <c r="F11" s="118" t="str">
        <f>IFERROR(IF(ISNUMBER(MATCH(B11,'Step 1 Data Bank'!E:E, 0)), "Find", "Not Find"),"")</f>
        <v>Not Find</v>
      </c>
      <c r="G11" s="119" t="str">
        <f t="array" ref="G11">XLOOKUP(B11,'Step 1 Data Bank'!E:E,'Step 1 Data Bank'!F:F)</f>
        <v>#N/A</v>
      </c>
    </row>
    <row r="12">
      <c r="B12" s="117">
        <v>3.51690530005902E14</v>
      </c>
      <c r="C12" s="117">
        <v>3.52380640005906E14</v>
      </c>
      <c r="D12" s="117" t="s">
        <v>1127</v>
      </c>
      <c r="E12" s="117" t="s">
        <v>752</v>
      </c>
      <c r="F12" s="118" t="str">
        <f>IFERROR(IF(ISNUMBER(MATCH(B12,'Step 1 Data Bank'!E:E, 0)), "Find", "Not Find"),"")</f>
        <v>Not Find</v>
      </c>
      <c r="G12" s="119" t="str">
        <f t="array" ref="G12">XLOOKUP(B12,'Step 1 Data Bank'!E:E,'Step 1 Data Bank'!F:F)</f>
        <v>#N/A</v>
      </c>
    </row>
    <row r="13">
      <c r="B13" s="117">
        <v>3.51690530025538E14</v>
      </c>
      <c r="C13" s="117">
        <v>3.52380640025532E14</v>
      </c>
      <c r="D13" s="117" t="s">
        <v>1128</v>
      </c>
      <c r="E13" s="117" t="s">
        <v>752</v>
      </c>
      <c r="F13" s="118" t="str">
        <f>IFERROR(IF(ISNUMBER(MATCH(B13,'Step 1 Data Bank'!E:E, 0)), "Find", "Not Find"),"")</f>
        <v>Find</v>
      </c>
      <c r="G13" s="119" t="str">
        <f t="array" ref="G13">XLOOKUP(B13,'Step 1 Data Bank'!E:E,'Step 1 Data Bank'!F:F)</f>
        <v>G-S26 256GB SILVER</v>
      </c>
    </row>
    <row r="14">
      <c r="B14" s="117">
        <v>3.51690530035867E14</v>
      </c>
      <c r="C14" s="117">
        <v>3.52380640035861E14</v>
      </c>
      <c r="D14" s="117" t="s">
        <v>1129</v>
      </c>
      <c r="E14" s="117" t="s">
        <v>1126</v>
      </c>
      <c r="F14" s="118" t="str">
        <f>IFERROR(IF(ISNUMBER(MATCH(B14,'Step 1 Data Bank'!E:E, 0)), "Find", "Not Find"),"")</f>
        <v>Not Find</v>
      </c>
      <c r="G14" s="119" t="str">
        <f t="array" ref="G14">XLOOKUP(B14,'Step 1 Data Bank'!E:E,'Step 1 Data Bank'!F:F)</f>
        <v>#N/A</v>
      </c>
    </row>
    <row r="15">
      <c r="B15" s="117">
        <v>3.52425615000141E14</v>
      </c>
      <c r="C15" s="117">
        <v>3.53580175000144E14</v>
      </c>
      <c r="D15" s="117" t="s">
        <v>1130</v>
      </c>
      <c r="E15" s="117" t="s">
        <v>752</v>
      </c>
      <c r="F15" s="118" t="str">
        <f>IFERROR(IF(ISNUMBER(MATCH(B15,'Step 1 Data Bank'!E:E, 0)), "Find", "Not Find"),"")</f>
        <v>Find</v>
      </c>
      <c r="G15" s="119" t="str">
        <f t="array" ref="G15">XLOOKUP(B15,'Step 1 Data Bank'!E:E,'Step 1 Data Bank'!F:F)</f>
        <v>G-S26-ULTRA 512GB BLACK</v>
      </c>
    </row>
    <row r="16">
      <c r="B16" s="117">
        <v>3.52425615002378E14</v>
      </c>
      <c r="C16" s="117">
        <v>3.53580175002371E14</v>
      </c>
      <c r="D16" s="117" t="s">
        <v>1131</v>
      </c>
      <c r="E16" s="117" t="s">
        <v>752</v>
      </c>
      <c r="F16" s="118" t="str">
        <f>IFERROR(IF(ISNUMBER(MATCH(B16,'Step 1 Data Bank'!E:E, 0)), "Find", "Not Find"),"")</f>
        <v>Not Find</v>
      </c>
      <c r="G16" s="119" t="str">
        <f t="array" ref="G16">XLOOKUP(B16,'Step 1 Data Bank'!E:E,'Step 1 Data Bank'!F:F)</f>
        <v>#N/A</v>
      </c>
    </row>
    <row r="17">
      <c r="B17" s="117">
        <v>3.52425615005389E14</v>
      </c>
      <c r="C17" s="117">
        <v>3.53580175005382E14</v>
      </c>
      <c r="D17" s="117" t="s">
        <v>1131</v>
      </c>
      <c r="E17" s="117" t="s">
        <v>752</v>
      </c>
      <c r="F17" s="118" t="str">
        <f>IFERROR(IF(ISNUMBER(MATCH(B17,'Step 1 Data Bank'!E:E, 0)), "Find", "Not Find"),"")</f>
        <v>Not Find</v>
      </c>
      <c r="G17" s="119" t="str">
        <f t="array" ref="G17">XLOOKUP(B17,'Step 1 Data Bank'!E:E,'Step 1 Data Bank'!F:F)</f>
        <v>#N/A</v>
      </c>
    </row>
    <row r="18">
      <c r="B18" s="117">
        <v>3.52425615007658E14</v>
      </c>
      <c r="C18" s="117">
        <v>3.53580175007651E14</v>
      </c>
      <c r="D18" s="117" t="s">
        <v>1131</v>
      </c>
      <c r="E18" s="117" t="s">
        <v>752</v>
      </c>
      <c r="F18" s="118" t="str">
        <f>IFERROR(IF(ISNUMBER(MATCH(B18,'Step 1 Data Bank'!E:E, 0)), "Find", "Not Find"),"")</f>
        <v>Not Find</v>
      </c>
      <c r="G18" s="119" t="str">
        <f t="array" ref="G18">XLOOKUP(B18,'Step 1 Data Bank'!E:E,'Step 1 Data Bank'!F:F)</f>
        <v>#N/A</v>
      </c>
    </row>
    <row r="19">
      <c r="B19" s="117">
        <v>3.52425615010629E14</v>
      </c>
      <c r="C19" s="117">
        <v>3.53580175010622E14</v>
      </c>
      <c r="D19" s="117" t="s">
        <v>1131</v>
      </c>
      <c r="E19" s="117" t="s">
        <v>752</v>
      </c>
      <c r="F19" s="118" t="str">
        <f>IFERROR(IF(ISNUMBER(MATCH(B19,'Step 1 Data Bank'!E:E, 0)), "Find", "Not Find"),"")</f>
        <v>Not Find</v>
      </c>
      <c r="G19" s="119" t="str">
        <f t="array" ref="G19">XLOOKUP(B19,'Step 1 Data Bank'!E:E,'Step 1 Data Bank'!F:F)</f>
        <v>#N/A</v>
      </c>
    </row>
    <row r="20">
      <c r="B20" s="117">
        <v>3.5242561501759E14</v>
      </c>
      <c r="C20" s="117">
        <v>3.53580175017593E14</v>
      </c>
      <c r="D20" s="117" t="s">
        <v>1131</v>
      </c>
      <c r="E20" s="117" t="s">
        <v>752</v>
      </c>
      <c r="F20" s="118" t="str">
        <f>IFERROR(IF(ISNUMBER(MATCH(B20,'Step 1 Data Bank'!E:E, 0)), "Find", "Not Find"),"")</f>
        <v>Not Find</v>
      </c>
      <c r="G20" s="119" t="str">
        <f t="array" ref="G20">XLOOKUP(B20,'Step 1 Data Bank'!E:E,'Step 1 Data Bank'!F:F)</f>
        <v>#N/A</v>
      </c>
    </row>
    <row r="21">
      <c r="B21" s="117">
        <v>3.52425615045971E14</v>
      </c>
      <c r="C21" s="117">
        <v>3.53580175045974E14</v>
      </c>
      <c r="D21" s="117" t="s">
        <v>1132</v>
      </c>
      <c r="E21" s="117" t="s">
        <v>752</v>
      </c>
      <c r="F21" s="118" t="str">
        <f>IFERROR(IF(ISNUMBER(MATCH(B21,'Step 1 Data Bank'!E:E, 0)), "Find", "Not Find"),"")</f>
        <v>Not Find</v>
      </c>
      <c r="G21" s="119" t="str">
        <f t="array" ref="G21">XLOOKUP(B21,'Step 1 Data Bank'!E:E,'Step 1 Data Bank'!F:F)</f>
        <v>#N/A</v>
      </c>
    </row>
    <row r="22">
      <c r="B22" s="117">
        <v>3.52425615058396E14</v>
      </c>
      <c r="C22" s="117">
        <v>3.53580175058399E14</v>
      </c>
      <c r="D22" s="117" t="s">
        <v>1133</v>
      </c>
      <c r="E22" s="117" t="s">
        <v>752</v>
      </c>
      <c r="F22" s="118" t="str">
        <f>IFERROR(IF(ISNUMBER(MATCH(B22,'Step 1 Data Bank'!E:E, 0)), "Find", "Not Find"),"")</f>
        <v>Not Find</v>
      </c>
      <c r="G22" s="119" t="str">
        <f t="array" ref="G22">XLOOKUP(B22,'Step 1 Data Bank'!E:E,'Step 1 Data Bank'!F:F)</f>
        <v>#N/A</v>
      </c>
    </row>
    <row r="23">
      <c r="B23" s="117">
        <v>3.5242561510023E14</v>
      </c>
      <c r="C23" s="117">
        <v>3.53580175100233E14</v>
      </c>
      <c r="D23" s="117" t="s">
        <v>1134</v>
      </c>
      <c r="E23" s="117" t="s">
        <v>752</v>
      </c>
      <c r="F23" s="118" t="str">
        <f>IFERROR(IF(ISNUMBER(MATCH(B23,'Step 1 Data Bank'!E:E, 0)), "Find", "Not Find"),"")</f>
        <v>Not Find</v>
      </c>
      <c r="G23" s="119" t="str">
        <f t="array" ref="G23">XLOOKUP(B23,'Step 1 Data Bank'!E:E,'Step 1 Data Bank'!F:F)</f>
        <v>#N/A</v>
      </c>
    </row>
    <row r="24">
      <c r="B24" s="117">
        <v>3.52425615160531E14</v>
      </c>
      <c r="C24" s="117">
        <v>3.53580175160534E14</v>
      </c>
      <c r="D24" s="117" t="s">
        <v>1130</v>
      </c>
      <c r="E24" s="117" t="s">
        <v>752</v>
      </c>
      <c r="F24" s="118" t="str">
        <f>IFERROR(IF(ISNUMBER(MATCH(B24,'Step 1 Data Bank'!E:E, 0)), "Find", "Not Find"),"")</f>
        <v>Find</v>
      </c>
      <c r="G24" s="119" t="str">
        <f t="array" ref="G24">XLOOKUP(B24,'Step 1 Data Bank'!E:E,'Step 1 Data Bank'!F:F)</f>
        <v>G-S26-ULTRA 512GB BLACK</v>
      </c>
    </row>
    <row r="25">
      <c r="B25" s="117">
        <v>3.52425615162867E14</v>
      </c>
      <c r="C25" s="117">
        <v>3.5358017516286E14</v>
      </c>
      <c r="D25" s="117" t="s">
        <v>1130</v>
      </c>
      <c r="E25" s="117" t="s">
        <v>752</v>
      </c>
      <c r="F25" s="118" t="str">
        <f>IFERROR(IF(ISNUMBER(MATCH(B25,'Step 1 Data Bank'!E:E, 0)), "Find", "Not Find"),"")</f>
        <v>Not Find</v>
      </c>
      <c r="G25" s="119" t="str">
        <f t="array" ref="G25">XLOOKUP(B25,'Step 1 Data Bank'!E:E,'Step 1 Data Bank'!F:F)</f>
        <v>#N/A</v>
      </c>
    </row>
    <row r="26">
      <c r="B26" s="117">
        <v>3.52425615163584E14</v>
      </c>
      <c r="C26" s="117">
        <v>3.53580175163587E14</v>
      </c>
      <c r="D26" s="117" t="s">
        <v>1130</v>
      </c>
      <c r="E26" s="117" t="s">
        <v>752</v>
      </c>
      <c r="F26" s="118" t="str">
        <f>IFERROR(IF(ISNUMBER(MATCH(B26,'Step 1 Data Bank'!E:E, 0)), "Find", "Not Find"),"")</f>
        <v>Not Find</v>
      </c>
      <c r="G26" s="119" t="str">
        <f t="array" ref="G26">XLOOKUP(B26,'Step 1 Data Bank'!E:E,'Step 1 Data Bank'!F:F)</f>
        <v>#N/A</v>
      </c>
    </row>
    <row r="27">
      <c r="B27" s="117">
        <v>3.52425615167478E14</v>
      </c>
      <c r="C27" s="117">
        <v>3.53580175167471E14</v>
      </c>
      <c r="D27" s="117" t="s">
        <v>1130</v>
      </c>
      <c r="E27" s="117" t="s">
        <v>752</v>
      </c>
      <c r="F27" s="118" t="str">
        <f>IFERROR(IF(ISNUMBER(MATCH(B27,'Step 1 Data Bank'!E:E, 0)), "Find", "Not Find"),"")</f>
        <v>Not Find</v>
      </c>
      <c r="G27" s="119" t="str">
        <f t="array" ref="G27">XLOOKUP(B27,'Step 1 Data Bank'!E:E,'Step 1 Data Bank'!F:F)</f>
        <v>#N/A</v>
      </c>
    </row>
    <row r="28">
      <c r="B28" s="117">
        <v>3.52425615171751E14</v>
      </c>
      <c r="C28" s="117">
        <v>3.53580175171754E14</v>
      </c>
      <c r="D28" s="117" t="s">
        <v>1130</v>
      </c>
      <c r="E28" s="117" t="s">
        <v>1126</v>
      </c>
      <c r="F28" s="118" t="str">
        <f>IFERROR(IF(ISNUMBER(MATCH(B28,'Step 1 Data Bank'!E:E, 0)), "Find", "Not Find"),"")</f>
        <v>Not Find</v>
      </c>
      <c r="G28" s="119" t="str">
        <f t="array" ref="G28">XLOOKUP(B28,'Step 1 Data Bank'!E:E,'Step 1 Data Bank'!F:F)</f>
        <v>#N/A</v>
      </c>
    </row>
    <row r="29">
      <c r="B29" s="117">
        <v>3.52425615182238E14</v>
      </c>
      <c r="C29" s="117">
        <v>3.53580175182231E14</v>
      </c>
      <c r="D29" s="117" t="s">
        <v>1130</v>
      </c>
      <c r="E29" s="117" t="s">
        <v>1126</v>
      </c>
      <c r="F29" s="118" t="str">
        <f>IFERROR(IF(ISNUMBER(MATCH(B29,'Step 1 Data Bank'!E:E, 0)), "Find", "Not Find"),"")</f>
        <v>Not Find</v>
      </c>
      <c r="G29" s="119" t="str">
        <f t="array" ref="G29">XLOOKUP(B29,'Step 1 Data Bank'!E:E,'Step 1 Data Bank'!F:F)</f>
        <v>#N/A</v>
      </c>
    </row>
    <row r="30">
      <c r="B30" s="117">
        <v>3.52954990058374E14</v>
      </c>
      <c r="C30" s="117">
        <v>3.52966160058372E14</v>
      </c>
      <c r="D30" s="117" t="s">
        <v>1135</v>
      </c>
      <c r="E30" s="117" t="s">
        <v>752</v>
      </c>
      <c r="F30" s="118" t="str">
        <f>IFERROR(IF(ISNUMBER(MATCH(B30,'Step 1 Data Bank'!E:E, 0)), "Find", "Not Find"),"")</f>
        <v>Find</v>
      </c>
      <c r="G30" s="119" t="str">
        <f t="array" ref="G30">XLOOKUP(B30,'Step 1 Data Bank'!E:E,'Step 1 Data Bank'!F:F)</f>
        <v>G-S26 512GB COBALT VIOLET</v>
      </c>
    </row>
    <row r="31">
      <c r="B31" s="117">
        <v>3.52954990079404E14</v>
      </c>
      <c r="C31" s="117">
        <v>3.52966160079402E14</v>
      </c>
      <c r="D31" s="117" t="s">
        <v>1136</v>
      </c>
      <c r="E31" s="117" t="s">
        <v>752</v>
      </c>
      <c r="F31" s="118" t="str">
        <f>IFERROR(IF(ISNUMBER(MATCH(B31,'Step 1 Data Bank'!E:E, 0)), "Find", "Not Find"),"")</f>
        <v>Find</v>
      </c>
      <c r="G31" s="119" t="str">
        <f t="array" ref="G31">XLOOKUP(B31,'Step 1 Data Bank'!E:E,'Step 1 Data Bank'!F:F)</f>
        <v>G-S26 512GB WHITE</v>
      </c>
    </row>
    <row r="32">
      <c r="B32" s="117">
        <v>3.52954990106041E14</v>
      </c>
      <c r="C32" s="117">
        <v>3.52966160106049E14</v>
      </c>
      <c r="D32" s="117" t="s">
        <v>1137</v>
      </c>
      <c r="E32" s="117" t="s">
        <v>752</v>
      </c>
      <c r="F32" s="118" t="str">
        <f>IFERROR(IF(ISNUMBER(MATCH(B32,'Step 1 Data Bank'!E:E, 0)), "Find", "Not Find"),"")</f>
        <v>Find</v>
      </c>
      <c r="G32" s="119" t="str">
        <f t="array" ref="G32">XLOOKUP(B32,'Step 1 Data Bank'!E:E,'Step 1 Data Bank'!F:F)</f>
        <v>G-S26 512GB SKY BLUE</v>
      </c>
    </row>
    <row r="33">
      <c r="B33" s="117">
        <v>3.53829360002252E14</v>
      </c>
      <c r="C33" s="117">
        <v>3.54104850002256E14</v>
      </c>
      <c r="D33" s="117" t="s">
        <v>1138</v>
      </c>
      <c r="E33" s="117" t="s">
        <v>752</v>
      </c>
      <c r="F33" s="118" t="str">
        <f>IFERROR(IF(ISNUMBER(MATCH(B33,'Step 1 Data Bank'!E:E, 0)), "Find", "Not Find"),"")</f>
        <v>Find</v>
      </c>
      <c r="G33" s="119" t="str">
        <f t="array" ref="G33">XLOOKUP(B33,'Step 1 Data Bank'!E:E,'Step 1 Data Bank'!F:F)</f>
        <v>G-S26-PLUS 256GB COBALT VIOLET</v>
      </c>
    </row>
    <row r="34">
      <c r="B34" s="117">
        <v>3.53829360015072E14</v>
      </c>
      <c r="C34" s="117">
        <v>3.54104850015076E14</v>
      </c>
      <c r="D34" s="117" t="s">
        <v>1139</v>
      </c>
      <c r="E34" s="117" t="s">
        <v>752</v>
      </c>
      <c r="F34" s="118" t="str">
        <f>IFERROR(IF(ISNUMBER(MATCH(B34,'Step 1 Data Bank'!E:E, 0)), "Find", "Not Find"),"")</f>
        <v>Find</v>
      </c>
      <c r="G34" s="119" t="str">
        <f t="array" ref="G34">XLOOKUP(B34,'Step 1 Data Bank'!E:E,'Step 1 Data Bank'!F:F)</f>
        <v>G-S26-PLUS 256GB SKY BLUE</v>
      </c>
    </row>
    <row r="35">
      <c r="B35" s="117">
        <v>3.53829360020585E14</v>
      </c>
      <c r="C35" s="117">
        <v>3.54104850020589E14</v>
      </c>
      <c r="D35" s="117" t="s">
        <v>1139</v>
      </c>
      <c r="E35" s="117" t="s">
        <v>752</v>
      </c>
      <c r="F35" s="118" t="str">
        <f>IFERROR(IF(ISNUMBER(MATCH(B35,'Step 1 Data Bank'!E:E, 0)), "Find", "Not Find"),"")</f>
        <v>Find</v>
      </c>
      <c r="G35" s="119" t="str">
        <f t="array" ref="G35">XLOOKUP(B35,'Step 1 Data Bank'!E:E,'Step 1 Data Bank'!F:F)</f>
        <v>G-S26-PLUS 256GB SKY BLUE</v>
      </c>
    </row>
    <row r="36">
      <c r="B36" s="117">
        <v>3.53829360027572E14</v>
      </c>
      <c r="C36" s="117">
        <v>3.54104850027576E14</v>
      </c>
      <c r="D36" s="117" t="s">
        <v>1140</v>
      </c>
      <c r="E36" s="117" t="s">
        <v>752</v>
      </c>
      <c r="F36" s="118" t="str">
        <f>IFERROR(IF(ISNUMBER(MATCH(B36,'Step 1 Data Bank'!E:E, 0)), "Find", "Not Find"),"")</f>
        <v>Find</v>
      </c>
      <c r="G36" s="119" t="str">
        <f t="array" ref="G36">XLOOKUP(B36,'Step 1 Data Bank'!E:E,'Step 1 Data Bank'!F:F)</f>
        <v>G-S26-PLUS 256GB BLACK</v>
      </c>
    </row>
    <row r="37">
      <c r="B37" s="117">
        <v>3.54694440010231E14</v>
      </c>
      <c r="C37" s="117">
        <v>3.55013390010233E14</v>
      </c>
      <c r="D37" s="117" t="s">
        <v>1141</v>
      </c>
      <c r="E37" s="117" t="s">
        <v>752</v>
      </c>
      <c r="F37" s="118" t="str">
        <f>IFERROR(IF(ISNUMBER(MATCH(B37,'Step 1 Data Bank'!E:E, 0)), "Find", "Not Find"),"")</f>
        <v>Find</v>
      </c>
      <c r="G37" s="119" t="str">
        <f t="array" ref="G37">XLOOKUP(B37,'Step 1 Data Bank'!E:E,'Step 1 Data Bank'!F:F)</f>
        <v>G-S26-PLUS 512GB WHITE</v>
      </c>
    </row>
    <row r="38">
      <c r="B38" s="117">
        <v>3.54694440022608E14</v>
      </c>
      <c r="C38" s="117">
        <v>3.550133900226E14</v>
      </c>
      <c r="D38" s="117" t="s">
        <v>1142</v>
      </c>
      <c r="E38" s="117" t="s">
        <v>752</v>
      </c>
      <c r="F38" s="118" t="str">
        <f>IFERROR(IF(ISNUMBER(MATCH(B38,'Step 1 Data Bank'!E:E, 0)), "Find", "Not Find"),"")</f>
        <v>Find</v>
      </c>
      <c r="G38" s="119" t="str">
        <f t="array" ref="G38">XLOOKUP(B38,'Step 1 Data Bank'!E:E,'Step 1 Data Bank'!F:F)</f>
        <v>G-S26-PLUS 512GB SKY BLUE</v>
      </c>
    </row>
    <row r="39">
      <c r="B39" s="117">
        <v>3.5469444003862E14</v>
      </c>
      <c r="C39" s="117">
        <v>3.55013390038622E14</v>
      </c>
      <c r="D39" s="117" t="s">
        <v>1143</v>
      </c>
      <c r="E39" s="117" t="s">
        <v>752</v>
      </c>
      <c r="F39" s="118" t="str">
        <f>IFERROR(IF(ISNUMBER(MATCH(B39,'Step 1 Data Bank'!E:E, 0)), "Find", "Not Find"),"")</f>
        <v>Find</v>
      </c>
      <c r="G39" s="119" t="str">
        <f t="array" ref="G39">XLOOKUP(B39,'Step 1 Data Bank'!E:E,'Step 1 Data Bank'!F:F)</f>
        <v>G-S26-PLUS 512GB COBALT VIOLET</v>
      </c>
    </row>
    <row r="40">
      <c r="B40" s="117">
        <v>3.5469444004258E14</v>
      </c>
      <c r="C40" s="117">
        <v>3.55013390042582E14</v>
      </c>
      <c r="D40" s="117" t="s">
        <v>1143</v>
      </c>
      <c r="E40" s="117" t="s">
        <v>752</v>
      </c>
      <c r="F40" s="118" t="str">
        <f>IFERROR(IF(ISNUMBER(MATCH(B40,'Step 1 Data Bank'!E:E, 0)), "Find", "Not Find"),"")</f>
        <v>Find</v>
      </c>
      <c r="G40" s="119" t="str">
        <f t="array" ref="G40">XLOOKUP(B40,'Step 1 Data Bank'!E:E,'Step 1 Data Bank'!F:F)</f>
        <v>G-S26-PLUS 512GB COBALT VIOLET</v>
      </c>
    </row>
    <row r="41">
      <c r="B41" s="117">
        <v>3.58780495000072E14</v>
      </c>
      <c r="C41" s="117">
        <v>3.58958305000074E14</v>
      </c>
      <c r="D41" s="117" t="s">
        <v>1144</v>
      </c>
      <c r="E41" s="117" t="s">
        <v>752</v>
      </c>
      <c r="F41" s="118" t="str">
        <f>IFERROR(IF(ISNUMBER(MATCH(B41,'Step 1 Data Bank'!E:E, 0)), "Find", "Not Find"),"")</f>
        <v>Not Find</v>
      </c>
      <c r="G41" s="119" t="str">
        <f t="array" ref="G41">XLOOKUP(B41,'Step 1 Data Bank'!E:E,'Step 1 Data Bank'!F:F)</f>
        <v>#N/A</v>
      </c>
    </row>
    <row r="42">
      <c r="B42" s="117">
        <v>3.58780495000924E14</v>
      </c>
      <c r="C42" s="117">
        <v>3.58958305000926E14</v>
      </c>
      <c r="D42" s="117" t="s">
        <v>1145</v>
      </c>
      <c r="E42" s="117" t="s">
        <v>752</v>
      </c>
      <c r="F42" s="118" t="str">
        <f>IFERROR(IF(ISNUMBER(MATCH(B42,'Step 1 Data Bank'!E:E, 0)), "Find", "Not Find"),"")</f>
        <v>Not Find</v>
      </c>
      <c r="G42" s="119" t="str">
        <f t="array" ref="G42">XLOOKUP(B42,'Step 1 Data Bank'!E:E,'Step 1 Data Bank'!F:F)</f>
        <v>#N/A</v>
      </c>
    </row>
    <row r="43">
      <c r="B43" s="117">
        <v>3.58780495001211E14</v>
      </c>
      <c r="C43" s="117">
        <v>3.58958305001213E14</v>
      </c>
      <c r="D43" s="117" t="s">
        <v>1145</v>
      </c>
      <c r="E43" s="117" t="s">
        <v>752</v>
      </c>
      <c r="F43" s="118" t="str">
        <f>IFERROR(IF(ISNUMBER(MATCH(B43,'Step 1 Data Bank'!E:E, 0)), "Find", "Not Find"),"")</f>
        <v>Not Find</v>
      </c>
      <c r="G43" s="119" t="str">
        <f t="array" ref="G43">XLOOKUP(B43,'Step 1 Data Bank'!E:E,'Step 1 Data Bank'!F:F)</f>
        <v>#N/A</v>
      </c>
    </row>
    <row r="44">
      <c r="B44" s="117">
        <v>3.58780495002276E14</v>
      </c>
      <c r="C44" s="117">
        <v>3.58958305002278E14</v>
      </c>
      <c r="D44" s="117" t="s">
        <v>1146</v>
      </c>
      <c r="E44" s="117" t="s">
        <v>1126</v>
      </c>
      <c r="F44" s="118" t="str">
        <f>IFERROR(IF(ISNUMBER(MATCH(B44,'Step 1 Data Bank'!E:E, 0)), "Find", "Not Find"),"")</f>
        <v>Not Find</v>
      </c>
      <c r="G44" s="119" t="str">
        <f t="array" ref="G44">XLOOKUP(B44,'Step 1 Data Bank'!E:E,'Step 1 Data Bank'!F:F)</f>
        <v>#N/A</v>
      </c>
    </row>
    <row r="45">
      <c r="B45" s="117">
        <v>3.58780495002516E14</v>
      </c>
      <c r="C45" s="117">
        <v>3.58958305002518E14</v>
      </c>
      <c r="D45" s="117" t="s">
        <v>1146</v>
      </c>
      <c r="E45" s="117" t="s">
        <v>752</v>
      </c>
      <c r="F45" s="118" t="str">
        <f>IFERROR(IF(ISNUMBER(MATCH(B45,'Step 1 Data Bank'!E:E, 0)), "Find", "Not Find"),"")</f>
        <v>Find</v>
      </c>
      <c r="G45" s="119" t="str">
        <f t="array" ref="G45">XLOOKUP(B45,'Step 1 Data Bank'!E:E,'Step 1 Data Bank'!F:F)</f>
        <v>G-S26-ULTRA 256GB WHITE</v>
      </c>
    </row>
    <row r="46">
      <c r="B46" s="117">
        <v>3.58780495002888E14</v>
      </c>
      <c r="C46" s="117">
        <v>3.5895830500288E14</v>
      </c>
      <c r="D46" s="117" t="s">
        <v>1146</v>
      </c>
      <c r="E46" s="117" t="s">
        <v>752</v>
      </c>
      <c r="F46" s="118" t="str">
        <f>IFERROR(IF(ISNUMBER(MATCH(B46,'Step 1 Data Bank'!E:E, 0)), "Find", "Not Find"),"")</f>
        <v>Find</v>
      </c>
      <c r="G46" s="119" t="str">
        <f t="array" ref="G46">XLOOKUP(B46,'Step 1 Data Bank'!E:E,'Step 1 Data Bank'!F:F)</f>
        <v>G-S26-ULTRA 256GB WHITE</v>
      </c>
    </row>
    <row r="47">
      <c r="B47" s="117">
        <v>3.58780495010311E14</v>
      </c>
      <c r="C47" s="117">
        <v>3.58958305010313E14</v>
      </c>
      <c r="D47" s="117" t="s">
        <v>1147</v>
      </c>
      <c r="E47" s="117" t="s">
        <v>752</v>
      </c>
      <c r="F47" s="118" t="str">
        <f>IFERROR(IF(ISNUMBER(MATCH(B47,'Step 1 Data Bank'!E:E, 0)), "Find", "Not Find"),"")</f>
        <v>Find</v>
      </c>
      <c r="G47" s="119" t="str">
        <f t="array" ref="G47">XLOOKUP(B47,'Step 1 Data Bank'!E:E,'Step 1 Data Bank'!F:F)</f>
        <v>G-S26-ULTRA 256GB COBALT VIOLET</v>
      </c>
    </row>
    <row r="48">
      <c r="B48" s="117">
        <v>3.58780495012689E14</v>
      </c>
      <c r="C48" s="117">
        <v>3.58958305012681E14</v>
      </c>
      <c r="D48" s="117" t="s">
        <v>1147</v>
      </c>
      <c r="E48" s="117" t="s">
        <v>752</v>
      </c>
      <c r="F48" s="118" t="str">
        <f>IFERROR(IF(ISNUMBER(MATCH(B48,'Step 1 Data Bank'!E:E, 0)), "Find", "Not Find"),"")</f>
        <v>Find</v>
      </c>
      <c r="G48" s="119" t="str">
        <f t="array" ref="G48">XLOOKUP(B48,'Step 1 Data Bank'!E:E,'Step 1 Data Bank'!F:F)</f>
        <v>G-S26-ULTRA 256GB COBALT VIOLET</v>
      </c>
    </row>
    <row r="49">
      <c r="B49" s="117">
        <v>3.58780495019643E14</v>
      </c>
      <c r="C49" s="117">
        <v>3.58958305019645E14</v>
      </c>
      <c r="D49" s="117" t="s">
        <v>1147</v>
      </c>
      <c r="E49" s="117" t="s">
        <v>752</v>
      </c>
      <c r="F49" s="118" t="str">
        <f>IFERROR(IF(ISNUMBER(MATCH(B49,'Step 1 Data Bank'!E:E, 0)), "Find", "Not Find"),"")</f>
        <v>Find</v>
      </c>
      <c r="G49" s="119" t="str">
        <f t="array" ref="G49">XLOOKUP(B49,'Step 1 Data Bank'!E:E,'Step 1 Data Bank'!F:F)</f>
        <v>G-S26-ULTRA 256GB COBALT VIOLET</v>
      </c>
    </row>
    <row r="50">
      <c r="B50" s="117">
        <v>3.58780495027166E14</v>
      </c>
      <c r="C50" s="117">
        <v>3.58958305027168E14</v>
      </c>
      <c r="D50" s="117" t="s">
        <v>1148</v>
      </c>
      <c r="E50" s="117" t="s">
        <v>752</v>
      </c>
      <c r="F50" s="118" t="str">
        <f>IFERROR(IF(ISNUMBER(MATCH(B50,'Step 1 Data Bank'!E:E, 0)), "Find", "Not Find"),"")</f>
        <v>Find</v>
      </c>
      <c r="G50" s="119" t="str">
        <f t="array" ref="G50">XLOOKUP(B50,'Step 1 Data Bank'!E:E,'Step 1 Data Bank'!F:F)</f>
        <v>G-S26-ULTRA 256GB SKY BLUE</v>
      </c>
    </row>
    <row r="51">
      <c r="B51" s="117">
        <v>3.58780495027596E14</v>
      </c>
      <c r="C51" s="117">
        <v>3.58958305027598E14</v>
      </c>
      <c r="D51" s="117" t="s">
        <v>1148</v>
      </c>
      <c r="E51" s="117" t="s">
        <v>752</v>
      </c>
      <c r="F51" s="118" t="str">
        <f>IFERROR(IF(ISNUMBER(MATCH(B51,'Step 1 Data Bank'!E:E, 0)), "Find", "Not Find"),"")</f>
        <v>Find</v>
      </c>
      <c r="G51" s="119" t="str">
        <f t="array" ref="G51">XLOOKUP(B51,'Step 1 Data Bank'!E:E,'Step 1 Data Bank'!F:F)</f>
        <v>G-S26-ULTRA 256GB SKY BLUE</v>
      </c>
    </row>
    <row r="52">
      <c r="B52" s="117">
        <v>3.58780495028719E14</v>
      </c>
      <c r="C52" s="117">
        <v>3.58958305028711E14</v>
      </c>
      <c r="D52" s="117" t="s">
        <v>1148</v>
      </c>
      <c r="E52" s="117" t="s">
        <v>752</v>
      </c>
      <c r="F52" s="118" t="str">
        <f>IFERROR(IF(ISNUMBER(MATCH(B52,'Step 1 Data Bank'!E:E, 0)), "Find", "Not Find"),"")</f>
        <v>Find</v>
      </c>
      <c r="G52" s="119" t="str">
        <f t="array" ref="G52">XLOOKUP(B52,'Step 1 Data Bank'!E:E,'Step 1 Data Bank'!F:F)</f>
        <v>G-S26-ULTRA 256GB SKY BLUE</v>
      </c>
    </row>
    <row r="53">
      <c r="B53" s="117">
        <v>3.58780495029733E14</v>
      </c>
      <c r="C53" s="117">
        <v>3.58958305029735E14</v>
      </c>
      <c r="D53" s="117" t="s">
        <v>1148</v>
      </c>
      <c r="E53" s="117" t="s">
        <v>752</v>
      </c>
      <c r="F53" s="118" t="str">
        <f>IFERROR(IF(ISNUMBER(MATCH(B53,'Step 1 Data Bank'!E:E, 0)), "Find", "Not Find"),"")</f>
        <v>Not Find</v>
      </c>
      <c r="G53" s="119" t="str">
        <f t="array" ref="G53">XLOOKUP(B53,'Step 1 Data Bank'!E:E,'Step 1 Data Bank'!F:F)</f>
        <v>#N/A</v>
      </c>
    </row>
    <row r="54">
      <c r="B54" s="117">
        <v>3.58780495051836E14</v>
      </c>
      <c r="C54" s="117">
        <v>3.58958305051838E14</v>
      </c>
      <c r="D54" s="117" t="s">
        <v>1148</v>
      </c>
      <c r="E54" s="117" t="s">
        <v>1126</v>
      </c>
      <c r="F54" s="118" t="str">
        <f>IFERROR(IF(ISNUMBER(MATCH(B54,'Step 1 Data Bank'!E:E, 0)), "Find", "Not Find"),"")</f>
        <v>Not Find</v>
      </c>
      <c r="G54" s="119" t="str">
        <f t="array" ref="G54">XLOOKUP(B54,'Step 1 Data Bank'!E:E,'Step 1 Data Bank'!F:F)</f>
        <v>#N/A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14.25"/>
    <col customWidth="1" min="3" max="3" width="16.88"/>
    <col customWidth="1" min="4" max="4" width="20.13"/>
    <col customWidth="1" min="5" max="5" width="23.25"/>
    <col customWidth="1" min="6" max="6" width="29.75"/>
    <col customWidth="1" min="7" max="7" width="17.88"/>
    <col customWidth="1" min="8" max="8" width="18.88"/>
    <col customWidth="1" min="9" max="9" width="24.13"/>
    <col customWidth="1" min="10" max="10" width="20.25"/>
    <col customWidth="1" min="11" max="11" width="22.0"/>
    <col customWidth="1" min="12" max="12" width="23.75"/>
    <col customWidth="1" min="13" max="13" width="24.38"/>
    <col customWidth="1" min="14" max="14" width="20.13"/>
    <col customWidth="1" min="15" max="15" width="24.38"/>
    <col customWidth="1" min="16" max="16" width="37.63"/>
  </cols>
  <sheetData>
    <row r="1">
      <c r="A1" s="120" t="s">
        <v>1149</v>
      </c>
      <c r="B1" s="121" t="s">
        <v>1150</v>
      </c>
      <c r="C1" s="122" t="s">
        <v>1151</v>
      </c>
      <c r="D1" s="122" t="s">
        <v>2</v>
      </c>
      <c r="E1" s="122" t="s">
        <v>1152</v>
      </c>
      <c r="F1" s="123" t="s">
        <v>1153</v>
      </c>
      <c r="G1" s="124" t="s">
        <v>4</v>
      </c>
      <c r="H1" s="122" t="s">
        <v>1154</v>
      </c>
      <c r="I1" s="122" t="s">
        <v>1155</v>
      </c>
      <c r="J1" s="122" t="s">
        <v>1156</v>
      </c>
      <c r="K1" s="122" t="s">
        <v>1157</v>
      </c>
      <c r="L1" s="122" t="s">
        <v>3</v>
      </c>
      <c r="M1" s="122" t="s">
        <v>1158</v>
      </c>
      <c r="N1" s="122" t="s">
        <v>1159</v>
      </c>
      <c r="O1" s="122" t="s">
        <v>1160</v>
      </c>
      <c r="P1" s="122" t="s">
        <v>1161</v>
      </c>
      <c r="W1" s="125"/>
      <c r="X1" s="125"/>
    </row>
    <row r="2">
      <c r="A2" s="126"/>
      <c r="B2" s="127">
        <v>46065.0</v>
      </c>
      <c r="C2" s="128" t="s">
        <v>35</v>
      </c>
      <c r="D2" s="129" t="s">
        <v>31</v>
      </c>
      <c r="E2" s="128">
        <v>3.51225503076083E14</v>
      </c>
      <c r="F2" s="130" t="s">
        <v>1162</v>
      </c>
      <c r="G2" s="129" t="s">
        <v>11</v>
      </c>
      <c r="H2" s="131">
        <v>46172.0</v>
      </c>
      <c r="I2" s="132"/>
      <c r="J2" s="129" t="s">
        <v>52</v>
      </c>
      <c r="K2" s="132"/>
      <c r="L2" s="133" t="s">
        <v>10</v>
      </c>
      <c r="M2" s="134" t="str">
        <f t="shared" ref="M2:M986" si="1">IF(E2="", "", IF(W2=0, "AVAILABLE", IF(W2 &gt; X2, "LOANED / ON KOL", "AVAILABLE")))</f>
        <v>LOANED / ON KOL</v>
      </c>
      <c r="N2" s="134" t="str">
        <f t="array" ref="N2">IF(M2="LOANED / ON KOL", INDEX('Step 3 FOC Request'!$G:$G, MATCH(1, ('Step 3 FOC Request'!$A:$A=W2) * ('Step 3 FOC Request'!$F:$F=E2), 0)), "-")</f>
        <v>Mushdalifah ( Aman)</v>
      </c>
      <c r="O2" s="132"/>
      <c r="P2" s="132"/>
      <c r="Q2" s="126"/>
      <c r="R2" s="126"/>
      <c r="U2" s="126"/>
      <c r="V2" s="126"/>
      <c r="W2" s="135">
        <f>MAXIFS('Step 3 FOC Request'!$A:$A, 'Step 3 FOC Request'!$F:$F, $E2)</f>
        <v>46084.63886</v>
      </c>
      <c r="X2" s="135">
        <f>MAXIFS('Step 4 FOC Return'!$A:$A, 'Step 4 FOC Return'!$E:$E, $E2)</f>
        <v>0</v>
      </c>
      <c r="Y2" s="126"/>
    </row>
    <row r="3">
      <c r="A3" s="126"/>
      <c r="B3" s="127">
        <v>46065.0</v>
      </c>
      <c r="C3" s="128" t="s">
        <v>35</v>
      </c>
      <c r="D3" s="129" t="s">
        <v>31</v>
      </c>
      <c r="E3" s="128">
        <v>3.51225503087627E14</v>
      </c>
      <c r="F3" s="130" t="s">
        <v>1162</v>
      </c>
      <c r="G3" s="129" t="s">
        <v>11</v>
      </c>
      <c r="H3" s="131">
        <v>46172.0</v>
      </c>
      <c r="I3" s="132"/>
      <c r="J3" s="129" t="s">
        <v>52</v>
      </c>
      <c r="K3" s="132"/>
      <c r="L3" s="133" t="s">
        <v>10</v>
      </c>
      <c r="M3" s="134" t="str">
        <f t="shared" si="1"/>
        <v>LOANED / ON KOL</v>
      </c>
      <c r="N3" s="134" t="str">
        <f t="array" ref="N3">IF(M3="LOANED / ON KOL", INDEX('Step 3 FOC Request'!$G:$G, MATCH(1, ('Step 3 FOC Request'!$A:$A=W3) * ('Step 3 FOC Request'!$F:$F=E3), 0)), "-")</f>
        <v>AMHAD FADHILLA</v>
      </c>
      <c r="O3" s="132"/>
      <c r="P3" s="132"/>
      <c r="Q3" s="126"/>
      <c r="R3" s="126"/>
      <c r="U3" s="126"/>
      <c r="V3" s="126"/>
      <c r="W3" s="135">
        <f>MAXIFS('Step 3 FOC Request'!$A:$A, 'Step 3 FOC Request'!$F:$F, $E3)</f>
        <v>46072.60221</v>
      </c>
      <c r="X3" s="135">
        <f>MAXIFS('Step 4 FOC Return'!$A:$A, 'Step 4 FOC Return'!$E:$E, $E3)</f>
        <v>0</v>
      </c>
      <c r="Y3" s="126"/>
    </row>
    <row r="4">
      <c r="A4" s="126"/>
      <c r="B4" s="127">
        <v>46065.0</v>
      </c>
      <c r="C4" s="128" t="s">
        <v>35</v>
      </c>
      <c r="D4" s="129" t="s">
        <v>31</v>
      </c>
      <c r="E4" s="128">
        <v>3.51225503088054E14</v>
      </c>
      <c r="F4" s="130" t="s">
        <v>1162</v>
      </c>
      <c r="G4" s="129" t="s">
        <v>11</v>
      </c>
      <c r="H4" s="131">
        <v>46172.0</v>
      </c>
      <c r="I4" s="132"/>
      <c r="J4" s="129" t="s">
        <v>52</v>
      </c>
      <c r="K4" s="132"/>
      <c r="L4" s="133" t="s">
        <v>10</v>
      </c>
      <c r="M4" s="134" t="str">
        <f t="shared" si="1"/>
        <v>AVAILABLE</v>
      </c>
      <c r="N4" s="134" t="str">
        <f t="array" ref="N4">IF(M4="LOANED / ON KOL", INDEX('Step 3 FOC Request'!$G:$G, MATCH(1, ('Step 3 FOC Request'!$A:$A=W4) * ('Step 3 FOC Request'!$F:$F=E4), 0)), "-")</f>
        <v>-</v>
      </c>
      <c r="O4" s="132"/>
      <c r="P4" s="132"/>
      <c r="Q4" s="126"/>
      <c r="R4" s="126"/>
      <c r="U4" s="126"/>
      <c r="V4" s="126"/>
      <c r="W4" s="135">
        <f>MAXIFS('Step 3 FOC Request'!$A:$A, 'Step 3 FOC Request'!$F:$F, $E4)</f>
        <v>0</v>
      </c>
      <c r="X4" s="135">
        <f>MAXIFS('Step 4 FOC Return'!$A:$A, 'Step 4 FOC Return'!$E:$E, $E4)</f>
        <v>0</v>
      </c>
      <c r="Y4" s="126"/>
    </row>
    <row r="5">
      <c r="A5" s="126"/>
      <c r="B5" s="127">
        <v>46065.0</v>
      </c>
      <c r="C5" s="128" t="s">
        <v>35</v>
      </c>
      <c r="D5" s="129" t="s">
        <v>31</v>
      </c>
      <c r="E5" s="128">
        <v>3.51225503077255E14</v>
      </c>
      <c r="F5" s="130" t="s">
        <v>1162</v>
      </c>
      <c r="G5" s="129" t="s">
        <v>11</v>
      </c>
      <c r="H5" s="131">
        <v>46172.0</v>
      </c>
      <c r="I5" s="132"/>
      <c r="J5" s="129" t="s">
        <v>52</v>
      </c>
      <c r="K5" s="132"/>
      <c r="L5" s="133" t="s">
        <v>10</v>
      </c>
      <c r="M5" s="134" t="str">
        <f t="shared" si="1"/>
        <v>LOANED / ON KOL</v>
      </c>
      <c r="N5" s="134" t="str">
        <f t="array" ref="N5">IF(M5="LOANED / ON KOL", INDEX('Step 3 FOC Request'!$G:$G, MATCH(1, ('Step 3 FOC Request'!$A:$A=W5) * ('Step 3 FOC Request'!$F:$F=E5), 0)), "-")</f>
        <v>Helin Alvia</v>
      </c>
      <c r="O5" s="132"/>
      <c r="P5" s="132"/>
      <c r="Q5" s="126"/>
      <c r="R5" s="126"/>
      <c r="U5" s="126"/>
      <c r="V5" s="126"/>
      <c r="W5" s="135">
        <f>MAXIFS('Step 3 FOC Request'!$A:$A, 'Step 3 FOC Request'!$F:$F, $E5)</f>
        <v>46079.74409</v>
      </c>
      <c r="X5" s="135">
        <f>MAXIFS('Step 4 FOC Return'!$A:$A, 'Step 4 FOC Return'!$E:$E, $E5)</f>
        <v>0</v>
      </c>
      <c r="Y5" s="126"/>
    </row>
    <row r="6">
      <c r="A6" s="126"/>
      <c r="B6" s="127">
        <v>46065.0</v>
      </c>
      <c r="C6" s="128" t="s">
        <v>35</v>
      </c>
      <c r="D6" s="129" t="s">
        <v>25</v>
      </c>
      <c r="E6" s="129" t="s">
        <v>1163</v>
      </c>
      <c r="F6" s="136" t="s">
        <v>1164</v>
      </c>
      <c r="G6" s="129" t="s">
        <v>11</v>
      </c>
      <c r="H6" s="137">
        <v>46203.0</v>
      </c>
      <c r="I6" s="132"/>
      <c r="J6" s="129" t="s">
        <v>8</v>
      </c>
      <c r="K6" s="134" t="s">
        <v>1165</v>
      </c>
      <c r="L6" s="133" t="s">
        <v>10</v>
      </c>
      <c r="M6" s="134" t="str">
        <f t="shared" si="1"/>
        <v>LOANED / ON KOL</v>
      </c>
      <c r="N6" s="134" t="str">
        <f t="array" ref="N6">IF(M6="LOANED / ON KOL", INDEX('Step 3 FOC Request'!$G:$G, MATCH(1, ('Step 3 FOC Request'!$A:$A=W6) * ('Step 3 FOC Request'!$F:$F=E6), 0)), "-")</f>
        <v>Jeffry Reksa</v>
      </c>
      <c r="O6" s="132"/>
      <c r="P6" s="132"/>
      <c r="Q6" s="126"/>
      <c r="R6" s="126"/>
      <c r="U6" s="126"/>
      <c r="V6" s="126"/>
      <c r="W6" s="135">
        <f>MAXIFS('Step 3 FOC Request'!$A:$A, 'Step 3 FOC Request'!$F:$F, $E6)</f>
        <v>46073.68598</v>
      </c>
      <c r="X6" s="135">
        <f>MAXIFS('Step 4 FOC Return'!$A:$A, 'Step 4 FOC Return'!$E:$E, $E6)</f>
        <v>0</v>
      </c>
      <c r="Y6" s="126"/>
    </row>
    <row r="7">
      <c r="A7" s="126"/>
      <c r="B7" s="127">
        <v>46065.0</v>
      </c>
      <c r="C7" s="128" t="s">
        <v>35</v>
      </c>
      <c r="D7" s="129" t="s">
        <v>25</v>
      </c>
      <c r="E7" s="129" t="s">
        <v>1166</v>
      </c>
      <c r="F7" s="136" t="s">
        <v>1164</v>
      </c>
      <c r="G7" s="129" t="s">
        <v>11</v>
      </c>
      <c r="H7" s="137">
        <v>46203.0</v>
      </c>
      <c r="I7" s="132"/>
      <c r="J7" s="129" t="s">
        <v>8</v>
      </c>
      <c r="K7" s="134" t="s">
        <v>1165</v>
      </c>
      <c r="L7" s="133" t="s">
        <v>10</v>
      </c>
      <c r="M7" s="134" t="str">
        <f t="shared" si="1"/>
        <v>LOANED / ON KOL</v>
      </c>
      <c r="N7" s="134" t="str">
        <f t="array" ref="N7">IF(M7="LOANED / ON KOL", INDEX('Step 3 FOC Request'!$G:$G, MATCH(1, ('Step 3 FOC Request'!$A:$A=W7) * ('Step 3 FOC Request'!$F:$F=E7), 0)), "-")</f>
        <v>Maysha Juan</v>
      </c>
      <c r="O7" s="132"/>
      <c r="P7" s="132"/>
      <c r="Q7" s="126"/>
      <c r="R7" s="126"/>
      <c r="U7" s="126"/>
      <c r="V7" s="126"/>
      <c r="W7" s="135">
        <f>MAXIFS('Step 3 FOC Request'!$A:$A, 'Step 3 FOC Request'!$F:$F, $E7)</f>
        <v>46090.69328</v>
      </c>
      <c r="X7" s="135">
        <f>MAXIFS('Step 4 FOC Return'!$A:$A, 'Step 4 FOC Return'!$E:$E, $E7)</f>
        <v>0</v>
      </c>
      <c r="Y7" s="126"/>
    </row>
    <row r="8">
      <c r="A8" s="126"/>
      <c r="B8" s="127">
        <v>46065.0</v>
      </c>
      <c r="C8" s="128" t="s">
        <v>35</v>
      </c>
      <c r="D8" s="129" t="s">
        <v>25</v>
      </c>
      <c r="E8" s="128" t="s">
        <v>1167</v>
      </c>
      <c r="F8" s="136" t="s">
        <v>1168</v>
      </c>
      <c r="G8" s="129" t="s">
        <v>11</v>
      </c>
      <c r="H8" s="137">
        <v>46203.0</v>
      </c>
      <c r="I8" s="132"/>
      <c r="J8" s="129" t="s">
        <v>8</v>
      </c>
      <c r="K8" s="134" t="s">
        <v>1165</v>
      </c>
      <c r="L8" s="133" t="s">
        <v>10</v>
      </c>
      <c r="M8" s="134" t="str">
        <f t="shared" si="1"/>
        <v>LOANED / ON KOL</v>
      </c>
      <c r="N8" s="134" t="str">
        <f t="array" ref="N8">IF(M8="LOANED / ON KOL", INDEX('Step 3 FOC Request'!$G:$G, MATCH(1, ('Step 3 FOC Request'!$A:$A=W8) * ('Step 3 FOC Request'!$F:$F=E8), 0)), "-")</f>
        <v>Jevin Julian</v>
      </c>
      <c r="O8" s="132"/>
      <c r="P8" s="132"/>
      <c r="Q8" s="126"/>
      <c r="R8" s="126"/>
      <c r="U8" s="126"/>
      <c r="V8" s="126"/>
      <c r="W8" s="135">
        <f>MAXIFS('Step 3 FOC Request'!$A:$A, 'Step 3 FOC Request'!$F:$F, $E8)</f>
        <v>46085.69306</v>
      </c>
      <c r="X8" s="135">
        <f>MAXIFS('Step 4 FOC Return'!$A:$A, 'Step 4 FOC Return'!$E:$E, $E8)</f>
        <v>0</v>
      </c>
      <c r="Y8" s="126"/>
    </row>
    <row r="9">
      <c r="A9" s="126"/>
      <c r="B9" s="127">
        <v>46065.0</v>
      </c>
      <c r="C9" s="128" t="s">
        <v>35</v>
      </c>
      <c r="D9" s="129" t="s">
        <v>25</v>
      </c>
      <c r="E9" s="128" t="s">
        <v>1169</v>
      </c>
      <c r="F9" s="136" t="s">
        <v>1168</v>
      </c>
      <c r="G9" s="129" t="s">
        <v>11</v>
      </c>
      <c r="H9" s="137">
        <v>46203.0</v>
      </c>
      <c r="I9" s="132"/>
      <c r="J9" s="129" t="s">
        <v>8</v>
      </c>
      <c r="K9" s="138" t="s">
        <v>1165</v>
      </c>
      <c r="L9" s="133" t="s">
        <v>10</v>
      </c>
      <c r="M9" s="134" t="str">
        <f t="shared" si="1"/>
        <v>LOANED / ON KOL</v>
      </c>
      <c r="N9" s="134" t="str">
        <f t="array" ref="N9">IF(M9="LOANED / ON KOL", INDEX('Step 3 FOC Request'!$G:$G, MATCH(1, ('Step 3 FOC Request'!$A:$A=W9) * ('Step 3 FOC Request'!$F:$F=E9), 0)), "-")</f>
        <v>Naura Ayu</v>
      </c>
      <c r="O9" s="132"/>
      <c r="P9" s="132"/>
      <c r="Q9" s="126"/>
      <c r="R9" s="126"/>
      <c r="U9" s="126"/>
      <c r="V9" s="126"/>
      <c r="W9" s="135">
        <f>MAXIFS('Step 3 FOC Request'!$A:$A, 'Step 3 FOC Request'!$F:$F, $E9)</f>
        <v>46079.57539</v>
      </c>
      <c r="X9" s="135">
        <f>MAXIFS('Step 4 FOC Return'!$A:$A, 'Step 4 FOC Return'!$E:$E, $E9)</f>
        <v>0</v>
      </c>
      <c r="Y9" s="126"/>
    </row>
    <row r="10">
      <c r="A10" s="126"/>
      <c r="B10" s="127">
        <v>46065.0</v>
      </c>
      <c r="C10" s="128" t="s">
        <v>15</v>
      </c>
      <c r="D10" s="129" t="s">
        <v>31</v>
      </c>
      <c r="E10" s="128">
        <v>3.54312420000854E14</v>
      </c>
      <c r="F10" s="139" t="s">
        <v>1170</v>
      </c>
      <c r="G10" s="129" t="s">
        <v>11</v>
      </c>
      <c r="H10" s="137">
        <v>46203.0</v>
      </c>
      <c r="I10" s="132"/>
      <c r="J10" s="129" t="s">
        <v>43</v>
      </c>
      <c r="K10" s="134" t="s">
        <v>1171</v>
      </c>
      <c r="L10" s="133" t="s">
        <v>10</v>
      </c>
      <c r="M10" s="134" t="str">
        <f t="shared" si="1"/>
        <v>LOANED / ON KOL</v>
      </c>
      <c r="N10" s="134" t="str">
        <f t="array" ref="N10">IF(M10="LOANED / ON KOL", INDEX('Step 3 FOC Request'!$G:$G, MATCH(1, ('Step 3 FOC Request'!$A:$A=W10) * ('Step 3 FOC Request'!$F:$F=E10), 0)), "-")</f>
        <v>Zahral Antika</v>
      </c>
      <c r="O10" s="132"/>
      <c r="P10" s="132"/>
      <c r="Q10" s="126"/>
      <c r="R10" s="126"/>
      <c r="U10" s="126"/>
      <c r="V10" s="126"/>
      <c r="W10" s="135">
        <f>MAXIFS('Step 3 FOC Request'!$A:$A, 'Step 3 FOC Request'!$F:$F, $E10)</f>
        <v>46084.53141</v>
      </c>
      <c r="X10" s="135">
        <f>MAXIFS('Step 4 FOC Return'!$A:$A, 'Step 4 FOC Return'!$E:$E, $E10)</f>
        <v>0</v>
      </c>
      <c r="Y10" s="126"/>
    </row>
    <row r="11">
      <c r="A11" s="126"/>
      <c r="B11" s="127">
        <v>46065.0</v>
      </c>
      <c r="C11" s="128" t="s">
        <v>15</v>
      </c>
      <c r="D11" s="129" t="s">
        <v>31</v>
      </c>
      <c r="E11" s="128">
        <v>3.54312420002314E14</v>
      </c>
      <c r="F11" s="139" t="s">
        <v>1172</v>
      </c>
      <c r="G11" s="129" t="s">
        <v>11</v>
      </c>
      <c r="H11" s="137">
        <v>46203.0</v>
      </c>
      <c r="I11" s="132"/>
      <c r="J11" s="129" t="s">
        <v>43</v>
      </c>
      <c r="K11" s="134" t="s">
        <v>1171</v>
      </c>
      <c r="L11" s="133" t="s">
        <v>10</v>
      </c>
      <c r="M11" s="134" t="str">
        <f t="shared" si="1"/>
        <v>LOANED / ON KOL</v>
      </c>
      <c r="N11" s="134" t="str">
        <f t="array" ref="N11">IF(M11="LOANED / ON KOL", INDEX('Step 3 FOC Request'!$G:$G, MATCH(1, ('Step 3 FOC Request'!$A:$A=W11) * ('Step 3 FOC Request'!$F:$F=E11), 0)), "-")</f>
        <v>Aliya</v>
      </c>
      <c r="O11" s="132"/>
      <c r="P11" s="132"/>
      <c r="Q11" s="126"/>
      <c r="R11" s="126"/>
      <c r="U11" s="126"/>
      <c r="V11" s="126"/>
      <c r="W11" s="135">
        <f>MAXIFS('Step 3 FOC Request'!$A:$A, 'Step 3 FOC Request'!$F:$F, $E11)</f>
        <v>46076.8125</v>
      </c>
      <c r="X11" s="135">
        <f>MAXIFS('Step 4 FOC Return'!$A:$A, 'Step 4 FOC Return'!$E:$E, $E11)</f>
        <v>0</v>
      </c>
      <c r="Y11" s="126"/>
    </row>
    <row r="12">
      <c r="A12" s="126"/>
      <c r="B12" s="127">
        <v>46065.0</v>
      </c>
      <c r="C12" s="128" t="s">
        <v>15</v>
      </c>
      <c r="D12" s="129" t="s">
        <v>31</v>
      </c>
      <c r="E12" s="128">
        <v>3.54312420030364E14</v>
      </c>
      <c r="F12" s="139" t="s">
        <v>1173</v>
      </c>
      <c r="G12" s="129" t="s">
        <v>11</v>
      </c>
      <c r="H12" s="137">
        <v>46203.0</v>
      </c>
      <c r="I12" s="132"/>
      <c r="J12" s="129" t="s">
        <v>43</v>
      </c>
      <c r="K12" s="134" t="s">
        <v>1171</v>
      </c>
      <c r="L12" s="133" t="s">
        <v>10</v>
      </c>
      <c r="M12" s="134" t="str">
        <f t="shared" si="1"/>
        <v>AVAILABLE</v>
      </c>
      <c r="N12" s="134" t="str">
        <f t="array" ref="N12">IF(M12="LOANED / ON KOL", INDEX('Step 3 FOC Request'!$G:$G, MATCH(1, ('Step 3 FOC Request'!$A:$A=W12) * ('Step 3 FOC Request'!$F:$F=E12), 0)), "-")</f>
        <v>-</v>
      </c>
      <c r="O12" s="132"/>
      <c r="P12" s="132"/>
      <c r="Q12" s="126"/>
      <c r="R12" s="126"/>
      <c r="U12" s="126"/>
      <c r="V12" s="126"/>
      <c r="W12" s="135">
        <f>MAXIFS('Step 3 FOC Request'!$A:$A, 'Step 3 FOC Request'!$F:$F, $E12)</f>
        <v>0</v>
      </c>
      <c r="X12" s="135">
        <f>MAXIFS('Step 4 FOC Return'!$A:$A, 'Step 4 FOC Return'!$E:$E, $E12)</f>
        <v>0</v>
      </c>
      <c r="Y12" s="126"/>
    </row>
    <row r="13">
      <c r="A13" s="126"/>
      <c r="B13" s="127">
        <v>46065.0</v>
      </c>
      <c r="C13" s="128" t="s">
        <v>15</v>
      </c>
      <c r="D13" s="129" t="s">
        <v>31</v>
      </c>
      <c r="E13" s="129">
        <v>3.58410185002861E14</v>
      </c>
      <c r="F13" s="139" t="s">
        <v>1174</v>
      </c>
      <c r="G13" s="129" t="s">
        <v>11</v>
      </c>
      <c r="H13" s="137">
        <v>46203.0</v>
      </c>
      <c r="I13" s="132"/>
      <c r="J13" s="129" t="s">
        <v>43</v>
      </c>
      <c r="K13" s="134" t="s">
        <v>1171</v>
      </c>
      <c r="L13" s="133" t="s">
        <v>10</v>
      </c>
      <c r="M13" s="134" t="str">
        <f t="shared" si="1"/>
        <v>LOANED / ON KOL</v>
      </c>
      <c r="N13" s="134" t="str">
        <f t="array" ref="N13">IF(M13="LOANED / ON KOL", INDEX('Step 3 FOC Request'!$G:$G, MATCH(1, ('Step 3 FOC Request'!$A:$A=W13) * ('Step 3 FOC Request'!$F:$F=E13), 0)), "-")</f>
        <v>Adinka</v>
      </c>
      <c r="O13" s="132"/>
      <c r="P13" s="132"/>
      <c r="Q13" s="126"/>
      <c r="R13" s="126"/>
      <c r="U13" s="126"/>
      <c r="V13" s="126"/>
      <c r="W13" s="135">
        <f>MAXIFS('Step 3 FOC Request'!$A:$A, 'Step 3 FOC Request'!$F:$F, $E13)</f>
        <v>46066.58857</v>
      </c>
      <c r="X13" s="135">
        <f>MAXIFS('Step 4 FOC Return'!$A:$A, 'Step 4 FOC Return'!$E:$E, $E13)</f>
        <v>0</v>
      </c>
      <c r="Y13" s="126"/>
    </row>
    <row r="14">
      <c r="A14" s="126"/>
      <c r="B14" s="127">
        <v>46065.0</v>
      </c>
      <c r="C14" s="128" t="s">
        <v>15</v>
      </c>
      <c r="D14" s="129" t="s">
        <v>31</v>
      </c>
      <c r="E14" s="128">
        <v>3.58410185073425E14</v>
      </c>
      <c r="F14" s="139" t="s">
        <v>1175</v>
      </c>
      <c r="G14" s="129" t="s">
        <v>11</v>
      </c>
      <c r="H14" s="137">
        <v>46203.0</v>
      </c>
      <c r="I14" s="132"/>
      <c r="J14" s="129" t="s">
        <v>43</v>
      </c>
      <c r="K14" s="134" t="s">
        <v>1171</v>
      </c>
      <c r="L14" s="133" t="s">
        <v>10</v>
      </c>
      <c r="M14" s="134" t="str">
        <f t="shared" si="1"/>
        <v>LOANED / ON KOL</v>
      </c>
      <c r="N14" s="134" t="str">
        <f t="array" ref="N14">IF(M14="LOANED / ON KOL", INDEX('Step 3 FOC Request'!$G:$G, MATCH(1, ('Step 3 FOC Request'!$A:$A=W14) * ('Step 3 FOC Request'!$F:$F=E14), 0)), "-")</f>
        <v>Raje</v>
      </c>
      <c r="O14" s="132"/>
      <c r="P14" s="132"/>
      <c r="Q14" s="126"/>
      <c r="R14" s="126"/>
      <c r="U14" s="126"/>
      <c r="V14" s="126"/>
      <c r="W14" s="135">
        <f>MAXIFS('Step 3 FOC Request'!$A:$A, 'Step 3 FOC Request'!$F:$F, $E14)</f>
        <v>46090.5632</v>
      </c>
      <c r="X14" s="135">
        <f>MAXIFS('Step 4 FOC Return'!$A:$A, 'Step 4 FOC Return'!$E:$E, $E14)</f>
        <v>0</v>
      </c>
      <c r="Y14" s="126"/>
    </row>
    <row r="15">
      <c r="A15" s="126"/>
      <c r="B15" s="127">
        <v>46065.0</v>
      </c>
      <c r="C15" s="128" t="s">
        <v>15</v>
      </c>
      <c r="D15" s="129" t="s">
        <v>31</v>
      </c>
      <c r="E15" s="128">
        <v>3.58410185074076E14</v>
      </c>
      <c r="F15" s="139" t="s">
        <v>1176</v>
      </c>
      <c r="G15" s="129" t="s">
        <v>11</v>
      </c>
      <c r="H15" s="137">
        <v>46203.0</v>
      </c>
      <c r="I15" s="132"/>
      <c r="J15" s="129" t="s">
        <v>43</v>
      </c>
      <c r="K15" s="134" t="s">
        <v>1171</v>
      </c>
      <c r="L15" s="133" t="s">
        <v>10</v>
      </c>
      <c r="M15" s="134" t="str">
        <f t="shared" si="1"/>
        <v>LOANED / ON KOL</v>
      </c>
      <c r="N15" s="134" t="str">
        <f t="array" ref="N15">IF(M15="LOANED / ON KOL", INDEX('Step 3 FOC Request'!$G:$G, MATCH(1, ('Step 3 FOC Request'!$A:$A=W15) * ('Step 3 FOC Request'!$F:$F=E15), 0)), "-")</f>
        <v>Satria </v>
      </c>
      <c r="O15" s="132"/>
      <c r="P15" s="140" t="s">
        <v>1177</v>
      </c>
      <c r="Q15" s="126"/>
      <c r="R15" s="126"/>
      <c r="U15" s="126"/>
      <c r="V15" s="126"/>
      <c r="W15" s="135">
        <f>MAXIFS('Step 3 FOC Request'!$A:$A, 'Step 3 FOC Request'!$F:$F, $E15)</f>
        <v>46084.58035</v>
      </c>
      <c r="X15" s="135">
        <f>MAXIFS('Step 4 FOC Return'!$A:$A, 'Step 4 FOC Return'!$E:$E, $E15)</f>
        <v>0</v>
      </c>
      <c r="Y15" s="126"/>
    </row>
    <row r="16">
      <c r="A16" s="126"/>
      <c r="B16" s="127">
        <v>46065.0</v>
      </c>
      <c r="C16" s="128" t="s">
        <v>7</v>
      </c>
      <c r="D16" s="129" t="s">
        <v>42</v>
      </c>
      <c r="E16" s="129" t="s">
        <v>1178</v>
      </c>
      <c r="F16" s="139" t="s">
        <v>1179</v>
      </c>
      <c r="G16" s="129" t="s">
        <v>11</v>
      </c>
      <c r="H16" s="137">
        <v>46203.0</v>
      </c>
      <c r="I16" s="132"/>
      <c r="J16" s="129" t="s">
        <v>8</v>
      </c>
      <c r="K16" s="133" t="s">
        <v>1180</v>
      </c>
      <c r="L16" s="133" t="s">
        <v>10</v>
      </c>
      <c r="M16" s="134" t="str">
        <f t="shared" si="1"/>
        <v>AVAILABLE</v>
      </c>
      <c r="N16" s="134" t="str">
        <f t="array" ref="N16">IF(M16="LOANED / ON KOL", INDEX('Step 3 FOC Request'!$G:$G, MATCH(1, ('Step 3 FOC Request'!$A:$A=W16) * ('Step 3 FOC Request'!$F:$F=E16), 0)), "-")</f>
        <v>-</v>
      </c>
      <c r="O16" s="132"/>
      <c r="P16" s="132"/>
      <c r="Q16" s="126"/>
      <c r="R16" s="126"/>
      <c r="U16" s="126"/>
      <c r="V16" s="126"/>
      <c r="W16" s="135">
        <f>MAXIFS('Step 3 FOC Request'!$A:$A, 'Step 3 FOC Request'!$F:$F, $E16)</f>
        <v>0</v>
      </c>
      <c r="X16" s="135">
        <f>MAXIFS('Step 4 FOC Return'!$A:$A, 'Step 4 FOC Return'!$E:$E, $E16)</f>
        <v>0</v>
      </c>
      <c r="Y16" s="126"/>
    </row>
    <row r="17">
      <c r="A17" s="126"/>
      <c r="B17" s="127">
        <v>46065.0</v>
      </c>
      <c r="C17" s="128" t="s">
        <v>7</v>
      </c>
      <c r="D17" s="129" t="s">
        <v>42</v>
      </c>
      <c r="E17" s="96" t="s">
        <v>1181</v>
      </c>
      <c r="F17" s="139" t="s">
        <v>1179</v>
      </c>
      <c r="G17" s="129" t="s">
        <v>11</v>
      </c>
      <c r="H17" s="137">
        <v>46203.0</v>
      </c>
      <c r="I17" s="132"/>
      <c r="J17" s="129" t="s">
        <v>8</v>
      </c>
      <c r="K17" s="133" t="s">
        <v>1180</v>
      </c>
      <c r="L17" s="133" t="s">
        <v>10</v>
      </c>
      <c r="M17" s="134" t="str">
        <f t="shared" si="1"/>
        <v>AVAILABLE</v>
      </c>
      <c r="N17" s="134" t="str">
        <f t="array" ref="N17">IF(M17="LOANED / ON KOL", INDEX('Step 3 FOC Request'!$G:$G, MATCH(1, ('Step 3 FOC Request'!$A:$A=W17) * ('Step 3 FOC Request'!$F:$F=E17), 0)), "-")</f>
        <v>-</v>
      </c>
      <c r="O17" s="132"/>
      <c r="P17" s="132"/>
      <c r="Q17" s="126"/>
      <c r="R17" s="126"/>
      <c r="U17" s="126"/>
      <c r="V17" s="126"/>
      <c r="W17" s="135">
        <f>MAXIFS('Step 3 FOC Request'!$A:$A, 'Step 3 FOC Request'!$F:$F, $E17)</f>
        <v>0</v>
      </c>
      <c r="X17" s="135">
        <f>MAXIFS('Step 4 FOC Return'!$A:$A, 'Step 4 FOC Return'!$E:$E, $E17)</f>
        <v>0</v>
      </c>
      <c r="Y17" s="126"/>
    </row>
    <row r="18">
      <c r="A18" s="126"/>
      <c r="B18" s="127">
        <v>46065.0</v>
      </c>
      <c r="C18" s="128" t="s">
        <v>7</v>
      </c>
      <c r="D18" s="129" t="s">
        <v>9</v>
      </c>
      <c r="E18" s="128" t="s">
        <v>1182</v>
      </c>
      <c r="F18" s="139" t="s">
        <v>1183</v>
      </c>
      <c r="G18" s="129" t="s">
        <v>11</v>
      </c>
      <c r="H18" s="137">
        <v>46203.0</v>
      </c>
      <c r="I18" s="132"/>
      <c r="J18" s="129" t="s">
        <v>8</v>
      </c>
      <c r="K18" s="133" t="s">
        <v>1180</v>
      </c>
      <c r="L18" s="133" t="s">
        <v>10</v>
      </c>
      <c r="M18" s="134" t="str">
        <f t="shared" si="1"/>
        <v>AVAILABLE</v>
      </c>
      <c r="N18" s="134" t="str">
        <f t="array" ref="N18">IF(M18="LOANED / ON KOL", INDEX('Step 3 FOC Request'!$G:$G, MATCH(1, ('Step 3 FOC Request'!$A:$A=W18) * ('Step 3 FOC Request'!$F:$F=E18), 0)), "-")</f>
        <v>-</v>
      </c>
      <c r="O18" s="132"/>
      <c r="P18" s="132"/>
      <c r="Q18" s="126"/>
      <c r="R18" s="126"/>
      <c r="U18" s="126"/>
      <c r="V18" s="126"/>
      <c r="W18" s="135">
        <f>MAXIFS('Step 3 FOC Request'!$A:$A, 'Step 3 FOC Request'!$F:$F, $E18)</f>
        <v>0</v>
      </c>
      <c r="X18" s="135">
        <f>MAXIFS('Step 4 FOC Return'!$A:$A, 'Step 4 FOC Return'!$E:$E, $E18)</f>
        <v>0</v>
      </c>
      <c r="Y18" s="126"/>
    </row>
    <row r="19">
      <c r="A19" s="126"/>
      <c r="B19" s="127">
        <v>46065.0</v>
      </c>
      <c r="C19" s="128" t="s">
        <v>7</v>
      </c>
      <c r="D19" s="129" t="s">
        <v>9</v>
      </c>
      <c r="E19" s="128" t="s">
        <v>1184</v>
      </c>
      <c r="F19" s="139" t="s">
        <v>1183</v>
      </c>
      <c r="G19" s="129" t="s">
        <v>11</v>
      </c>
      <c r="H19" s="137">
        <v>46203.0</v>
      </c>
      <c r="I19" s="132"/>
      <c r="J19" s="129" t="s">
        <v>8</v>
      </c>
      <c r="K19" s="133" t="s">
        <v>1180</v>
      </c>
      <c r="L19" s="133" t="s">
        <v>10</v>
      </c>
      <c r="M19" s="134" t="str">
        <f t="shared" si="1"/>
        <v>AVAILABLE</v>
      </c>
      <c r="N19" s="134" t="str">
        <f t="array" ref="N19">IF(M19="LOANED / ON KOL", INDEX('Step 3 FOC Request'!$G:$G, MATCH(1, ('Step 3 FOC Request'!$A:$A=W19) * ('Step 3 FOC Request'!$F:$F=E19), 0)), "-")</f>
        <v>-</v>
      </c>
      <c r="O19" s="132"/>
      <c r="P19" s="132"/>
      <c r="Q19" s="126"/>
      <c r="R19" s="126"/>
      <c r="U19" s="126"/>
      <c r="V19" s="126"/>
      <c r="W19" s="135">
        <f>MAXIFS('Step 3 FOC Request'!$A:$A, 'Step 3 FOC Request'!$F:$F, $E19)</f>
        <v>0</v>
      </c>
      <c r="X19" s="135">
        <f>MAXIFS('Step 4 FOC Return'!$A:$A, 'Step 4 FOC Return'!$E:$E, $E19)</f>
        <v>0</v>
      </c>
      <c r="Y19" s="126"/>
    </row>
    <row r="20">
      <c r="A20" s="126"/>
      <c r="B20" s="127">
        <v>46065.0</v>
      </c>
      <c r="C20" s="128" t="s">
        <v>7</v>
      </c>
      <c r="D20" s="129" t="s">
        <v>9</v>
      </c>
      <c r="E20" s="128" t="s">
        <v>1185</v>
      </c>
      <c r="F20" s="139" t="s">
        <v>1183</v>
      </c>
      <c r="G20" s="129" t="s">
        <v>11</v>
      </c>
      <c r="H20" s="137">
        <v>46203.0</v>
      </c>
      <c r="I20" s="132"/>
      <c r="J20" s="129" t="s">
        <v>8</v>
      </c>
      <c r="K20" s="133" t="s">
        <v>1180</v>
      </c>
      <c r="L20" s="133" t="s">
        <v>10</v>
      </c>
      <c r="M20" s="134" t="str">
        <f t="shared" si="1"/>
        <v>AVAILABLE</v>
      </c>
      <c r="N20" s="134" t="str">
        <f t="array" ref="N20">IF(M20="LOANED / ON KOL", INDEX('Step 3 FOC Request'!$G:$G, MATCH(1, ('Step 3 FOC Request'!$A:$A=W20) * ('Step 3 FOC Request'!$F:$F=E20), 0)), "-")</f>
        <v>-</v>
      </c>
      <c r="O20" s="132"/>
      <c r="P20" s="132"/>
      <c r="Q20" s="126"/>
      <c r="R20" s="126"/>
      <c r="U20" s="126"/>
      <c r="V20" s="126"/>
      <c r="W20" s="135">
        <f>MAXIFS('Step 3 FOC Request'!$A:$A, 'Step 3 FOC Request'!$F:$F, $E20)</f>
        <v>0</v>
      </c>
      <c r="X20" s="135">
        <f>MAXIFS('Step 4 FOC Return'!$A:$A, 'Step 4 FOC Return'!$E:$E, $E20)</f>
        <v>0</v>
      </c>
      <c r="Y20" s="126"/>
    </row>
    <row r="21">
      <c r="A21" s="126"/>
      <c r="B21" s="127">
        <v>46065.0</v>
      </c>
      <c r="C21" s="128" t="s">
        <v>7</v>
      </c>
      <c r="D21" s="129" t="s">
        <v>42</v>
      </c>
      <c r="E21" s="128">
        <v>3.5838712001501E14</v>
      </c>
      <c r="F21" s="139" t="s">
        <v>1186</v>
      </c>
      <c r="G21" s="129" t="s">
        <v>11</v>
      </c>
      <c r="H21" s="137">
        <v>46203.0</v>
      </c>
      <c r="I21" s="132"/>
      <c r="J21" s="129" t="s">
        <v>8</v>
      </c>
      <c r="K21" s="133" t="s">
        <v>1180</v>
      </c>
      <c r="L21" s="133" t="s">
        <v>10</v>
      </c>
      <c r="M21" s="134" t="str">
        <f t="shared" si="1"/>
        <v>AVAILABLE</v>
      </c>
      <c r="N21" s="134" t="str">
        <f t="array" ref="N21">IF(M21="LOANED / ON KOL", INDEX('Step 3 FOC Request'!$G:$G, MATCH(1, ('Step 3 FOC Request'!$A:$A=W21) * ('Step 3 FOC Request'!$F:$F=E21), 0)), "-")</f>
        <v>-</v>
      </c>
      <c r="O21" s="132"/>
      <c r="P21" s="132"/>
      <c r="Q21" s="126"/>
      <c r="R21" s="126"/>
      <c r="U21" s="126"/>
      <c r="V21" s="126"/>
      <c r="W21" s="135">
        <f>MAXIFS('Step 3 FOC Request'!$A:$A, 'Step 3 FOC Request'!$F:$F, $E21)</f>
        <v>0</v>
      </c>
      <c r="X21" s="135">
        <f>MAXIFS('Step 4 FOC Return'!$A:$A, 'Step 4 FOC Return'!$E:$E, $E21)</f>
        <v>0</v>
      </c>
      <c r="Y21" s="126"/>
    </row>
    <row r="22">
      <c r="A22" s="126"/>
      <c r="B22" s="127">
        <v>46065.0</v>
      </c>
      <c r="C22" s="128" t="s">
        <v>7</v>
      </c>
      <c r="D22" s="129" t="s">
        <v>42</v>
      </c>
      <c r="E22" s="128">
        <v>3.58387120018311E14</v>
      </c>
      <c r="F22" s="139" t="s">
        <v>1186</v>
      </c>
      <c r="G22" s="129" t="s">
        <v>11</v>
      </c>
      <c r="H22" s="137">
        <v>46203.0</v>
      </c>
      <c r="I22" s="132"/>
      <c r="J22" s="129" t="s">
        <v>8</v>
      </c>
      <c r="K22" s="133" t="s">
        <v>1180</v>
      </c>
      <c r="L22" s="133" t="s">
        <v>10</v>
      </c>
      <c r="M22" s="134" t="str">
        <f t="shared" si="1"/>
        <v>AVAILABLE</v>
      </c>
      <c r="N22" s="134" t="str">
        <f t="array" ref="N22">IF(M22="LOANED / ON KOL", INDEX('Step 3 FOC Request'!$G:$G, MATCH(1, ('Step 3 FOC Request'!$A:$A=W22) * ('Step 3 FOC Request'!$F:$F=E22), 0)), "-")</f>
        <v>-</v>
      </c>
      <c r="O22" s="132"/>
      <c r="P22" s="132"/>
      <c r="Q22" s="126"/>
      <c r="R22" s="126"/>
      <c r="U22" s="126"/>
      <c r="V22" s="126"/>
      <c r="W22" s="135">
        <f>MAXIFS('Step 3 FOC Request'!$A:$A, 'Step 3 FOC Request'!$F:$F, $E22)</f>
        <v>0</v>
      </c>
      <c r="X22" s="135">
        <f>MAXIFS('Step 4 FOC Return'!$A:$A, 'Step 4 FOC Return'!$E:$E, $E22)</f>
        <v>0</v>
      </c>
      <c r="Y22" s="126"/>
    </row>
    <row r="23">
      <c r="A23" s="126"/>
      <c r="B23" s="127">
        <v>46065.0</v>
      </c>
      <c r="C23" s="128" t="s">
        <v>7</v>
      </c>
      <c r="D23" s="129" t="s">
        <v>9</v>
      </c>
      <c r="E23" s="128" t="s">
        <v>1187</v>
      </c>
      <c r="F23" s="139" t="s">
        <v>1188</v>
      </c>
      <c r="G23" s="129" t="s">
        <v>11</v>
      </c>
      <c r="H23" s="137">
        <v>46203.0</v>
      </c>
      <c r="I23" s="132"/>
      <c r="J23" s="129" t="s">
        <v>8</v>
      </c>
      <c r="K23" s="133" t="s">
        <v>1180</v>
      </c>
      <c r="L23" s="133" t="s">
        <v>10</v>
      </c>
      <c r="M23" s="134" t="str">
        <f t="shared" si="1"/>
        <v>AVAILABLE</v>
      </c>
      <c r="N23" s="134" t="str">
        <f t="array" ref="N23">IF(M23="LOANED / ON KOL", INDEX('Step 3 FOC Request'!$G:$G, MATCH(1, ('Step 3 FOC Request'!$A:$A=W23) * ('Step 3 FOC Request'!$F:$F=E23), 0)), "-")</f>
        <v>-</v>
      </c>
      <c r="O23" s="132"/>
      <c r="P23" s="132"/>
      <c r="Q23" s="126"/>
      <c r="R23" s="126"/>
      <c r="U23" s="126"/>
      <c r="V23" s="126"/>
      <c r="W23" s="135">
        <f>MAXIFS('Step 3 FOC Request'!$A:$A, 'Step 3 FOC Request'!$F:$F, $E23)</f>
        <v>0</v>
      </c>
      <c r="X23" s="135">
        <f>MAXIFS('Step 4 FOC Return'!$A:$A, 'Step 4 FOC Return'!$E:$E, $E23)</f>
        <v>0</v>
      </c>
      <c r="Y23" s="126"/>
    </row>
    <row r="24">
      <c r="A24" s="126"/>
      <c r="B24" s="127">
        <v>46065.0</v>
      </c>
      <c r="C24" s="128" t="s">
        <v>7</v>
      </c>
      <c r="D24" s="129" t="s">
        <v>9</v>
      </c>
      <c r="E24" s="128" t="s">
        <v>1189</v>
      </c>
      <c r="F24" s="139" t="s">
        <v>1188</v>
      </c>
      <c r="G24" s="129" t="s">
        <v>11</v>
      </c>
      <c r="H24" s="137">
        <v>46203.0</v>
      </c>
      <c r="I24" s="132"/>
      <c r="J24" s="129" t="s">
        <v>8</v>
      </c>
      <c r="K24" s="133" t="s">
        <v>1180</v>
      </c>
      <c r="L24" s="133" t="s">
        <v>10</v>
      </c>
      <c r="M24" s="134" t="str">
        <f t="shared" si="1"/>
        <v>AVAILABLE</v>
      </c>
      <c r="N24" s="134" t="str">
        <f t="array" ref="N24">IF(M24="LOANED / ON KOL", INDEX('Step 3 FOC Request'!$G:$G, MATCH(1, ('Step 3 FOC Request'!$A:$A=W24) * ('Step 3 FOC Request'!$F:$F=E24), 0)), "-")</f>
        <v>-</v>
      </c>
      <c r="O24" s="132"/>
      <c r="P24" s="132"/>
      <c r="Q24" s="126"/>
      <c r="R24" s="126"/>
      <c r="U24" s="126"/>
      <c r="V24" s="126"/>
      <c r="W24" s="135">
        <f>MAXIFS('Step 3 FOC Request'!$A:$A, 'Step 3 FOC Request'!$F:$F, $E24)</f>
        <v>0</v>
      </c>
      <c r="X24" s="135">
        <f>MAXIFS('Step 4 FOC Return'!$A:$A, 'Step 4 FOC Return'!$E:$E, $E24)</f>
        <v>0</v>
      </c>
      <c r="Y24" s="126"/>
    </row>
    <row r="25">
      <c r="A25" s="126"/>
      <c r="B25" s="127">
        <v>46065.0</v>
      </c>
      <c r="C25" s="128" t="s">
        <v>35</v>
      </c>
      <c r="D25" s="129" t="s">
        <v>31</v>
      </c>
      <c r="E25" s="134">
        <v>3.55649780288085E14</v>
      </c>
      <c r="F25" s="136" t="s">
        <v>1190</v>
      </c>
      <c r="G25" s="129" t="s">
        <v>11</v>
      </c>
      <c r="H25" s="129" t="s">
        <v>262</v>
      </c>
      <c r="I25" s="132"/>
      <c r="J25" s="129" t="s">
        <v>52</v>
      </c>
      <c r="K25" s="132"/>
      <c r="L25" s="133" t="s">
        <v>10</v>
      </c>
      <c r="M25" s="134" t="str">
        <f t="shared" si="1"/>
        <v>LOANED / ON KOL</v>
      </c>
      <c r="N25" s="134" t="str">
        <f t="array" ref="N25">IF(M25="LOANED / ON KOL", INDEX('Step 3 FOC Request'!$G:$G, MATCH(1, ('Step 3 FOC Request'!$A:$A=W25) * ('Step 3 FOC Request'!$F:$F=E25), 0)), "-")</f>
        <v>VINCENT PRATAMA</v>
      </c>
      <c r="O25" s="132"/>
      <c r="P25" s="132"/>
      <c r="Q25" s="126"/>
      <c r="R25" s="126"/>
      <c r="U25" s="126"/>
      <c r="V25" s="126"/>
      <c r="W25" s="135">
        <f>MAXIFS('Step 3 FOC Request'!$A:$A, 'Step 3 FOC Request'!$F:$F, $E25)</f>
        <v>46085.66051</v>
      </c>
      <c r="X25" s="135">
        <f>MAXIFS('Step 4 FOC Return'!$A:$A, 'Step 4 FOC Return'!$E:$E, $E25)</f>
        <v>0</v>
      </c>
      <c r="Y25" s="126"/>
    </row>
    <row r="26">
      <c r="A26" s="126"/>
      <c r="B26" s="127">
        <v>46065.0</v>
      </c>
      <c r="C26" s="128" t="s">
        <v>35</v>
      </c>
      <c r="D26" s="129" t="s">
        <v>31</v>
      </c>
      <c r="E26" s="128">
        <v>3.55649780142837E14</v>
      </c>
      <c r="F26" s="136" t="s">
        <v>1190</v>
      </c>
      <c r="G26" s="129" t="s">
        <v>11</v>
      </c>
      <c r="H26" s="129" t="s">
        <v>262</v>
      </c>
      <c r="I26" s="132"/>
      <c r="J26" s="129" t="s">
        <v>52</v>
      </c>
      <c r="K26" s="132"/>
      <c r="L26" s="133" t="s">
        <v>10</v>
      </c>
      <c r="M26" s="134" t="str">
        <f t="shared" si="1"/>
        <v>LOANED / ON KOL</v>
      </c>
      <c r="N26" s="134" t="str">
        <f t="array" ref="N26">IF(M26="LOANED / ON KOL", INDEX('Step 3 FOC Request'!$G:$G, MATCH(1, ('Step 3 FOC Request'!$A:$A=W26) * ('Step 3 FOC Request'!$F:$F=E26), 0)), "-")</f>
        <v>Naqi</v>
      </c>
      <c r="O26" s="132"/>
      <c r="P26" s="132"/>
      <c r="Q26" s="126"/>
      <c r="R26" s="126"/>
      <c r="U26" s="126"/>
      <c r="V26" s="126"/>
      <c r="W26" s="135">
        <f>MAXIFS('Step 3 FOC Request'!$A:$A, 'Step 3 FOC Request'!$F:$F, $E26)</f>
        <v>46086.58396</v>
      </c>
      <c r="X26" s="135">
        <f>MAXIFS('Step 4 FOC Return'!$A:$A, 'Step 4 FOC Return'!$E:$E, $E26)</f>
        <v>0</v>
      </c>
      <c r="Y26" s="126"/>
    </row>
    <row r="27">
      <c r="A27" s="126"/>
      <c r="B27" s="127">
        <v>46065.0</v>
      </c>
      <c r="C27" s="128" t="s">
        <v>35</v>
      </c>
      <c r="D27" s="129" t="s">
        <v>31</v>
      </c>
      <c r="E27" s="141">
        <v>3.55649780287392E14</v>
      </c>
      <c r="F27" s="136" t="s">
        <v>1190</v>
      </c>
      <c r="G27" s="129" t="s">
        <v>11</v>
      </c>
      <c r="H27" s="129" t="s">
        <v>262</v>
      </c>
      <c r="I27" s="132"/>
      <c r="J27" s="129" t="s">
        <v>52</v>
      </c>
      <c r="K27" s="132"/>
      <c r="L27" s="133" t="s">
        <v>10</v>
      </c>
      <c r="M27" s="134" t="str">
        <f t="shared" si="1"/>
        <v>LOANED / ON KOL</v>
      </c>
      <c r="N27" s="134" t="str">
        <f t="array" ref="N27">IF(M27="LOANED / ON KOL", INDEX('Step 3 FOC Request'!$G:$G, MATCH(1, ('Step 3 FOC Request'!$A:$A=W27) * ('Step 3 FOC Request'!$F:$F=E27), 0)), "-")</f>
        <v>Farhan Frisia </v>
      </c>
      <c r="O27" s="132"/>
      <c r="P27" s="132"/>
      <c r="Q27" s="126"/>
      <c r="R27" s="126"/>
      <c r="U27" s="126"/>
      <c r="V27" s="126"/>
      <c r="W27" s="135">
        <f>MAXIFS('Step 3 FOC Request'!$A:$A, 'Step 3 FOC Request'!$F:$F, $E27)</f>
        <v>46086.83903</v>
      </c>
      <c r="X27" s="135">
        <f>MAXIFS('Step 4 FOC Return'!$A:$A, 'Step 4 FOC Return'!$E:$E, $E27)</f>
        <v>0</v>
      </c>
      <c r="Y27" s="126"/>
    </row>
    <row r="28">
      <c r="A28" s="126"/>
      <c r="B28" s="142">
        <v>46066.0</v>
      </c>
      <c r="C28" s="143" t="s">
        <v>23</v>
      </c>
      <c r="D28" s="129" t="s">
        <v>31</v>
      </c>
      <c r="E28" s="143">
        <v>3.52901540311464E14</v>
      </c>
      <c r="F28" s="144" t="s">
        <v>1191</v>
      </c>
      <c r="G28" s="145" t="s">
        <v>11</v>
      </c>
      <c r="H28" s="143" t="s">
        <v>1192</v>
      </c>
      <c r="I28" s="132"/>
      <c r="J28" s="143" t="s">
        <v>47</v>
      </c>
      <c r="K28" s="143" t="s">
        <v>1193</v>
      </c>
      <c r="L28" s="146" t="s">
        <v>10</v>
      </c>
      <c r="M28" s="134" t="str">
        <f t="shared" si="1"/>
        <v>LOANED / ON KOL</v>
      </c>
      <c r="N28" s="134" t="str">
        <f t="array" ref="N28">IF(M28="LOANED / ON KOL", INDEX('Step 3 FOC Request'!$G:$G, MATCH(1, ('Step 3 FOC Request'!$A:$A=W28) * ('Step 3 FOC Request'!$F:$F=E28), 0)), "-")</f>
        <v>Shafa Lubis</v>
      </c>
      <c r="O28" s="146"/>
      <c r="P28" s="146"/>
      <c r="Q28" s="146"/>
      <c r="R28" s="146"/>
      <c r="U28" s="146"/>
      <c r="V28" s="146"/>
      <c r="W28" s="135">
        <f>MAXIFS('Step 3 FOC Request'!$A:$A, 'Step 3 FOC Request'!$F:$F, $E28)</f>
        <v>46078.75</v>
      </c>
      <c r="X28" s="135">
        <f>MAXIFS('Step 4 FOC Return'!$A:$A, 'Step 4 FOC Return'!$E:$E, $E28)</f>
        <v>0</v>
      </c>
      <c r="Y28" s="146"/>
    </row>
    <row r="29">
      <c r="A29" s="126"/>
      <c r="B29" s="142">
        <v>46066.0</v>
      </c>
      <c r="C29" s="143" t="s">
        <v>23</v>
      </c>
      <c r="D29" s="129" t="s">
        <v>31</v>
      </c>
      <c r="E29" s="143">
        <v>3.52901540313817E14</v>
      </c>
      <c r="F29" s="144" t="s">
        <v>1194</v>
      </c>
      <c r="G29" s="145" t="s">
        <v>11</v>
      </c>
      <c r="H29" s="143" t="s">
        <v>1192</v>
      </c>
      <c r="I29" s="132"/>
      <c r="J29" s="143" t="s">
        <v>47</v>
      </c>
      <c r="K29" s="143" t="s">
        <v>1193</v>
      </c>
      <c r="L29" s="146" t="s">
        <v>10</v>
      </c>
      <c r="M29" s="134" t="str">
        <f t="shared" si="1"/>
        <v>LOANED / ON KOL</v>
      </c>
      <c r="N29" s="134" t="str">
        <f t="array" ref="N29">IF(M29="LOANED / ON KOL", INDEX('Step 3 FOC Request'!$G:$G, MATCH(1, ('Step 3 FOC Request'!$A:$A=W29) * ('Step 3 FOC Request'!$F:$F=E29), 0)), "-")</f>
        <v>madaryanhadi</v>
      </c>
      <c r="O29" s="146"/>
      <c r="P29" s="146"/>
      <c r="Q29" s="146"/>
      <c r="R29" s="146"/>
      <c r="U29" s="146"/>
      <c r="V29" s="146"/>
      <c r="W29" s="135">
        <f>MAXIFS('Step 3 FOC Request'!$A:$A, 'Step 3 FOC Request'!$F:$F, $E29)</f>
        <v>46090.78489</v>
      </c>
      <c r="X29" s="135">
        <f>MAXIFS('Step 4 FOC Return'!$A:$A, 'Step 4 FOC Return'!$E:$E, $E29)</f>
        <v>0</v>
      </c>
      <c r="Y29" s="146"/>
    </row>
    <row r="30">
      <c r="A30" s="126"/>
      <c r="B30" s="142">
        <v>46066.0</v>
      </c>
      <c r="C30" s="143" t="s">
        <v>23</v>
      </c>
      <c r="D30" s="129" t="s">
        <v>31</v>
      </c>
      <c r="E30" s="143">
        <v>3.55626620021892E14</v>
      </c>
      <c r="F30" s="144" t="s">
        <v>1195</v>
      </c>
      <c r="G30" s="145" t="s">
        <v>11</v>
      </c>
      <c r="H30" s="143" t="s">
        <v>1192</v>
      </c>
      <c r="I30" s="132"/>
      <c r="J30" s="143" t="s">
        <v>47</v>
      </c>
      <c r="K30" s="143" t="s">
        <v>1193</v>
      </c>
      <c r="L30" s="146" t="s">
        <v>10</v>
      </c>
      <c r="M30" s="134" t="str">
        <f t="shared" si="1"/>
        <v>LOANED / ON KOL</v>
      </c>
      <c r="N30" s="134" t="str">
        <f t="array" ref="N30">IF(M30="LOANED / ON KOL", INDEX('Step 3 FOC Request'!$G:$G, MATCH(1, ('Step 3 FOC Request'!$A:$A=W30) * ('Step 3 FOC Request'!$F:$F=E30), 0)), "-")</f>
        <v>Apip</v>
      </c>
      <c r="O30" s="126"/>
      <c r="P30" s="126"/>
      <c r="Q30" s="126"/>
      <c r="R30" s="126"/>
      <c r="U30" s="126"/>
      <c r="V30" s="126"/>
      <c r="W30" s="135">
        <f>MAXIFS('Step 3 FOC Request'!$A:$A, 'Step 3 FOC Request'!$F:$F, $E30)</f>
        <v>46078.75</v>
      </c>
      <c r="X30" s="135">
        <f>MAXIFS('Step 4 FOC Return'!$A:$A, 'Step 4 FOC Return'!$E:$E, $E30)</f>
        <v>0</v>
      </c>
      <c r="Y30" s="126"/>
    </row>
    <row r="31">
      <c r="A31" s="126"/>
      <c r="B31" s="142">
        <v>46066.0</v>
      </c>
      <c r="C31" s="143" t="s">
        <v>23</v>
      </c>
      <c r="D31" s="129" t="s">
        <v>31</v>
      </c>
      <c r="E31" s="143">
        <v>3.54312420000599E14</v>
      </c>
      <c r="F31" s="144" t="s">
        <v>1196</v>
      </c>
      <c r="G31" s="145" t="s">
        <v>11</v>
      </c>
      <c r="H31" s="143" t="s">
        <v>1192</v>
      </c>
      <c r="I31" s="132"/>
      <c r="J31" s="143" t="s">
        <v>47</v>
      </c>
      <c r="K31" s="143" t="s">
        <v>1193</v>
      </c>
      <c r="L31" s="146" t="s">
        <v>10</v>
      </c>
      <c r="M31" s="134" t="str">
        <f t="shared" si="1"/>
        <v>LOANED / ON KOL</v>
      </c>
      <c r="N31" s="134" t="str">
        <f t="array" ref="N31">IF(M31="LOANED / ON KOL", INDEX('Step 3 FOC Request'!$G:$G, MATCH(1, ('Step 3 FOC Request'!$A:$A=W31) * ('Step 3 FOC Request'!$F:$F=E31), 0)), "-")</f>
        <v>DRG Nurina</v>
      </c>
      <c r="O31" s="126"/>
      <c r="P31" s="126"/>
      <c r="Q31" s="126"/>
      <c r="R31" s="126"/>
      <c r="U31" s="126"/>
      <c r="V31" s="126"/>
      <c r="W31" s="135">
        <f>MAXIFS('Step 3 FOC Request'!$A:$A, 'Step 3 FOC Request'!$F:$F, $E31)</f>
        <v>46080.55454</v>
      </c>
      <c r="X31" s="135">
        <f>MAXIFS('Step 4 FOC Return'!$A:$A, 'Step 4 FOC Return'!$E:$E, $E31)</f>
        <v>0</v>
      </c>
      <c r="Y31" s="126"/>
    </row>
    <row r="32">
      <c r="A32" s="126"/>
      <c r="B32" s="142">
        <v>46066.0</v>
      </c>
      <c r="C32" s="143" t="s">
        <v>35</v>
      </c>
      <c r="D32" s="129" t="s">
        <v>31</v>
      </c>
      <c r="E32" s="143">
        <v>3.55500722565579E14</v>
      </c>
      <c r="F32" s="130" t="s">
        <v>1197</v>
      </c>
      <c r="G32" s="145" t="s">
        <v>11</v>
      </c>
      <c r="H32" s="147">
        <v>46172.0</v>
      </c>
      <c r="I32" s="132"/>
      <c r="J32" s="143" t="s">
        <v>52</v>
      </c>
      <c r="K32" s="126"/>
      <c r="L32" s="146" t="s">
        <v>10</v>
      </c>
      <c r="M32" s="134" t="str">
        <f t="shared" si="1"/>
        <v>LOANED / ON KOL</v>
      </c>
      <c r="N32" s="134" t="str">
        <f t="array" ref="N32">IF(M32="LOANED / ON KOL", INDEX('Step 3 FOC Request'!$G:$G, MATCH(1, ('Step 3 FOC Request'!$A:$A=W32) * ('Step 3 FOC Request'!$F:$F=E32), 0)), "-")</f>
        <v>MEIRANI AMALIA</v>
      </c>
      <c r="O32" s="126"/>
      <c r="P32" s="126"/>
      <c r="Q32" s="126"/>
      <c r="R32" s="126"/>
      <c r="U32" s="126"/>
      <c r="V32" s="126"/>
      <c r="W32" s="135">
        <f>MAXIFS('Step 3 FOC Request'!$A:$A, 'Step 3 FOC Request'!$F:$F, $E32)</f>
        <v>46073.45407</v>
      </c>
      <c r="X32" s="135">
        <f>MAXIFS('Step 4 FOC Return'!$A:$A, 'Step 4 FOC Return'!$E:$E, $E32)</f>
        <v>0</v>
      </c>
      <c r="Y32" s="126"/>
    </row>
    <row r="33">
      <c r="A33" s="126"/>
      <c r="B33" s="142">
        <v>46066.0</v>
      </c>
      <c r="C33" s="143" t="s">
        <v>35</v>
      </c>
      <c r="D33" s="129" t="s">
        <v>31</v>
      </c>
      <c r="E33" s="143">
        <v>3.55500722520517E14</v>
      </c>
      <c r="F33" s="130" t="s">
        <v>1198</v>
      </c>
      <c r="G33" s="145" t="s">
        <v>11</v>
      </c>
      <c r="H33" s="147">
        <v>46172.0</v>
      </c>
      <c r="I33" s="132"/>
      <c r="J33" s="143" t="s">
        <v>52</v>
      </c>
      <c r="K33" s="126"/>
      <c r="L33" s="146" t="s">
        <v>10</v>
      </c>
      <c r="M33" s="134" t="str">
        <f t="shared" si="1"/>
        <v>LOANED / ON KOL</v>
      </c>
      <c r="N33" s="134" t="str">
        <f t="array" ref="N33">IF(M33="LOANED / ON KOL", INDEX('Step 3 FOC Request'!$G:$G, MATCH(1, ('Step 3 FOC Request'!$A:$A=W33) * ('Step 3 FOC Request'!$F:$F=E33), 0)), "-")</f>
        <v>Cex Daniel</v>
      </c>
      <c r="O33" s="126"/>
      <c r="P33" s="126"/>
      <c r="Q33" s="126"/>
      <c r="R33" s="126"/>
      <c r="U33" s="126"/>
      <c r="V33" s="126"/>
      <c r="W33" s="135">
        <f>MAXIFS('Step 3 FOC Request'!$A:$A, 'Step 3 FOC Request'!$F:$F, $E33)</f>
        <v>46077.74783</v>
      </c>
      <c r="X33" s="135">
        <f>MAXIFS('Step 4 FOC Return'!$A:$A, 'Step 4 FOC Return'!$E:$E, $E33)</f>
        <v>0</v>
      </c>
      <c r="Y33" s="126"/>
    </row>
    <row r="34">
      <c r="A34" s="126"/>
      <c r="B34" s="142">
        <v>46066.0</v>
      </c>
      <c r="C34" s="143" t="s">
        <v>35</v>
      </c>
      <c r="D34" s="129" t="s">
        <v>31</v>
      </c>
      <c r="E34" s="143">
        <v>3.55500722567443E14</v>
      </c>
      <c r="F34" s="130" t="s">
        <v>1199</v>
      </c>
      <c r="G34" s="145" t="s">
        <v>11</v>
      </c>
      <c r="H34" s="147">
        <v>46172.0</v>
      </c>
      <c r="I34" s="132"/>
      <c r="J34" s="143" t="s">
        <v>52</v>
      </c>
      <c r="K34" s="126"/>
      <c r="L34" s="146" t="s">
        <v>10</v>
      </c>
      <c r="M34" s="134" t="str">
        <f t="shared" si="1"/>
        <v>LOANED / ON KOL</v>
      </c>
      <c r="N34" s="134" t="str">
        <f t="array" ref="N34">IF(M34="LOANED / ON KOL", INDEX('Step 3 FOC Request'!$G:$G, MATCH(1, ('Step 3 FOC Request'!$A:$A=W34) * ('Step 3 FOC Request'!$F:$F=E34), 0)), "-")</f>
        <v>RAUDAH</v>
      </c>
      <c r="O34" s="126"/>
      <c r="P34" s="126"/>
      <c r="Q34" s="126"/>
      <c r="R34" s="126"/>
      <c r="U34" s="126"/>
      <c r="V34" s="126"/>
      <c r="W34" s="135">
        <f>MAXIFS('Step 3 FOC Request'!$A:$A, 'Step 3 FOC Request'!$F:$F, $E34)</f>
        <v>46078.51282</v>
      </c>
      <c r="X34" s="135">
        <f>MAXIFS('Step 4 FOC Return'!$A:$A, 'Step 4 FOC Return'!$E:$E, $E34)</f>
        <v>0</v>
      </c>
      <c r="Y34" s="126"/>
    </row>
    <row r="35">
      <c r="A35" s="126"/>
      <c r="B35" s="142">
        <v>46071.0</v>
      </c>
      <c r="C35" s="146"/>
      <c r="D35" s="129" t="s">
        <v>31</v>
      </c>
      <c r="E35" s="143">
        <v>3.50009210308596E14</v>
      </c>
      <c r="F35" s="130" t="s">
        <v>1200</v>
      </c>
      <c r="G35" s="146"/>
      <c r="H35" s="126"/>
      <c r="I35" s="132"/>
      <c r="J35" s="146"/>
      <c r="K35" s="126"/>
      <c r="L35" s="146" t="s">
        <v>10</v>
      </c>
      <c r="M35" s="134" t="str">
        <f t="shared" si="1"/>
        <v>AVAILABLE</v>
      </c>
      <c r="N35" s="134" t="str">
        <f t="array" ref="N35">IF(M35="LOANED / ON KOL", INDEX('Step 3 FOC Request'!$G:$G, MATCH(1, ('Step 3 FOC Request'!$A:$A=W35) * ('Step 3 FOC Request'!$F:$F=E35), 0)), "-")</f>
        <v>-</v>
      </c>
      <c r="O35" s="126"/>
      <c r="P35" s="126"/>
      <c r="Q35" s="148"/>
      <c r="R35" s="126"/>
      <c r="U35" s="126"/>
      <c r="V35" s="126"/>
      <c r="W35" s="135">
        <f>MAXIFS('Step 3 FOC Request'!$A:$A, 'Step 3 FOC Request'!$F:$F, $E35)</f>
        <v>0</v>
      </c>
      <c r="X35" s="135">
        <f>MAXIFS('Step 4 FOC Return'!$A:$A, 'Step 4 FOC Return'!$E:$E, $E35)</f>
        <v>0</v>
      </c>
      <c r="Y35" s="126"/>
    </row>
    <row r="36">
      <c r="A36" s="126"/>
      <c r="B36" s="142">
        <v>46071.0</v>
      </c>
      <c r="C36" s="146"/>
      <c r="D36" s="129" t="s">
        <v>31</v>
      </c>
      <c r="E36" s="143">
        <v>3.50009210289044E14</v>
      </c>
      <c r="F36" s="130" t="s">
        <v>1200</v>
      </c>
      <c r="G36" s="146"/>
      <c r="H36" s="126"/>
      <c r="I36" s="132"/>
      <c r="J36" s="146"/>
      <c r="K36" s="126"/>
      <c r="L36" s="146" t="s">
        <v>10</v>
      </c>
      <c r="M36" s="134" t="str">
        <f t="shared" si="1"/>
        <v>AVAILABLE</v>
      </c>
      <c r="N36" s="134" t="str">
        <f t="array" ref="N36">IF(M36="LOANED / ON KOL", INDEX('Step 3 FOC Request'!$G:$G, MATCH(1, ('Step 3 FOC Request'!$A:$A=W36) * ('Step 3 FOC Request'!$F:$F=E36), 0)), "-")</f>
        <v>-</v>
      </c>
      <c r="O36" s="126"/>
      <c r="P36" s="126"/>
      <c r="Q36" s="148"/>
      <c r="R36" s="126"/>
      <c r="U36" s="126"/>
      <c r="V36" s="126"/>
      <c r="W36" s="135">
        <f>MAXIFS('Step 3 FOC Request'!$A:$A, 'Step 3 FOC Request'!$F:$F, $E36)</f>
        <v>0</v>
      </c>
      <c r="X36" s="135">
        <f>MAXIFS('Step 4 FOC Return'!$A:$A, 'Step 4 FOC Return'!$E:$E, $E36)</f>
        <v>0</v>
      </c>
      <c r="Y36" s="126"/>
    </row>
    <row r="37">
      <c r="A37" s="126"/>
      <c r="B37" s="142">
        <v>46071.0</v>
      </c>
      <c r="C37" s="146"/>
      <c r="D37" s="129" t="s">
        <v>31</v>
      </c>
      <c r="E37" s="143">
        <v>3.50009210308232E14</v>
      </c>
      <c r="F37" s="130" t="s">
        <v>1200</v>
      </c>
      <c r="G37" s="146"/>
      <c r="H37" s="126"/>
      <c r="I37" s="132"/>
      <c r="J37" s="146"/>
      <c r="K37" s="126"/>
      <c r="L37" s="146" t="s">
        <v>10</v>
      </c>
      <c r="M37" s="134" t="str">
        <f t="shared" si="1"/>
        <v>AVAILABLE</v>
      </c>
      <c r="N37" s="134" t="str">
        <f t="array" ref="N37">IF(M37="LOANED / ON KOL", INDEX('Step 3 FOC Request'!$G:$G, MATCH(1, ('Step 3 FOC Request'!$A:$A=W37) * ('Step 3 FOC Request'!$F:$F=E37), 0)), "-")</f>
        <v>-</v>
      </c>
      <c r="O37" s="126"/>
      <c r="P37" s="126"/>
      <c r="Q37" s="148"/>
      <c r="R37" s="126"/>
      <c r="U37" s="126"/>
      <c r="V37" s="126"/>
      <c r="W37" s="135">
        <f>MAXIFS('Step 3 FOC Request'!$A:$A, 'Step 3 FOC Request'!$F:$F, $E37)</f>
        <v>0</v>
      </c>
      <c r="X37" s="135">
        <f>MAXIFS('Step 4 FOC Return'!$A:$A, 'Step 4 FOC Return'!$E:$E, $E37)</f>
        <v>0</v>
      </c>
      <c r="Y37" s="126"/>
    </row>
    <row r="38">
      <c r="A38" s="126"/>
      <c r="B38" s="142">
        <v>46071.0</v>
      </c>
      <c r="C38" s="146"/>
      <c r="D38" s="129" t="s">
        <v>31</v>
      </c>
      <c r="E38" s="143">
        <v>3.50009210074339E14</v>
      </c>
      <c r="F38" s="130" t="s">
        <v>1201</v>
      </c>
      <c r="G38" s="143" t="s">
        <v>11</v>
      </c>
      <c r="H38" s="126"/>
      <c r="I38" s="132"/>
      <c r="J38" s="146" t="s">
        <v>50</v>
      </c>
      <c r="K38" s="126"/>
      <c r="L38" s="146" t="s">
        <v>10</v>
      </c>
      <c r="M38" s="134" t="str">
        <f t="shared" si="1"/>
        <v>AVAILABLE</v>
      </c>
      <c r="N38" s="134" t="str">
        <f t="array" ref="N38">IF(M38="LOANED / ON KOL", INDEX('Step 3 FOC Request'!$G:$G, MATCH(1, ('Step 3 FOC Request'!$A:$A=W38) * ('Step 3 FOC Request'!$F:$F=E38), 0)), "-")</f>
        <v>-</v>
      </c>
      <c r="O38" s="126"/>
      <c r="P38" s="126"/>
      <c r="Q38" s="148"/>
      <c r="R38" s="126"/>
      <c r="U38" s="126"/>
      <c r="V38" s="126"/>
      <c r="W38" s="135">
        <f>MAXIFS('Step 3 FOC Request'!$A:$A, 'Step 3 FOC Request'!$F:$F, $E38)</f>
        <v>0</v>
      </c>
      <c r="X38" s="135">
        <f>MAXIFS('Step 4 FOC Return'!$A:$A, 'Step 4 FOC Return'!$E:$E, $E38)</f>
        <v>0</v>
      </c>
      <c r="Y38" s="126"/>
    </row>
    <row r="39">
      <c r="A39" s="126"/>
      <c r="B39" s="142">
        <v>46071.0</v>
      </c>
      <c r="C39" s="146"/>
      <c r="D39" s="129" t="s">
        <v>31</v>
      </c>
      <c r="E39" s="143">
        <v>3.54922130012054E14</v>
      </c>
      <c r="F39" s="130" t="s">
        <v>1202</v>
      </c>
      <c r="G39" s="146"/>
      <c r="H39" s="126"/>
      <c r="I39" s="132"/>
      <c r="J39" s="146" t="s">
        <v>52</v>
      </c>
      <c r="K39" s="126"/>
      <c r="L39" s="146" t="s">
        <v>10</v>
      </c>
      <c r="M39" s="134" t="str">
        <f t="shared" si="1"/>
        <v>LOANED / ON KOL</v>
      </c>
      <c r="N39" s="134" t="str">
        <f t="array" ref="N39">IF(M39="LOANED / ON KOL", INDEX('Step 3 FOC Request'!$G:$G, MATCH(1, ('Step 3 FOC Request'!$A:$A=W39) * ('Step 3 FOC Request'!$F:$F=E39), 0)), "-")</f>
        <v>Jevin Julian</v>
      </c>
      <c r="O39" s="126"/>
      <c r="P39" s="126"/>
      <c r="Q39" s="148"/>
      <c r="R39" s="126"/>
      <c r="U39" s="126"/>
      <c r="V39" s="126"/>
      <c r="W39" s="135">
        <f>MAXIFS('Step 3 FOC Request'!$A:$A, 'Step 3 FOC Request'!$F:$F, $E39)</f>
        <v>46085.69306</v>
      </c>
      <c r="X39" s="135">
        <f>MAXIFS('Step 4 FOC Return'!$A:$A, 'Step 4 FOC Return'!$E:$E, $E39)</f>
        <v>0</v>
      </c>
      <c r="Y39" s="126"/>
    </row>
    <row r="40">
      <c r="A40" s="126"/>
      <c r="B40" s="142">
        <v>46071.0</v>
      </c>
      <c r="C40" s="146"/>
      <c r="D40" s="129" t="s">
        <v>31</v>
      </c>
      <c r="E40" s="143">
        <v>3.54922130002634E14</v>
      </c>
      <c r="F40" s="130" t="s">
        <v>1203</v>
      </c>
      <c r="G40" s="143" t="s">
        <v>19</v>
      </c>
      <c r="H40" s="126"/>
      <c r="I40" s="132"/>
      <c r="J40" s="146" t="s">
        <v>46</v>
      </c>
      <c r="K40" s="126"/>
      <c r="L40" s="146" t="s">
        <v>10</v>
      </c>
      <c r="M40" s="134" t="str">
        <f t="shared" si="1"/>
        <v>AVAILABLE</v>
      </c>
      <c r="N40" s="134" t="str">
        <f t="array" ref="N40">IF(M40="LOANED / ON KOL", INDEX('Step 3 FOC Request'!$G:$G, MATCH(1, ('Step 3 FOC Request'!$A:$A=W40) * ('Step 3 FOC Request'!$F:$F=E40), 0)), "-")</f>
        <v>-</v>
      </c>
      <c r="O40" s="126"/>
      <c r="P40" s="126"/>
      <c r="Q40" s="148"/>
      <c r="R40" s="126"/>
      <c r="U40" s="126"/>
      <c r="V40" s="126"/>
      <c r="W40" s="135">
        <f>MAXIFS('Step 3 FOC Request'!$A:$A, 'Step 3 FOC Request'!$F:$F, $E40)</f>
        <v>0</v>
      </c>
      <c r="X40" s="135">
        <f>MAXIFS('Step 4 FOC Return'!$A:$A, 'Step 4 FOC Return'!$E:$E, $E40)</f>
        <v>0</v>
      </c>
      <c r="Y40" s="126"/>
    </row>
    <row r="41">
      <c r="A41" s="126"/>
      <c r="B41" s="142">
        <v>46071.0</v>
      </c>
      <c r="C41" s="146"/>
      <c r="D41" s="129" t="s">
        <v>31</v>
      </c>
      <c r="E41" s="143">
        <v>3.54922130011205E14</v>
      </c>
      <c r="F41" s="130" t="s">
        <v>1202</v>
      </c>
      <c r="G41" s="146"/>
      <c r="H41" s="126"/>
      <c r="I41" s="132"/>
      <c r="J41" s="146" t="s">
        <v>52</v>
      </c>
      <c r="K41" s="126"/>
      <c r="L41" s="146" t="s">
        <v>10</v>
      </c>
      <c r="M41" s="134" t="str">
        <f t="shared" si="1"/>
        <v>AVAILABLE</v>
      </c>
      <c r="N41" s="134" t="str">
        <f t="array" ref="N41">IF(M41="LOANED / ON KOL", INDEX('Step 3 FOC Request'!$G:$G, MATCH(1, ('Step 3 FOC Request'!$A:$A=W41) * ('Step 3 FOC Request'!$F:$F=E41), 0)), "-")</f>
        <v>-</v>
      </c>
      <c r="O41" s="126"/>
      <c r="P41" s="148" t="s">
        <v>1204</v>
      </c>
      <c r="Q41" s="148"/>
      <c r="R41" s="126"/>
      <c r="U41" s="126"/>
      <c r="V41" s="126"/>
      <c r="W41" s="135">
        <f>MAXIFS('Step 3 FOC Request'!$A:$A, 'Step 3 FOC Request'!$F:$F, $E41)</f>
        <v>0</v>
      </c>
      <c r="X41" s="135">
        <f>MAXIFS('Step 4 FOC Return'!$A:$A, 'Step 4 FOC Return'!$E:$E, $E41)</f>
        <v>0</v>
      </c>
      <c r="Y41" s="126"/>
    </row>
    <row r="42">
      <c r="A42" s="126"/>
      <c r="B42" s="142">
        <v>46071.0</v>
      </c>
      <c r="C42" s="146"/>
      <c r="D42" s="129" t="s">
        <v>31</v>
      </c>
      <c r="E42" s="143">
        <v>3.54922130008466E14</v>
      </c>
      <c r="F42" s="130" t="s">
        <v>1202</v>
      </c>
      <c r="G42" s="143" t="s">
        <v>11</v>
      </c>
      <c r="H42" s="126"/>
      <c r="I42" s="132"/>
      <c r="J42" s="146" t="s">
        <v>36</v>
      </c>
      <c r="K42" s="126"/>
      <c r="L42" s="146" t="s">
        <v>10</v>
      </c>
      <c r="M42" s="134" t="str">
        <f t="shared" si="1"/>
        <v>AVAILABLE</v>
      </c>
      <c r="N42" s="134" t="str">
        <f t="array" ref="N42">IF(M42="LOANED / ON KOL", INDEX('Step 3 FOC Request'!$G:$G, MATCH(1, ('Step 3 FOC Request'!$A:$A=W42) * ('Step 3 FOC Request'!$F:$F=E42), 0)), "-")</f>
        <v>-</v>
      </c>
      <c r="O42" s="126"/>
      <c r="P42" s="126"/>
      <c r="Q42" s="148"/>
      <c r="R42" s="126"/>
      <c r="U42" s="126"/>
      <c r="V42" s="126"/>
      <c r="W42" s="135">
        <f>MAXIFS('Step 3 FOC Request'!$A:$A, 'Step 3 FOC Request'!$F:$F, $E42)</f>
        <v>0</v>
      </c>
      <c r="X42" s="135">
        <f>MAXIFS('Step 4 FOC Return'!$A:$A, 'Step 4 FOC Return'!$E:$E, $E42)</f>
        <v>0</v>
      </c>
      <c r="Y42" s="126"/>
    </row>
    <row r="43">
      <c r="A43" s="126"/>
      <c r="B43" s="142">
        <v>46071.0</v>
      </c>
      <c r="C43" s="146"/>
      <c r="D43" s="129" t="s">
        <v>31</v>
      </c>
      <c r="E43" s="143">
        <v>3.54922130011403E14</v>
      </c>
      <c r="F43" s="130" t="s">
        <v>1202</v>
      </c>
      <c r="G43" s="146"/>
      <c r="H43" s="126"/>
      <c r="I43" s="132"/>
      <c r="J43" s="146" t="s">
        <v>52</v>
      </c>
      <c r="K43" s="126"/>
      <c r="L43" s="146" t="s">
        <v>10</v>
      </c>
      <c r="M43" s="134" t="str">
        <f t="shared" si="1"/>
        <v>LOANED / ON KOL</v>
      </c>
      <c r="N43" s="134" t="str">
        <f t="array" ref="N43">IF(M43="LOANED / ON KOL", INDEX('Step 3 FOC Request'!$G:$G, MATCH(1, ('Step 3 FOC Request'!$A:$A=W43) * ('Step 3 FOC Request'!$F:$F=E43), 0)), "-")</f>
        <v>PH (Syndicate) - 5</v>
      </c>
      <c r="O43" s="126"/>
      <c r="P43" s="126"/>
      <c r="Q43" s="148"/>
      <c r="R43" s="126"/>
      <c r="U43" s="126"/>
      <c r="V43" s="126"/>
      <c r="W43" s="135">
        <f>MAXIFS('Step 3 FOC Request'!$A:$A, 'Step 3 FOC Request'!$F:$F, $E43)</f>
        <v>46076.8125</v>
      </c>
      <c r="X43" s="135">
        <f>MAXIFS('Step 4 FOC Return'!$A:$A, 'Step 4 FOC Return'!$E:$E, $E43)</f>
        <v>0</v>
      </c>
      <c r="Y43" s="126"/>
    </row>
    <row r="44">
      <c r="A44" s="126"/>
      <c r="B44" s="142">
        <v>46071.0</v>
      </c>
      <c r="C44" s="146"/>
      <c r="D44" s="129" t="s">
        <v>31</v>
      </c>
      <c r="E44" s="143">
        <v>3.58410185006722E14</v>
      </c>
      <c r="F44" s="130" t="s">
        <v>1205</v>
      </c>
      <c r="G44" s="143" t="s">
        <v>11</v>
      </c>
      <c r="H44" s="126"/>
      <c r="I44" s="132"/>
      <c r="J44" s="146"/>
      <c r="K44" s="126"/>
      <c r="L44" s="146" t="s">
        <v>10</v>
      </c>
      <c r="M44" s="134" t="str">
        <f t="shared" si="1"/>
        <v>AVAILABLE</v>
      </c>
      <c r="N44" s="134" t="str">
        <f t="array" ref="N44">IF(M44="LOANED / ON KOL", INDEX('Step 3 FOC Request'!$G:$G, MATCH(1, ('Step 3 FOC Request'!$A:$A=W44) * ('Step 3 FOC Request'!$F:$F=E44), 0)), "-")</f>
        <v>-</v>
      </c>
      <c r="O44" s="126"/>
      <c r="P44" s="126"/>
      <c r="Q44" s="148"/>
      <c r="R44" s="126"/>
      <c r="U44" s="126"/>
      <c r="V44" s="126"/>
      <c r="W44" s="135">
        <f>MAXIFS('Step 3 FOC Request'!$A:$A, 'Step 3 FOC Request'!$F:$F, $E44)</f>
        <v>0</v>
      </c>
      <c r="X44" s="135">
        <f>MAXIFS('Step 4 FOC Return'!$A:$A, 'Step 4 FOC Return'!$E:$E, $E44)</f>
        <v>0</v>
      </c>
      <c r="Y44" s="126"/>
    </row>
    <row r="45">
      <c r="A45" s="126"/>
      <c r="B45" s="142">
        <v>46071.0</v>
      </c>
      <c r="C45" s="146"/>
      <c r="D45" s="129" t="s">
        <v>31</v>
      </c>
      <c r="E45" s="143">
        <v>3.58833525003762E14</v>
      </c>
      <c r="F45" s="130" t="s">
        <v>1206</v>
      </c>
      <c r="G45" s="143" t="s">
        <v>11</v>
      </c>
      <c r="H45" s="126"/>
      <c r="I45" s="132"/>
      <c r="J45" s="146"/>
      <c r="K45" s="126"/>
      <c r="L45" s="146" t="s">
        <v>10</v>
      </c>
      <c r="M45" s="134" t="str">
        <f t="shared" si="1"/>
        <v>AVAILABLE</v>
      </c>
      <c r="N45" s="134" t="str">
        <f t="array" ref="N45">IF(M45="LOANED / ON KOL", INDEX('Step 3 FOC Request'!$G:$G, MATCH(1, ('Step 3 FOC Request'!$A:$A=W45) * ('Step 3 FOC Request'!$F:$F=E45), 0)), "-")</f>
        <v>-</v>
      </c>
      <c r="O45" s="126"/>
      <c r="P45" s="126"/>
      <c r="Q45" s="148"/>
      <c r="R45" s="126"/>
      <c r="U45" s="126"/>
      <c r="V45" s="126"/>
      <c r="W45" s="135">
        <f>MAXIFS('Step 3 FOC Request'!$A:$A, 'Step 3 FOC Request'!$F:$F, $E45)</f>
        <v>0</v>
      </c>
      <c r="X45" s="135">
        <f>MAXIFS('Step 4 FOC Return'!$A:$A, 'Step 4 FOC Return'!$E:$E, $E45)</f>
        <v>0</v>
      </c>
      <c r="Y45" s="126"/>
    </row>
    <row r="46">
      <c r="A46" s="126"/>
      <c r="B46" s="142">
        <v>46071.0</v>
      </c>
      <c r="C46" s="146"/>
      <c r="D46" s="129" t="s">
        <v>31</v>
      </c>
      <c r="E46" s="143">
        <v>3.58410185008793E14</v>
      </c>
      <c r="F46" s="130" t="s">
        <v>1207</v>
      </c>
      <c r="G46" s="143" t="s">
        <v>11</v>
      </c>
      <c r="H46" s="126"/>
      <c r="I46" s="132"/>
      <c r="J46" s="146"/>
      <c r="K46" s="126"/>
      <c r="L46" s="146" t="s">
        <v>10</v>
      </c>
      <c r="M46" s="134" t="str">
        <f t="shared" si="1"/>
        <v>AVAILABLE</v>
      </c>
      <c r="N46" s="134" t="str">
        <f t="array" ref="N46">IF(M46="LOANED / ON KOL", INDEX('Step 3 FOC Request'!$G:$G, MATCH(1, ('Step 3 FOC Request'!$A:$A=W46) * ('Step 3 FOC Request'!$F:$F=E46), 0)), "-")</f>
        <v>-</v>
      </c>
      <c r="O46" s="126"/>
      <c r="P46" s="148" t="s">
        <v>809</v>
      </c>
      <c r="Q46" s="148"/>
      <c r="R46" s="126"/>
      <c r="U46" s="126"/>
      <c r="V46" s="126"/>
      <c r="W46" s="135">
        <f>MAXIFS('Step 3 FOC Request'!$A:$A, 'Step 3 FOC Request'!$F:$F, $E46)</f>
        <v>0</v>
      </c>
      <c r="X46" s="135">
        <f>MAXIFS('Step 4 FOC Return'!$A:$A, 'Step 4 FOC Return'!$E:$E, $E46)</f>
        <v>0</v>
      </c>
      <c r="Y46" s="126"/>
    </row>
    <row r="47">
      <c r="A47" s="126"/>
      <c r="B47" s="142">
        <v>46071.0</v>
      </c>
      <c r="C47" s="146"/>
      <c r="D47" s="129" t="s">
        <v>31</v>
      </c>
      <c r="E47" s="143">
        <v>3.54166470003055E14</v>
      </c>
      <c r="F47" s="130" t="s">
        <v>1208</v>
      </c>
      <c r="G47" s="146"/>
      <c r="H47" s="126"/>
      <c r="I47" s="132"/>
      <c r="J47" s="146" t="s">
        <v>52</v>
      </c>
      <c r="K47" s="126"/>
      <c r="L47" s="146" t="s">
        <v>10</v>
      </c>
      <c r="M47" s="134" t="str">
        <f t="shared" si="1"/>
        <v>AVAILABLE</v>
      </c>
      <c r="N47" s="134" t="str">
        <f t="array" ref="N47">IF(M47="LOANED / ON KOL", INDEX('Step 3 FOC Request'!$G:$G, MATCH(1, ('Step 3 FOC Request'!$A:$A=W47) * ('Step 3 FOC Request'!$F:$F=E47), 0)), "-")</f>
        <v>-</v>
      </c>
      <c r="O47" s="126"/>
      <c r="P47" s="126"/>
      <c r="Q47" s="148"/>
      <c r="R47" s="126"/>
      <c r="U47" s="126"/>
      <c r="V47" s="126"/>
      <c r="W47" s="135">
        <f>MAXIFS('Step 3 FOC Request'!$A:$A, 'Step 3 FOC Request'!$F:$F, $E47)</f>
        <v>0</v>
      </c>
      <c r="X47" s="135">
        <f>MAXIFS('Step 4 FOC Return'!$A:$A, 'Step 4 FOC Return'!$E:$E, $E47)</f>
        <v>0</v>
      </c>
      <c r="Y47" s="126"/>
    </row>
    <row r="48">
      <c r="A48" s="126"/>
      <c r="B48" s="142">
        <v>46071.0</v>
      </c>
      <c r="C48" s="146"/>
      <c r="D48" s="129" t="s">
        <v>31</v>
      </c>
      <c r="E48" s="143">
        <v>3.54166470002651E14</v>
      </c>
      <c r="F48" s="130" t="s">
        <v>1208</v>
      </c>
      <c r="G48" s="143" t="s">
        <v>11</v>
      </c>
      <c r="H48" s="126"/>
      <c r="I48" s="132"/>
      <c r="J48" s="146" t="s">
        <v>46</v>
      </c>
      <c r="K48" s="126"/>
      <c r="L48" s="146" t="s">
        <v>10</v>
      </c>
      <c r="M48" s="134" t="str">
        <f t="shared" si="1"/>
        <v>AVAILABLE</v>
      </c>
      <c r="N48" s="134" t="str">
        <f t="array" ref="N48">IF(M48="LOANED / ON KOL", INDEX('Step 3 FOC Request'!$G:$G, MATCH(1, ('Step 3 FOC Request'!$A:$A=W48) * ('Step 3 FOC Request'!$F:$F=E48), 0)), "-")</f>
        <v>-</v>
      </c>
      <c r="O48" s="126"/>
      <c r="P48" s="148" t="s">
        <v>809</v>
      </c>
      <c r="Q48" s="148"/>
      <c r="R48" s="126"/>
      <c r="U48" s="126"/>
      <c r="V48" s="126"/>
      <c r="W48" s="135">
        <f>MAXIFS('Step 3 FOC Request'!$A:$A, 'Step 3 FOC Request'!$F:$F, $E48)</f>
        <v>0</v>
      </c>
      <c r="X48" s="135">
        <f>MAXIFS('Step 4 FOC Return'!$A:$A, 'Step 4 FOC Return'!$E:$E, $E48)</f>
        <v>0</v>
      </c>
      <c r="Y48" s="126"/>
    </row>
    <row r="49">
      <c r="A49" s="126"/>
      <c r="B49" s="142">
        <v>46071.0</v>
      </c>
      <c r="C49" s="146"/>
      <c r="D49" s="129" t="s">
        <v>31</v>
      </c>
      <c r="E49" s="143">
        <v>3.54166470023624E14</v>
      </c>
      <c r="F49" s="130" t="s">
        <v>1209</v>
      </c>
      <c r="G49" s="143" t="s">
        <v>11</v>
      </c>
      <c r="H49" s="126"/>
      <c r="I49" s="132"/>
      <c r="J49" s="146"/>
      <c r="K49" s="126"/>
      <c r="L49" s="146" t="s">
        <v>10</v>
      </c>
      <c r="M49" s="134" t="str">
        <f t="shared" si="1"/>
        <v>AVAILABLE</v>
      </c>
      <c r="N49" s="134" t="str">
        <f t="array" ref="N49">IF(M49="LOANED / ON KOL", INDEX('Step 3 FOC Request'!$G:$G, MATCH(1, ('Step 3 FOC Request'!$A:$A=W49) * ('Step 3 FOC Request'!$F:$F=E49), 0)), "-")</f>
        <v>-</v>
      </c>
      <c r="O49" s="126"/>
      <c r="P49" s="126"/>
      <c r="Q49" s="148"/>
      <c r="R49" s="126"/>
      <c r="U49" s="126"/>
      <c r="V49" s="126"/>
      <c r="W49" s="135">
        <f>MAXIFS('Step 3 FOC Request'!$A:$A, 'Step 3 FOC Request'!$F:$F, $E49)</f>
        <v>0</v>
      </c>
      <c r="X49" s="135">
        <f>MAXIFS('Step 4 FOC Return'!$A:$A, 'Step 4 FOC Return'!$E:$E, $E49)</f>
        <v>0</v>
      </c>
      <c r="Y49" s="126"/>
    </row>
    <row r="50">
      <c r="A50" s="126"/>
      <c r="B50" s="142">
        <v>46071.0</v>
      </c>
      <c r="C50" s="146"/>
      <c r="D50" s="129" t="s">
        <v>31</v>
      </c>
      <c r="E50" s="143">
        <v>3.52722665255306E14</v>
      </c>
      <c r="F50" s="130" t="s">
        <v>1210</v>
      </c>
      <c r="G50" s="143" t="s">
        <v>19</v>
      </c>
      <c r="H50" s="126"/>
      <c r="I50" s="132"/>
      <c r="J50" s="146"/>
      <c r="K50" s="126"/>
      <c r="L50" s="146" t="s">
        <v>10</v>
      </c>
      <c r="M50" s="134" t="str">
        <f t="shared" si="1"/>
        <v>AVAILABLE</v>
      </c>
      <c r="N50" s="134" t="str">
        <f t="array" ref="N50">IF(M50="LOANED / ON KOL", INDEX('Step 3 FOC Request'!$G:$G, MATCH(1, ('Step 3 FOC Request'!$A:$A=W50) * ('Step 3 FOC Request'!$F:$F=E50), 0)), "-")</f>
        <v>-</v>
      </c>
      <c r="O50" s="126"/>
      <c r="P50" s="126"/>
      <c r="Q50" s="148"/>
      <c r="R50" s="126"/>
      <c r="U50" s="126"/>
      <c r="V50" s="126"/>
      <c r="W50" s="135">
        <f>MAXIFS('Step 3 FOC Request'!$A:$A, 'Step 3 FOC Request'!$F:$F, $E50)</f>
        <v>0</v>
      </c>
      <c r="X50" s="135">
        <f>MAXIFS('Step 4 FOC Return'!$A:$A, 'Step 4 FOC Return'!$E:$E, $E50)</f>
        <v>0</v>
      </c>
      <c r="Y50" s="126"/>
    </row>
    <row r="51">
      <c r="A51" s="126"/>
      <c r="B51" s="142">
        <v>46071.0</v>
      </c>
      <c r="C51" s="146"/>
      <c r="D51" s="129" t="s">
        <v>31</v>
      </c>
      <c r="E51" s="143">
        <v>3.50009210058175E14</v>
      </c>
      <c r="F51" s="130" t="s">
        <v>1201</v>
      </c>
      <c r="G51" s="143" t="s">
        <v>19</v>
      </c>
      <c r="H51" s="126"/>
      <c r="I51" s="132"/>
      <c r="J51" s="146"/>
      <c r="K51" s="126"/>
      <c r="L51" s="146" t="s">
        <v>10</v>
      </c>
      <c r="M51" s="134" t="str">
        <f t="shared" si="1"/>
        <v>AVAILABLE</v>
      </c>
      <c r="N51" s="134" t="str">
        <f t="array" ref="N51">IF(M51="LOANED / ON KOL", INDEX('Step 3 FOC Request'!$G:$G, MATCH(1, ('Step 3 FOC Request'!$A:$A=W51) * ('Step 3 FOC Request'!$F:$F=E51), 0)), "-")</f>
        <v>-</v>
      </c>
      <c r="O51" s="126"/>
      <c r="P51" s="126"/>
      <c r="Q51" s="148"/>
      <c r="R51" s="126"/>
      <c r="U51" s="126"/>
      <c r="V51" s="126"/>
      <c r="W51" s="135">
        <f>MAXIFS('Step 3 FOC Request'!$A:$A, 'Step 3 FOC Request'!$F:$F, $E51)</f>
        <v>0</v>
      </c>
      <c r="X51" s="135">
        <f>MAXIFS('Step 4 FOC Return'!$A:$A, 'Step 4 FOC Return'!$E:$E, $E51)</f>
        <v>0</v>
      </c>
      <c r="Y51" s="126"/>
    </row>
    <row r="52">
      <c r="A52" s="126"/>
      <c r="B52" s="142">
        <v>46071.0</v>
      </c>
      <c r="C52" s="146"/>
      <c r="D52" s="129" t="s">
        <v>31</v>
      </c>
      <c r="E52" s="143">
        <v>3.50009210014938E14</v>
      </c>
      <c r="F52" s="130" t="s">
        <v>1200</v>
      </c>
      <c r="G52" s="146"/>
      <c r="H52" s="126"/>
      <c r="I52" s="132"/>
      <c r="J52" s="146"/>
      <c r="K52" s="126"/>
      <c r="L52" s="146" t="s">
        <v>10</v>
      </c>
      <c r="M52" s="134" t="str">
        <f t="shared" si="1"/>
        <v>AVAILABLE</v>
      </c>
      <c r="N52" s="134" t="str">
        <f t="array" ref="N52">IF(M52="LOANED / ON KOL", INDEX('Step 3 FOC Request'!$G:$G, MATCH(1, ('Step 3 FOC Request'!$A:$A=W52) * ('Step 3 FOC Request'!$F:$F=E52), 0)), "-")</f>
        <v>-</v>
      </c>
      <c r="O52" s="126"/>
      <c r="P52" s="126"/>
      <c r="Q52" s="148"/>
      <c r="R52" s="126"/>
      <c r="U52" s="126"/>
      <c r="V52" s="126"/>
      <c r="W52" s="135">
        <f>MAXIFS('Step 3 FOC Request'!$A:$A, 'Step 3 FOC Request'!$F:$F, $E52)</f>
        <v>0</v>
      </c>
      <c r="X52" s="135">
        <f>MAXIFS('Step 4 FOC Return'!$A:$A, 'Step 4 FOC Return'!$E:$E, $E52)</f>
        <v>0</v>
      </c>
      <c r="Y52" s="126"/>
    </row>
    <row r="53">
      <c r="A53" s="126"/>
      <c r="B53" s="142">
        <v>46071.0</v>
      </c>
      <c r="C53" s="146"/>
      <c r="D53" s="129" t="s">
        <v>31</v>
      </c>
      <c r="E53" s="143">
        <v>3.5000921030862E14</v>
      </c>
      <c r="F53" s="130" t="s">
        <v>1200</v>
      </c>
      <c r="G53" s="146"/>
      <c r="H53" s="126"/>
      <c r="I53" s="132"/>
      <c r="J53" s="146"/>
      <c r="K53" s="126"/>
      <c r="L53" s="146" t="s">
        <v>10</v>
      </c>
      <c r="M53" s="134" t="str">
        <f t="shared" si="1"/>
        <v>AVAILABLE</v>
      </c>
      <c r="N53" s="134" t="str">
        <f t="array" ref="N53">IF(M53="LOANED / ON KOL", INDEX('Step 3 FOC Request'!$G:$G, MATCH(1, ('Step 3 FOC Request'!$A:$A=W53) * ('Step 3 FOC Request'!$F:$F=E53), 0)), "-")</f>
        <v>-</v>
      </c>
      <c r="O53" s="126"/>
      <c r="P53" s="126"/>
      <c r="Q53" s="148"/>
      <c r="R53" s="126"/>
      <c r="U53" s="126"/>
      <c r="V53" s="126"/>
      <c r="W53" s="135">
        <f>MAXIFS('Step 3 FOC Request'!$A:$A, 'Step 3 FOC Request'!$F:$F, $E53)</f>
        <v>0</v>
      </c>
      <c r="X53" s="135">
        <f>MAXIFS('Step 4 FOC Return'!$A:$A, 'Step 4 FOC Return'!$E:$E, $E53)</f>
        <v>0</v>
      </c>
      <c r="Y53" s="126"/>
    </row>
    <row r="54">
      <c r="A54" s="126"/>
      <c r="B54" s="142">
        <v>46071.0</v>
      </c>
      <c r="C54" s="146"/>
      <c r="D54" s="129" t="s">
        <v>31</v>
      </c>
      <c r="E54" s="143">
        <v>3.54922130002477E14</v>
      </c>
      <c r="F54" s="130" t="s">
        <v>1203</v>
      </c>
      <c r="G54" s="146"/>
      <c r="H54" s="126"/>
      <c r="I54" s="132"/>
      <c r="J54" s="146"/>
      <c r="K54" s="126"/>
      <c r="L54" s="146" t="s">
        <v>10</v>
      </c>
      <c r="M54" s="134" t="str">
        <f t="shared" si="1"/>
        <v>AVAILABLE</v>
      </c>
      <c r="N54" s="134" t="str">
        <f t="array" ref="N54">IF(M54="LOANED / ON KOL", INDEX('Step 3 FOC Request'!$G:$G, MATCH(1, ('Step 3 FOC Request'!$A:$A=W54) * ('Step 3 FOC Request'!$F:$F=E54), 0)), "-")</f>
        <v>-</v>
      </c>
      <c r="O54" s="126"/>
      <c r="P54" s="126"/>
      <c r="Q54" s="148"/>
      <c r="R54" s="126"/>
      <c r="U54" s="126"/>
      <c r="V54" s="126"/>
      <c r="W54" s="135">
        <f>MAXIFS('Step 3 FOC Request'!$A:$A, 'Step 3 FOC Request'!$F:$F, $E54)</f>
        <v>0</v>
      </c>
      <c r="X54" s="135">
        <f>MAXIFS('Step 4 FOC Return'!$A:$A, 'Step 4 FOC Return'!$E:$E, $E54)</f>
        <v>0</v>
      </c>
      <c r="Y54" s="126"/>
    </row>
    <row r="55">
      <c r="A55" s="126"/>
      <c r="B55" s="142">
        <v>46071.0</v>
      </c>
      <c r="C55" s="146"/>
      <c r="D55" s="129" t="s">
        <v>31</v>
      </c>
      <c r="E55" s="143">
        <v>3.5492213001189E14</v>
      </c>
      <c r="F55" s="130" t="s">
        <v>1202</v>
      </c>
      <c r="G55" s="146"/>
      <c r="H55" s="126"/>
      <c r="I55" s="132"/>
      <c r="J55" s="146" t="s">
        <v>52</v>
      </c>
      <c r="K55" s="126"/>
      <c r="L55" s="146" t="s">
        <v>10</v>
      </c>
      <c r="M55" s="134" t="str">
        <f t="shared" si="1"/>
        <v>AVAILABLE</v>
      </c>
      <c r="N55" s="134" t="str">
        <f t="array" ref="N55">IF(M55="LOANED / ON KOL", INDEX('Step 3 FOC Request'!$G:$G, MATCH(1, ('Step 3 FOC Request'!$A:$A=W55) * ('Step 3 FOC Request'!$F:$F=E55), 0)), "-")</f>
        <v>-</v>
      </c>
      <c r="O55" s="126"/>
      <c r="P55" s="126"/>
      <c r="Q55" s="148"/>
      <c r="R55" s="126"/>
      <c r="U55" s="126"/>
      <c r="V55" s="126"/>
      <c r="W55" s="135">
        <f>MAXIFS('Step 3 FOC Request'!$A:$A, 'Step 3 FOC Request'!$F:$F, $E55)</f>
        <v>0</v>
      </c>
      <c r="X55" s="135">
        <f>MAXIFS('Step 4 FOC Return'!$A:$A, 'Step 4 FOC Return'!$E:$E, $E55)</f>
        <v>0</v>
      </c>
      <c r="Y55" s="126"/>
    </row>
    <row r="56">
      <c r="A56" s="126"/>
      <c r="B56" s="142">
        <v>46071.0</v>
      </c>
      <c r="C56" s="146"/>
      <c r="D56" s="129" t="s">
        <v>31</v>
      </c>
      <c r="E56" s="143">
        <v>3.54922130002147E14</v>
      </c>
      <c r="F56" s="130" t="s">
        <v>1211</v>
      </c>
      <c r="G56" s="143" t="s">
        <v>19</v>
      </c>
      <c r="H56" s="126"/>
      <c r="I56" s="132"/>
      <c r="J56" s="146" t="s">
        <v>46</v>
      </c>
      <c r="K56" s="126"/>
      <c r="L56" s="146" t="s">
        <v>10</v>
      </c>
      <c r="M56" s="134" t="str">
        <f t="shared" si="1"/>
        <v>AVAILABLE</v>
      </c>
      <c r="N56" s="134" t="str">
        <f t="array" ref="N56">IF(M56="LOANED / ON KOL", INDEX('Step 3 FOC Request'!$G:$G, MATCH(1, ('Step 3 FOC Request'!$A:$A=W56) * ('Step 3 FOC Request'!$F:$F=E56), 0)), "-")</f>
        <v>-</v>
      </c>
      <c r="O56" s="126"/>
      <c r="P56" s="126"/>
      <c r="Q56" s="148"/>
      <c r="R56" s="126"/>
      <c r="U56" s="126"/>
      <c r="V56" s="126"/>
      <c r="W56" s="135">
        <f>MAXIFS('Step 3 FOC Request'!$A:$A, 'Step 3 FOC Request'!$F:$F, $E56)</f>
        <v>0</v>
      </c>
      <c r="X56" s="135">
        <f>MAXIFS('Step 4 FOC Return'!$A:$A, 'Step 4 FOC Return'!$E:$E, $E56)</f>
        <v>0</v>
      </c>
      <c r="Y56" s="126"/>
    </row>
    <row r="57">
      <c r="A57" s="126"/>
      <c r="B57" s="142">
        <v>46071.0</v>
      </c>
      <c r="C57" s="146"/>
      <c r="D57" s="129" t="s">
        <v>31</v>
      </c>
      <c r="E57" s="143">
        <v>3.5492213001603E14</v>
      </c>
      <c r="F57" s="130" t="s">
        <v>1202</v>
      </c>
      <c r="G57" s="143" t="s">
        <v>11</v>
      </c>
      <c r="H57" s="126"/>
      <c r="I57" s="132"/>
      <c r="J57" s="146" t="s">
        <v>52</v>
      </c>
      <c r="K57" s="126"/>
      <c r="L57" s="146" t="s">
        <v>10</v>
      </c>
      <c r="M57" s="134" t="str">
        <f t="shared" si="1"/>
        <v>AVAILABLE</v>
      </c>
      <c r="N57" s="134" t="str">
        <f t="array" ref="N57">IF(M57="LOANED / ON KOL", INDEX('Step 3 FOC Request'!$G:$G, MATCH(1, ('Step 3 FOC Request'!$A:$A=W57) * ('Step 3 FOC Request'!$F:$F=E57), 0)), "-")</f>
        <v>-</v>
      </c>
      <c r="O57" s="126"/>
      <c r="P57" s="148" t="s">
        <v>1212</v>
      </c>
      <c r="Q57" s="148"/>
      <c r="R57" s="126"/>
      <c r="U57" s="126"/>
      <c r="V57" s="126"/>
      <c r="W57" s="135">
        <f>MAXIFS('Step 3 FOC Request'!$A:$A, 'Step 3 FOC Request'!$F:$F, $E57)</f>
        <v>0</v>
      </c>
      <c r="X57" s="135">
        <f>MAXIFS('Step 4 FOC Return'!$A:$A, 'Step 4 FOC Return'!$E:$E, $E57)</f>
        <v>0</v>
      </c>
      <c r="Y57" s="126"/>
    </row>
    <row r="58">
      <c r="A58" s="126"/>
      <c r="B58" s="142">
        <v>46071.0</v>
      </c>
      <c r="C58" s="146"/>
      <c r="D58" s="129" t="s">
        <v>31</v>
      </c>
      <c r="E58" s="143">
        <v>3.54922130002469E14</v>
      </c>
      <c r="F58" s="130" t="s">
        <v>1203</v>
      </c>
      <c r="G58" s="143" t="s">
        <v>11</v>
      </c>
      <c r="H58" s="126"/>
      <c r="I58" s="132"/>
      <c r="J58" s="146" t="s">
        <v>36</v>
      </c>
      <c r="K58" s="126"/>
      <c r="L58" s="146" t="s">
        <v>10</v>
      </c>
      <c r="M58" s="134" t="str">
        <f t="shared" si="1"/>
        <v>AVAILABLE</v>
      </c>
      <c r="N58" s="134" t="str">
        <f t="array" ref="N58">IF(M58="LOANED / ON KOL", INDEX('Step 3 FOC Request'!$G:$G, MATCH(1, ('Step 3 FOC Request'!$A:$A=W58) * ('Step 3 FOC Request'!$F:$F=E58), 0)), "-")</f>
        <v>-</v>
      </c>
      <c r="O58" s="126"/>
      <c r="P58" s="148" t="s">
        <v>809</v>
      </c>
      <c r="Q58" s="148"/>
      <c r="R58" s="126"/>
      <c r="U58" s="126"/>
      <c r="V58" s="126"/>
      <c r="W58" s="135">
        <f>MAXIFS('Step 3 FOC Request'!$A:$A, 'Step 3 FOC Request'!$F:$F, $E58)</f>
        <v>0</v>
      </c>
      <c r="X58" s="135">
        <f>MAXIFS('Step 4 FOC Return'!$A:$A, 'Step 4 FOC Return'!$E:$E, $E58)</f>
        <v>0</v>
      </c>
      <c r="Y58" s="126"/>
    </row>
    <row r="59">
      <c r="A59" s="126"/>
      <c r="B59" s="142">
        <v>46071.0</v>
      </c>
      <c r="C59" s="146"/>
      <c r="D59" s="129" t="s">
        <v>31</v>
      </c>
      <c r="E59" s="143">
        <v>3.52901540005314E14</v>
      </c>
      <c r="F59" s="130" t="s">
        <v>1213</v>
      </c>
      <c r="G59" s="143" t="s">
        <v>11</v>
      </c>
      <c r="H59" s="126"/>
      <c r="I59" s="132"/>
      <c r="J59" s="146"/>
      <c r="K59" s="126"/>
      <c r="L59" s="146" t="s">
        <v>10</v>
      </c>
      <c r="M59" s="134" t="str">
        <f t="shared" si="1"/>
        <v>LOANED / ON KOL</v>
      </c>
      <c r="N59" s="134" t="str">
        <f t="array" ref="N59">IF(M59="LOANED / ON KOL", INDEX('Step 3 FOC Request'!$G:$G, MATCH(1, ('Step 3 FOC Request'!$A:$A=W59) * ('Step 3 FOC Request'!$F:$F=E59), 0)), "-")</f>
        <v>Luddy</v>
      </c>
      <c r="O59" s="126"/>
      <c r="P59" s="126"/>
      <c r="Q59" s="148"/>
      <c r="R59" s="126"/>
      <c r="U59" s="126"/>
      <c r="V59" s="126"/>
      <c r="W59" s="135">
        <f>MAXIFS('Step 3 FOC Request'!$A:$A, 'Step 3 FOC Request'!$F:$F, $E59)</f>
        <v>46076.8125</v>
      </c>
      <c r="X59" s="135">
        <f>MAXIFS('Step 4 FOC Return'!$A:$A, 'Step 4 FOC Return'!$E:$E, $E59)</f>
        <v>0</v>
      </c>
      <c r="Y59" s="126"/>
    </row>
    <row r="60">
      <c r="A60" s="126"/>
      <c r="B60" s="142">
        <v>46071.0</v>
      </c>
      <c r="C60" s="146"/>
      <c r="D60" s="129" t="s">
        <v>31</v>
      </c>
      <c r="E60" s="143">
        <v>3.5071626000505E14</v>
      </c>
      <c r="F60" s="130" t="s">
        <v>1214</v>
      </c>
      <c r="G60" s="143" t="s">
        <v>19</v>
      </c>
      <c r="H60" s="126"/>
      <c r="I60" s="132"/>
      <c r="J60" s="146" t="s">
        <v>49</v>
      </c>
      <c r="K60" s="126"/>
      <c r="L60" s="146" t="s">
        <v>10</v>
      </c>
      <c r="M60" s="134" t="str">
        <f t="shared" si="1"/>
        <v>AVAILABLE</v>
      </c>
      <c r="N60" s="134" t="str">
        <f t="array" ref="N60">IF(M60="LOANED / ON KOL", INDEX('Step 3 FOC Request'!$G:$G, MATCH(1, ('Step 3 FOC Request'!$A:$A=W60) * ('Step 3 FOC Request'!$F:$F=E60), 0)), "-")</f>
        <v>-</v>
      </c>
      <c r="O60" s="126"/>
      <c r="P60" s="126"/>
      <c r="Q60" s="148"/>
      <c r="R60" s="126"/>
      <c r="U60" s="126"/>
      <c r="V60" s="126"/>
      <c r="W60" s="135">
        <f>MAXIFS('Step 3 FOC Request'!$A:$A, 'Step 3 FOC Request'!$F:$F, $E60)</f>
        <v>0</v>
      </c>
      <c r="X60" s="135">
        <f>MAXIFS('Step 4 FOC Return'!$A:$A, 'Step 4 FOC Return'!$E:$E, $E60)</f>
        <v>0</v>
      </c>
      <c r="Y60" s="126"/>
    </row>
    <row r="61">
      <c r="A61" s="126"/>
      <c r="B61" s="142">
        <v>46071.0</v>
      </c>
      <c r="C61" s="146"/>
      <c r="D61" s="129" t="s">
        <v>31</v>
      </c>
      <c r="E61" s="143">
        <v>3.50716260161952E14</v>
      </c>
      <c r="F61" s="130" t="s">
        <v>1215</v>
      </c>
      <c r="G61" s="146"/>
      <c r="H61" s="126"/>
      <c r="I61" s="132"/>
      <c r="J61" s="146" t="s">
        <v>49</v>
      </c>
      <c r="K61" s="126"/>
      <c r="L61" s="146" t="s">
        <v>10</v>
      </c>
      <c r="M61" s="134" t="str">
        <f t="shared" si="1"/>
        <v>AVAILABLE</v>
      </c>
      <c r="N61" s="134" t="str">
        <f t="array" ref="N61">IF(M61="LOANED / ON KOL", INDEX('Step 3 FOC Request'!$G:$G, MATCH(1, ('Step 3 FOC Request'!$A:$A=W61) * ('Step 3 FOC Request'!$F:$F=E61), 0)), "-")</f>
        <v>-</v>
      </c>
      <c r="O61" s="126"/>
      <c r="P61" s="126"/>
      <c r="Q61" s="148"/>
      <c r="R61" s="126"/>
      <c r="U61" s="126"/>
      <c r="V61" s="126"/>
      <c r="W61" s="135">
        <f>MAXIFS('Step 3 FOC Request'!$A:$A, 'Step 3 FOC Request'!$F:$F, $E61)</f>
        <v>0</v>
      </c>
      <c r="X61" s="135">
        <f>MAXIFS('Step 4 FOC Return'!$A:$A, 'Step 4 FOC Return'!$E:$E, $E61)</f>
        <v>0</v>
      </c>
      <c r="Y61" s="126"/>
    </row>
    <row r="62">
      <c r="A62" s="126"/>
      <c r="B62" s="142">
        <v>46071.0</v>
      </c>
      <c r="C62" s="146"/>
      <c r="D62" s="129" t="s">
        <v>31</v>
      </c>
      <c r="E62" s="143">
        <v>3.50716260143398E14</v>
      </c>
      <c r="F62" s="130" t="s">
        <v>1215</v>
      </c>
      <c r="G62" s="146"/>
      <c r="H62" s="126"/>
      <c r="I62" s="132"/>
      <c r="J62" s="146" t="s">
        <v>49</v>
      </c>
      <c r="K62" s="126"/>
      <c r="L62" s="146" t="s">
        <v>10</v>
      </c>
      <c r="M62" s="134" t="str">
        <f t="shared" si="1"/>
        <v>AVAILABLE</v>
      </c>
      <c r="N62" s="134" t="str">
        <f t="array" ref="N62">IF(M62="LOANED / ON KOL", INDEX('Step 3 FOC Request'!$G:$G, MATCH(1, ('Step 3 FOC Request'!$A:$A=W62) * ('Step 3 FOC Request'!$F:$F=E62), 0)), "-")</f>
        <v>-</v>
      </c>
      <c r="O62" s="126"/>
      <c r="P62" s="126"/>
      <c r="Q62" s="148"/>
      <c r="R62" s="126"/>
      <c r="U62" s="126"/>
      <c r="V62" s="126"/>
      <c r="W62" s="135">
        <f>MAXIFS('Step 3 FOC Request'!$A:$A, 'Step 3 FOC Request'!$F:$F, $E62)</f>
        <v>0</v>
      </c>
      <c r="X62" s="135">
        <f>MAXIFS('Step 4 FOC Return'!$A:$A, 'Step 4 FOC Return'!$E:$E, $E62)</f>
        <v>0</v>
      </c>
      <c r="Y62" s="126"/>
    </row>
    <row r="63">
      <c r="A63" s="126"/>
      <c r="B63" s="142">
        <v>46071.0</v>
      </c>
      <c r="C63" s="146"/>
      <c r="D63" s="129" t="s">
        <v>31</v>
      </c>
      <c r="E63" s="143">
        <v>3.50716260016271E14</v>
      </c>
      <c r="F63" s="130" t="s">
        <v>1215</v>
      </c>
      <c r="G63" s="146"/>
      <c r="H63" s="126"/>
      <c r="I63" s="132"/>
      <c r="J63" s="146"/>
      <c r="K63" s="126"/>
      <c r="L63" s="146" t="s">
        <v>10</v>
      </c>
      <c r="M63" s="134" t="str">
        <f t="shared" si="1"/>
        <v>AVAILABLE</v>
      </c>
      <c r="N63" s="134" t="str">
        <f t="array" ref="N63">IF(M63="LOANED / ON KOL", INDEX('Step 3 FOC Request'!$G:$G, MATCH(1, ('Step 3 FOC Request'!$A:$A=W63) * ('Step 3 FOC Request'!$F:$F=E63), 0)), "-")</f>
        <v>-</v>
      </c>
      <c r="O63" s="126"/>
      <c r="P63" s="126"/>
      <c r="Q63" s="148"/>
      <c r="R63" s="126"/>
      <c r="U63" s="126"/>
      <c r="V63" s="126"/>
      <c r="W63" s="135">
        <f>MAXIFS('Step 3 FOC Request'!$A:$A, 'Step 3 FOC Request'!$F:$F, $E63)</f>
        <v>0</v>
      </c>
      <c r="X63" s="135">
        <f>MAXIFS('Step 4 FOC Return'!$A:$A, 'Step 4 FOC Return'!$E:$E, $E63)</f>
        <v>0</v>
      </c>
      <c r="Y63" s="126"/>
    </row>
    <row r="64">
      <c r="A64" s="126"/>
      <c r="B64" s="142">
        <v>46071.0</v>
      </c>
      <c r="C64" s="146"/>
      <c r="D64" s="129" t="s">
        <v>31</v>
      </c>
      <c r="E64" s="143">
        <v>3.50716260022352E14</v>
      </c>
      <c r="F64" s="130" t="s">
        <v>1215</v>
      </c>
      <c r="G64" s="143" t="s">
        <v>19</v>
      </c>
      <c r="H64" s="126"/>
      <c r="I64" s="132"/>
      <c r="J64" s="146" t="s">
        <v>49</v>
      </c>
      <c r="K64" s="126"/>
      <c r="L64" s="146" t="s">
        <v>10</v>
      </c>
      <c r="M64" s="134" t="str">
        <f t="shared" si="1"/>
        <v>AVAILABLE</v>
      </c>
      <c r="N64" s="134" t="str">
        <f t="array" ref="N64">IF(M64="LOANED / ON KOL", INDEX('Step 3 FOC Request'!$G:$G, MATCH(1, ('Step 3 FOC Request'!$A:$A=W64) * ('Step 3 FOC Request'!$F:$F=E64), 0)), "-")</f>
        <v>-</v>
      </c>
      <c r="O64" s="126"/>
      <c r="P64" s="126"/>
      <c r="Q64" s="148"/>
      <c r="R64" s="126"/>
      <c r="U64" s="126"/>
      <c r="V64" s="126"/>
      <c r="W64" s="135">
        <f>MAXIFS('Step 3 FOC Request'!$A:$A, 'Step 3 FOC Request'!$F:$F, $E64)</f>
        <v>0</v>
      </c>
      <c r="X64" s="135">
        <f>MAXIFS('Step 4 FOC Return'!$A:$A, 'Step 4 FOC Return'!$E:$E, $E64)</f>
        <v>0</v>
      </c>
      <c r="Y64" s="126"/>
    </row>
    <row r="65">
      <c r="A65" s="126"/>
      <c r="B65" s="142">
        <v>46071.0</v>
      </c>
      <c r="C65" s="146"/>
      <c r="D65" s="129" t="s">
        <v>31</v>
      </c>
      <c r="E65" s="143">
        <v>3.53567821133866E14</v>
      </c>
      <c r="F65" s="130" t="s">
        <v>1216</v>
      </c>
      <c r="G65" s="143" t="s">
        <v>19</v>
      </c>
      <c r="H65" s="126"/>
      <c r="I65" s="132"/>
      <c r="J65" s="146" t="s">
        <v>50</v>
      </c>
      <c r="K65" s="126"/>
      <c r="L65" s="146" t="s">
        <v>10</v>
      </c>
      <c r="M65" s="134" t="str">
        <f t="shared" si="1"/>
        <v>AVAILABLE</v>
      </c>
      <c r="N65" s="134" t="str">
        <f t="array" ref="N65">IF(M65="LOANED / ON KOL", INDEX('Step 3 FOC Request'!$G:$G, MATCH(1, ('Step 3 FOC Request'!$A:$A=W65) * ('Step 3 FOC Request'!$F:$F=E65), 0)), "-")</f>
        <v>-</v>
      </c>
      <c r="O65" s="126"/>
      <c r="P65" s="126"/>
      <c r="Q65" s="148"/>
      <c r="R65" s="126"/>
      <c r="U65" s="126"/>
      <c r="V65" s="126"/>
      <c r="W65" s="135">
        <f>MAXIFS('Step 3 FOC Request'!$A:$A, 'Step 3 FOC Request'!$F:$F, $E65)</f>
        <v>0</v>
      </c>
      <c r="X65" s="135">
        <f>MAXIFS('Step 4 FOC Return'!$A:$A, 'Step 4 FOC Return'!$E:$E, $E65)</f>
        <v>0</v>
      </c>
      <c r="Y65" s="126"/>
    </row>
    <row r="66">
      <c r="A66" s="126"/>
      <c r="B66" s="142">
        <v>46071.0</v>
      </c>
      <c r="C66" s="146"/>
      <c r="D66" s="129" t="s">
        <v>31</v>
      </c>
      <c r="E66" s="143">
        <v>3.53567821056356E14</v>
      </c>
      <c r="F66" s="130" t="s">
        <v>1217</v>
      </c>
      <c r="G66" s="143" t="s">
        <v>19</v>
      </c>
      <c r="H66" s="126"/>
      <c r="I66" s="132"/>
      <c r="J66" s="146" t="s">
        <v>50</v>
      </c>
      <c r="K66" s="126"/>
      <c r="L66" s="146" t="s">
        <v>10</v>
      </c>
      <c r="M66" s="134" t="str">
        <f t="shared" si="1"/>
        <v>AVAILABLE</v>
      </c>
      <c r="N66" s="134" t="str">
        <f t="array" ref="N66">IF(M66="LOANED / ON KOL", INDEX('Step 3 FOC Request'!$G:$G, MATCH(1, ('Step 3 FOC Request'!$A:$A=W66) * ('Step 3 FOC Request'!$F:$F=E66), 0)), "-")</f>
        <v>-</v>
      </c>
      <c r="O66" s="126"/>
      <c r="P66" s="126"/>
      <c r="Q66" s="148"/>
      <c r="R66" s="126"/>
      <c r="U66" s="126"/>
      <c r="V66" s="126"/>
      <c r="W66" s="135">
        <f>MAXIFS('Step 3 FOC Request'!$A:$A, 'Step 3 FOC Request'!$F:$F, $E66)</f>
        <v>0</v>
      </c>
      <c r="X66" s="135">
        <f>MAXIFS('Step 4 FOC Return'!$A:$A, 'Step 4 FOC Return'!$E:$E, $E66)</f>
        <v>0</v>
      </c>
      <c r="Y66" s="126"/>
    </row>
    <row r="67">
      <c r="A67" s="126"/>
      <c r="B67" s="142">
        <v>46071.0</v>
      </c>
      <c r="C67" s="146"/>
      <c r="D67" s="129" t="s">
        <v>31</v>
      </c>
      <c r="E67" s="143">
        <v>3.53567821046225E14</v>
      </c>
      <c r="F67" s="130" t="s">
        <v>1218</v>
      </c>
      <c r="G67" s="143" t="s">
        <v>19</v>
      </c>
      <c r="H67" s="126"/>
      <c r="I67" s="132"/>
      <c r="J67" s="146" t="s">
        <v>50</v>
      </c>
      <c r="K67" s="126"/>
      <c r="L67" s="146" t="s">
        <v>10</v>
      </c>
      <c r="M67" s="134" t="str">
        <f t="shared" si="1"/>
        <v>AVAILABLE</v>
      </c>
      <c r="N67" s="134" t="str">
        <f t="array" ref="N67">IF(M67="LOANED / ON KOL", INDEX('Step 3 FOC Request'!$G:$G, MATCH(1, ('Step 3 FOC Request'!$A:$A=W67) * ('Step 3 FOC Request'!$F:$F=E67), 0)), "-")</f>
        <v>-</v>
      </c>
      <c r="O67" s="126"/>
      <c r="P67" s="126"/>
      <c r="Q67" s="148"/>
      <c r="R67" s="126"/>
      <c r="U67" s="126"/>
      <c r="V67" s="126"/>
      <c r="W67" s="135">
        <f>MAXIFS('Step 3 FOC Request'!$A:$A, 'Step 3 FOC Request'!$F:$F, $E67)</f>
        <v>0</v>
      </c>
      <c r="X67" s="135">
        <f>MAXIFS('Step 4 FOC Return'!$A:$A, 'Step 4 FOC Return'!$E:$E, $E67)</f>
        <v>0</v>
      </c>
      <c r="Y67" s="126"/>
    </row>
    <row r="68">
      <c r="A68" s="126"/>
      <c r="B68" s="142">
        <v>46071.0</v>
      </c>
      <c r="C68" s="146"/>
      <c r="D68" s="143" t="s">
        <v>42</v>
      </c>
      <c r="E68" s="143" t="s">
        <v>150</v>
      </c>
      <c r="F68" s="130" t="s">
        <v>1219</v>
      </c>
      <c r="G68" s="143" t="s">
        <v>11</v>
      </c>
      <c r="H68" s="126"/>
      <c r="I68" s="132"/>
      <c r="J68" s="146"/>
      <c r="K68" s="126"/>
      <c r="L68" s="146" t="s">
        <v>10</v>
      </c>
      <c r="M68" s="134" t="str">
        <f t="shared" si="1"/>
        <v>AVAILABLE</v>
      </c>
      <c r="N68" s="134" t="str">
        <f t="array" ref="N68">IF(M68="LOANED / ON KOL", INDEX('Step 3 FOC Request'!$G:$G, MATCH(1, ('Step 3 FOC Request'!$A:$A=W68) * ('Step 3 FOC Request'!$F:$F=E68), 0)), "-")</f>
        <v>-</v>
      </c>
      <c r="O68" s="126"/>
      <c r="P68" s="148" t="s">
        <v>809</v>
      </c>
      <c r="Q68" s="148"/>
      <c r="R68" s="126"/>
      <c r="U68" s="126"/>
      <c r="V68" s="126"/>
      <c r="W68" s="135">
        <f>MAXIFS('Step 3 FOC Request'!$A:$A, 'Step 3 FOC Request'!$F:$F, $E68)</f>
        <v>0</v>
      </c>
      <c r="X68" s="135">
        <f>MAXIFS('Step 4 FOC Return'!$A:$A, 'Step 4 FOC Return'!$E:$E, $E68)</f>
        <v>0</v>
      </c>
      <c r="Y68" s="126"/>
    </row>
    <row r="69">
      <c r="A69" s="126"/>
      <c r="B69" s="142">
        <v>46071.0</v>
      </c>
      <c r="C69" s="146"/>
      <c r="D69" s="143" t="s">
        <v>9</v>
      </c>
      <c r="E69" s="143" t="s">
        <v>941</v>
      </c>
      <c r="F69" s="130" t="s">
        <v>1183</v>
      </c>
      <c r="G69" s="146"/>
      <c r="H69" s="126"/>
      <c r="I69" s="132"/>
      <c r="J69" s="143" t="s">
        <v>48</v>
      </c>
      <c r="K69" s="126"/>
      <c r="L69" s="146" t="s">
        <v>10</v>
      </c>
      <c r="M69" s="134" t="str">
        <f t="shared" si="1"/>
        <v>AVAILABLE</v>
      </c>
      <c r="N69" s="134" t="str">
        <f t="array" ref="N69">IF(M69="LOANED / ON KOL", INDEX('Step 3 FOC Request'!$G:$G, MATCH(1, ('Step 3 FOC Request'!$A:$A=W69) * ('Step 3 FOC Request'!$F:$F=E69), 0)), "-")</f>
        <v>-</v>
      </c>
      <c r="O69" s="126"/>
      <c r="P69" s="126"/>
      <c r="Q69" s="148"/>
      <c r="R69" s="126"/>
      <c r="U69" s="126"/>
      <c r="V69" s="126"/>
      <c r="W69" s="135">
        <f>MAXIFS('Step 3 FOC Request'!$A:$A, 'Step 3 FOC Request'!$F:$F, $E69)</f>
        <v>0</v>
      </c>
      <c r="X69" s="135">
        <f>MAXIFS('Step 4 FOC Return'!$A:$A, 'Step 4 FOC Return'!$E:$E, $E69)</f>
        <v>0</v>
      </c>
      <c r="Y69" s="126"/>
    </row>
    <row r="70">
      <c r="A70" s="126"/>
      <c r="B70" s="142">
        <v>46071.0</v>
      </c>
      <c r="C70" s="146"/>
      <c r="D70" s="143" t="s">
        <v>42</v>
      </c>
      <c r="E70" s="143">
        <v>3.52650610019099E14</v>
      </c>
      <c r="F70" s="130" t="s">
        <v>1220</v>
      </c>
      <c r="G70" s="146"/>
      <c r="H70" s="126"/>
      <c r="I70" s="132"/>
      <c r="J70" s="143" t="s">
        <v>48</v>
      </c>
      <c r="K70" s="126"/>
      <c r="L70" s="146" t="s">
        <v>10</v>
      </c>
      <c r="M70" s="134" t="str">
        <f t="shared" si="1"/>
        <v>LOANED / ON KOL</v>
      </c>
      <c r="N70" s="134" t="str">
        <f t="array" ref="N70">IF(M70="LOANED / ON KOL", INDEX('Step 3 FOC Request'!$G:$G, MATCH(1, ('Step 3 FOC Request'!$A:$A=W70) * ('Step 3 FOC Request'!$F:$F=E70), 0)), "-")</f>
        <v>Reza Febs</v>
      </c>
      <c r="O70" s="126"/>
      <c r="P70" s="126"/>
      <c r="Q70" s="148"/>
      <c r="R70" s="126"/>
      <c r="U70" s="126"/>
      <c r="V70" s="126"/>
      <c r="W70" s="135">
        <f>MAXIFS('Step 3 FOC Request'!$A:$A, 'Step 3 FOC Request'!$F:$F, $E70)</f>
        <v>46071.71454</v>
      </c>
      <c r="X70" s="135">
        <f>MAXIFS('Step 4 FOC Return'!$A:$A, 'Step 4 FOC Return'!$E:$E, $E70)</f>
        <v>0</v>
      </c>
      <c r="Y70" s="126"/>
    </row>
    <row r="71">
      <c r="A71" s="126"/>
      <c r="B71" s="142">
        <v>46071.0</v>
      </c>
      <c r="C71" s="146"/>
      <c r="D71" s="129" t="s">
        <v>31</v>
      </c>
      <c r="E71" s="129">
        <v>3.51182450353603E14</v>
      </c>
      <c r="F71" s="130" t="s">
        <v>1221</v>
      </c>
      <c r="G71" s="143" t="s">
        <v>19</v>
      </c>
      <c r="H71" s="126"/>
      <c r="I71" s="132"/>
      <c r="J71" s="146" t="s">
        <v>49</v>
      </c>
      <c r="K71" s="126"/>
      <c r="L71" s="146" t="s">
        <v>10</v>
      </c>
      <c r="M71" s="134" t="str">
        <f t="shared" si="1"/>
        <v>AVAILABLE</v>
      </c>
      <c r="N71" s="134" t="str">
        <f t="array" ref="N71">IF(M71="LOANED / ON KOL", INDEX('Step 3 FOC Request'!$G:$G, MATCH(1, ('Step 3 FOC Request'!$A:$A=W71) * ('Step 3 FOC Request'!$F:$F=E71), 0)), "-")</f>
        <v>-</v>
      </c>
      <c r="O71" s="126"/>
      <c r="P71" s="126"/>
      <c r="Q71" s="148"/>
      <c r="R71" s="126"/>
      <c r="U71" s="126"/>
      <c r="V71" s="126"/>
      <c r="W71" s="135">
        <f>MAXIFS('Step 3 FOC Request'!$A:$A, 'Step 3 FOC Request'!$F:$F, $E71)</f>
        <v>0</v>
      </c>
      <c r="X71" s="135">
        <f>MAXIFS('Step 4 FOC Return'!$A:$A, 'Step 4 FOC Return'!$E:$E, $E71)</f>
        <v>0</v>
      </c>
      <c r="Y71" s="126"/>
    </row>
    <row r="72">
      <c r="A72" s="126"/>
      <c r="B72" s="142">
        <v>46071.0</v>
      </c>
      <c r="C72" s="146"/>
      <c r="D72" s="129" t="s">
        <v>31</v>
      </c>
      <c r="E72" s="129">
        <v>3.51182450157541E14</v>
      </c>
      <c r="F72" s="130" t="s">
        <v>1222</v>
      </c>
      <c r="G72" s="143" t="s">
        <v>19</v>
      </c>
      <c r="H72" s="126"/>
      <c r="I72" s="132"/>
      <c r="J72" s="146" t="s">
        <v>49</v>
      </c>
      <c r="K72" s="126"/>
      <c r="L72" s="146" t="s">
        <v>10</v>
      </c>
      <c r="M72" s="134" t="str">
        <f t="shared" si="1"/>
        <v>AVAILABLE</v>
      </c>
      <c r="N72" s="134" t="str">
        <f t="array" ref="N72">IF(M72="LOANED / ON KOL", INDEX('Step 3 FOC Request'!$G:$G, MATCH(1, ('Step 3 FOC Request'!$A:$A=W72) * ('Step 3 FOC Request'!$F:$F=E72), 0)), "-")</f>
        <v>-</v>
      </c>
      <c r="O72" s="126"/>
      <c r="P72" s="126"/>
      <c r="Q72" s="148"/>
      <c r="R72" s="126"/>
      <c r="U72" s="126"/>
      <c r="V72" s="126"/>
      <c r="W72" s="135">
        <f>MAXIFS('Step 3 FOC Request'!$A:$A, 'Step 3 FOC Request'!$F:$F, $E72)</f>
        <v>0</v>
      </c>
      <c r="X72" s="135">
        <f>MAXIFS('Step 4 FOC Return'!$A:$A, 'Step 4 FOC Return'!$E:$E, $E72)</f>
        <v>0</v>
      </c>
      <c r="Y72" s="126"/>
    </row>
    <row r="73">
      <c r="A73" s="126"/>
      <c r="B73" s="142">
        <v>46071.0</v>
      </c>
      <c r="C73" s="146"/>
      <c r="D73" s="129" t="s">
        <v>31</v>
      </c>
      <c r="E73" s="143">
        <v>3.5297878002644E14</v>
      </c>
      <c r="F73" s="130" t="s">
        <v>1223</v>
      </c>
      <c r="G73" s="143" t="s">
        <v>19</v>
      </c>
      <c r="H73" s="126"/>
      <c r="I73" s="132"/>
      <c r="J73" s="146" t="s">
        <v>49</v>
      </c>
      <c r="K73" s="126"/>
      <c r="L73" s="146" t="s">
        <v>10</v>
      </c>
      <c r="M73" s="134" t="str">
        <f t="shared" si="1"/>
        <v>AVAILABLE</v>
      </c>
      <c r="N73" s="134" t="str">
        <f t="array" ref="N73">IF(M73="LOANED / ON KOL", INDEX('Step 3 FOC Request'!$G:$G, MATCH(1, ('Step 3 FOC Request'!$A:$A=W73) * ('Step 3 FOC Request'!$F:$F=E73), 0)), "-")</f>
        <v>-</v>
      </c>
      <c r="O73" s="126"/>
      <c r="P73" s="126"/>
      <c r="Q73" s="148"/>
      <c r="R73" s="126"/>
      <c r="U73" s="126"/>
      <c r="V73" s="126"/>
      <c r="W73" s="135">
        <f>MAXIFS('Step 3 FOC Request'!$A:$A, 'Step 3 FOC Request'!$F:$F, $E73)</f>
        <v>0</v>
      </c>
      <c r="X73" s="135">
        <f>MAXIFS('Step 4 FOC Return'!$A:$A, 'Step 4 FOC Return'!$E:$E, $E73)</f>
        <v>0</v>
      </c>
      <c r="Y73" s="126"/>
    </row>
    <row r="74">
      <c r="A74" s="126"/>
      <c r="B74" s="142">
        <v>46071.0</v>
      </c>
      <c r="C74" s="146"/>
      <c r="D74" s="129" t="s">
        <v>31</v>
      </c>
      <c r="E74" s="143">
        <v>3.52978780013521E14</v>
      </c>
      <c r="F74" s="130" t="s">
        <v>1224</v>
      </c>
      <c r="G74" s="143" t="s">
        <v>19</v>
      </c>
      <c r="H74" s="126"/>
      <c r="I74" s="132"/>
      <c r="J74" s="146" t="s">
        <v>49</v>
      </c>
      <c r="K74" s="126"/>
      <c r="L74" s="146" t="s">
        <v>10</v>
      </c>
      <c r="M74" s="134" t="str">
        <f t="shared" si="1"/>
        <v>AVAILABLE</v>
      </c>
      <c r="N74" s="134" t="str">
        <f t="array" ref="N74">IF(M74="LOANED / ON KOL", INDEX('Step 3 FOC Request'!$G:$G, MATCH(1, ('Step 3 FOC Request'!$A:$A=W74) * ('Step 3 FOC Request'!$F:$F=E74), 0)), "-")</f>
        <v>-</v>
      </c>
      <c r="O74" s="126"/>
      <c r="P74" s="126"/>
      <c r="Q74" s="148"/>
      <c r="R74" s="126"/>
      <c r="U74" s="126"/>
      <c r="V74" s="126"/>
      <c r="W74" s="135">
        <f>MAXIFS('Step 3 FOC Request'!$A:$A, 'Step 3 FOC Request'!$F:$F, $E74)</f>
        <v>0</v>
      </c>
      <c r="X74" s="135">
        <f>MAXIFS('Step 4 FOC Return'!$A:$A, 'Step 4 FOC Return'!$E:$E, $E74)</f>
        <v>0</v>
      </c>
      <c r="Y74" s="126"/>
    </row>
    <row r="75">
      <c r="A75" s="126"/>
      <c r="B75" s="142">
        <v>46071.0</v>
      </c>
      <c r="C75" s="146"/>
      <c r="D75" s="129" t="s">
        <v>31</v>
      </c>
      <c r="E75" s="143">
        <v>3.50334720924322E14</v>
      </c>
      <c r="F75" s="130" t="s">
        <v>1225</v>
      </c>
      <c r="G75" s="143" t="s">
        <v>19</v>
      </c>
      <c r="H75" s="126"/>
      <c r="I75" s="132"/>
      <c r="J75" s="146" t="s">
        <v>16</v>
      </c>
      <c r="K75" s="126"/>
      <c r="L75" s="146" t="s">
        <v>10</v>
      </c>
      <c r="M75" s="134" t="str">
        <f t="shared" si="1"/>
        <v>AVAILABLE</v>
      </c>
      <c r="N75" s="134" t="str">
        <f t="array" ref="N75">IF(M75="LOANED / ON KOL", INDEX('Step 3 FOC Request'!$G:$G, MATCH(1, ('Step 3 FOC Request'!$A:$A=W75) * ('Step 3 FOC Request'!$F:$F=E75), 0)), "-")</f>
        <v>-</v>
      </c>
      <c r="O75" s="126"/>
      <c r="P75" s="126"/>
      <c r="Q75" s="148"/>
      <c r="R75" s="126"/>
      <c r="U75" s="126"/>
      <c r="V75" s="126"/>
      <c r="W75" s="135">
        <f>MAXIFS('Step 3 FOC Request'!$A:$A, 'Step 3 FOC Request'!$F:$F, $E75)</f>
        <v>0</v>
      </c>
      <c r="X75" s="135">
        <f>MAXIFS('Step 4 FOC Return'!$A:$A, 'Step 4 FOC Return'!$E:$E, $E75)</f>
        <v>0</v>
      </c>
      <c r="Y75" s="126"/>
    </row>
    <row r="76">
      <c r="A76" s="126"/>
      <c r="B76" s="142">
        <v>46071.0</v>
      </c>
      <c r="C76" s="146"/>
      <c r="D76" s="129" t="s">
        <v>31</v>
      </c>
      <c r="E76" s="143">
        <v>3.5033472117909E14</v>
      </c>
      <c r="F76" s="130" t="s">
        <v>1226</v>
      </c>
      <c r="G76" s="143" t="s">
        <v>19</v>
      </c>
      <c r="H76" s="126"/>
      <c r="I76" s="132"/>
      <c r="J76" s="146" t="s">
        <v>16</v>
      </c>
      <c r="K76" s="126"/>
      <c r="L76" s="146" t="s">
        <v>10</v>
      </c>
      <c r="M76" s="134" t="str">
        <f t="shared" si="1"/>
        <v>AVAILABLE</v>
      </c>
      <c r="N76" s="134" t="str">
        <f t="array" ref="N76">IF(M76="LOANED / ON KOL", INDEX('Step 3 FOC Request'!$G:$G, MATCH(1, ('Step 3 FOC Request'!$A:$A=W76) * ('Step 3 FOC Request'!$F:$F=E76), 0)), "-")</f>
        <v>-</v>
      </c>
      <c r="O76" s="126"/>
      <c r="P76" s="126"/>
      <c r="Q76" s="148"/>
      <c r="R76" s="126"/>
      <c r="U76" s="126"/>
      <c r="V76" s="126"/>
      <c r="W76" s="135">
        <f>MAXIFS('Step 3 FOC Request'!$A:$A, 'Step 3 FOC Request'!$F:$F, $E76)</f>
        <v>0</v>
      </c>
      <c r="X76" s="135">
        <f>MAXIFS('Step 4 FOC Return'!$A:$A, 'Step 4 FOC Return'!$E:$E, $E76)</f>
        <v>0</v>
      </c>
      <c r="Y76" s="126"/>
    </row>
    <row r="77">
      <c r="A77" s="126"/>
      <c r="B77" s="142">
        <v>46071.0</v>
      </c>
      <c r="C77" s="146"/>
      <c r="D77" s="129" t="s">
        <v>31</v>
      </c>
      <c r="E77" s="143">
        <v>3.5841018500545E14</v>
      </c>
      <c r="F77" s="130" t="s">
        <v>1227</v>
      </c>
      <c r="G77" s="143" t="s">
        <v>11</v>
      </c>
      <c r="H77" s="126"/>
      <c r="I77" s="132"/>
      <c r="J77" s="146"/>
      <c r="K77" s="126"/>
      <c r="L77" s="146" t="s">
        <v>10</v>
      </c>
      <c r="M77" s="134" t="str">
        <f t="shared" si="1"/>
        <v>AVAILABLE</v>
      </c>
      <c r="N77" s="134" t="str">
        <f t="array" ref="N77">IF(M77="LOANED / ON KOL", INDEX('Step 3 FOC Request'!$G:$G, MATCH(1, ('Step 3 FOC Request'!$A:$A=W77) * ('Step 3 FOC Request'!$F:$F=E77), 0)), "-")</f>
        <v>-</v>
      </c>
      <c r="O77" s="126"/>
      <c r="P77" s="126"/>
      <c r="Q77" s="148"/>
      <c r="R77" s="126"/>
      <c r="U77" s="126"/>
      <c r="V77" s="126"/>
      <c r="W77" s="135">
        <f>MAXIFS('Step 3 FOC Request'!$A:$A, 'Step 3 FOC Request'!$F:$F, $E77)</f>
        <v>0</v>
      </c>
      <c r="X77" s="135">
        <f>MAXIFS('Step 4 FOC Return'!$A:$A, 'Step 4 FOC Return'!$E:$E, $E77)</f>
        <v>0</v>
      </c>
      <c r="Y77" s="126"/>
    </row>
    <row r="78">
      <c r="A78" s="126"/>
      <c r="B78" s="142">
        <v>46071.0</v>
      </c>
      <c r="C78" s="146"/>
      <c r="D78" s="129" t="s">
        <v>31</v>
      </c>
      <c r="E78" s="143">
        <v>3.51298320095388E14</v>
      </c>
      <c r="F78" s="130" t="s">
        <v>1228</v>
      </c>
      <c r="G78" s="146"/>
      <c r="H78" s="126"/>
      <c r="I78" s="132"/>
      <c r="J78" s="146"/>
      <c r="K78" s="126"/>
      <c r="L78" s="146" t="s">
        <v>10</v>
      </c>
      <c r="M78" s="134" t="str">
        <f t="shared" si="1"/>
        <v>AVAILABLE</v>
      </c>
      <c r="N78" s="134" t="str">
        <f t="array" ref="N78">IF(M78="LOANED / ON KOL", INDEX('Step 3 FOC Request'!$G:$G, MATCH(1, ('Step 3 FOC Request'!$A:$A=W78) * ('Step 3 FOC Request'!$F:$F=E78), 0)), "-")</f>
        <v>-</v>
      </c>
      <c r="O78" s="126"/>
      <c r="P78" s="126"/>
      <c r="Q78" s="148"/>
      <c r="R78" s="126"/>
      <c r="U78" s="126"/>
      <c r="V78" s="126"/>
      <c r="W78" s="135">
        <f>MAXIFS('Step 3 FOC Request'!$A:$A, 'Step 3 FOC Request'!$F:$F, $E78)</f>
        <v>0</v>
      </c>
      <c r="X78" s="135">
        <f>MAXIFS('Step 4 FOC Return'!$A:$A, 'Step 4 FOC Return'!$E:$E, $E78)</f>
        <v>0</v>
      </c>
      <c r="Y78" s="126"/>
    </row>
    <row r="79">
      <c r="A79" s="126"/>
      <c r="B79" s="142">
        <v>46071.0</v>
      </c>
      <c r="C79" s="146"/>
      <c r="D79" s="129" t="s">
        <v>31</v>
      </c>
      <c r="E79" s="143">
        <v>3.50009210024854E14</v>
      </c>
      <c r="F79" s="130" t="s">
        <v>1200</v>
      </c>
      <c r="G79" s="143" t="s">
        <v>11</v>
      </c>
      <c r="H79" s="126"/>
      <c r="I79" s="132"/>
      <c r="J79" s="146" t="s">
        <v>45</v>
      </c>
      <c r="K79" s="126"/>
      <c r="L79" s="146" t="s">
        <v>10</v>
      </c>
      <c r="M79" s="134" t="str">
        <f t="shared" si="1"/>
        <v>AVAILABLE</v>
      </c>
      <c r="N79" s="134" t="str">
        <f t="array" ref="N79">IF(M79="LOANED / ON KOL", INDEX('Step 3 FOC Request'!$G:$G, MATCH(1, ('Step 3 FOC Request'!$A:$A=W79) * ('Step 3 FOC Request'!$F:$F=E79), 0)), "-")</f>
        <v>-</v>
      </c>
      <c r="O79" s="126"/>
      <c r="P79" s="126"/>
      <c r="Q79" s="148"/>
      <c r="R79" s="126"/>
      <c r="U79" s="126"/>
      <c r="V79" s="126"/>
      <c r="W79" s="135">
        <f>MAXIFS('Step 3 FOC Request'!$A:$A, 'Step 3 FOC Request'!$F:$F, $E79)</f>
        <v>0</v>
      </c>
      <c r="X79" s="135">
        <f>MAXIFS('Step 4 FOC Return'!$A:$A, 'Step 4 FOC Return'!$E:$E, $E79)</f>
        <v>0</v>
      </c>
      <c r="Y79" s="126"/>
    </row>
    <row r="80">
      <c r="A80" s="126"/>
      <c r="B80" s="142">
        <v>46071.0</v>
      </c>
      <c r="C80" s="146"/>
      <c r="D80" s="129" t="s">
        <v>31</v>
      </c>
      <c r="E80" s="143">
        <v>3.5272266502485E14</v>
      </c>
      <c r="F80" s="130" t="s">
        <v>1229</v>
      </c>
      <c r="G80" s="143" t="s">
        <v>11</v>
      </c>
      <c r="H80" s="126"/>
      <c r="I80" s="132"/>
      <c r="J80" s="146" t="s">
        <v>49</v>
      </c>
      <c r="K80" s="126"/>
      <c r="L80" s="146" t="s">
        <v>10</v>
      </c>
      <c r="M80" s="134" t="str">
        <f t="shared" si="1"/>
        <v>AVAILABLE</v>
      </c>
      <c r="N80" s="134" t="str">
        <f t="array" ref="N80">IF(M80="LOANED / ON KOL", INDEX('Step 3 FOC Request'!$G:$G, MATCH(1, ('Step 3 FOC Request'!$A:$A=W80) * ('Step 3 FOC Request'!$F:$F=E80), 0)), "-")</f>
        <v>-</v>
      </c>
      <c r="O80" s="126"/>
      <c r="P80" s="126"/>
      <c r="Q80" s="148"/>
      <c r="R80" s="126"/>
      <c r="U80" s="126"/>
      <c r="V80" s="126"/>
      <c r="W80" s="135">
        <f>MAXIFS('Step 3 FOC Request'!$A:$A, 'Step 3 FOC Request'!$F:$F, $E80)</f>
        <v>0</v>
      </c>
      <c r="X80" s="135">
        <f>MAXIFS('Step 4 FOC Return'!$A:$A, 'Step 4 FOC Return'!$E:$E, $E80)</f>
        <v>0</v>
      </c>
      <c r="Y80" s="126"/>
    </row>
    <row r="81">
      <c r="A81" s="126"/>
      <c r="B81" s="142">
        <v>46071.0</v>
      </c>
      <c r="C81" s="146"/>
      <c r="D81" s="129" t="s">
        <v>31</v>
      </c>
      <c r="E81" s="143">
        <v>3.5000921000167E14</v>
      </c>
      <c r="F81" s="130" t="s">
        <v>1201</v>
      </c>
      <c r="G81" s="143" t="s">
        <v>19</v>
      </c>
      <c r="H81" s="126"/>
      <c r="I81" s="132"/>
      <c r="J81" s="146" t="s">
        <v>50</v>
      </c>
      <c r="K81" s="126"/>
      <c r="L81" s="146" t="s">
        <v>10</v>
      </c>
      <c r="M81" s="134" t="str">
        <f t="shared" si="1"/>
        <v>AVAILABLE</v>
      </c>
      <c r="N81" s="134" t="str">
        <f t="array" ref="N81">IF(M81="LOANED / ON KOL", INDEX('Step 3 FOC Request'!$G:$G, MATCH(1, ('Step 3 FOC Request'!$A:$A=W81) * ('Step 3 FOC Request'!$F:$F=E81), 0)), "-")</f>
        <v>-</v>
      </c>
      <c r="O81" s="126"/>
      <c r="P81" s="126"/>
      <c r="Q81" s="148"/>
      <c r="R81" s="126"/>
      <c r="U81" s="126"/>
      <c r="V81" s="126"/>
      <c r="W81" s="135">
        <f>MAXIFS('Step 3 FOC Request'!$A:$A, 'Step 3 FOC Request'!$F:$F, $E81)</f>
        <v>0</v>
      </c>
      <c r="X81" s="135">
        <f>MAXIFS('Step 4 FOC Return'!$A:$A, 'Step 4 FOC Return'!$E:$E, $E81)</f>
        <v>0</v>
      </c>
      <c r="Y81" s="126"/>
    </row>
    <row r="82">
      <c r="A82" s="126"/>
      <c r="B82" s="142">
        <v>46071.0</v>
      </c>
      <c r="C82" s="146"/>
      <c r="D82" s="129" t="s">
        <v>31</v>
      </c>
      <c r="E82" s="143">
        <v>3.51298320096238E14</v>
      </c>
      <c r="F82" s="130" t="s">
        <v>1228</v>
      </c>
      <c r="G82" s="146"/>
      <c r="H82" s="126"/>
      <c r="I82" s="132"/>
      <c r="J82" s="146" t="s">
        <v>24</v>
      </c>
      <c r="K82" s="126"/>
      <c r="L82" s="146" t="s">
        <v>10</v>
      </c>
      <c r="M82" s="134" t="str">
        <f t="shared" si="1"/>
        <v>LOANED / ON KOL</v>
      </c>
      <c r="N82" s="134" t="str">
        <f t="array" ref="N82">IF(M82="LOANED / ON KOL", INDEX('Step 3 FOC Request'!$G:$G, MATCH(1, ('Step 3 FOC Request'!$A:$A=W82) * ('Step 3 FOC Request'!$F:$F=E82), 0)), "-")</f>
        <v>Dico Ricardo</v>
      </c>
      <c r="O82" s="126"/>
      <c r="P82" s="126"/>
      <c r="Q82" s="148"/>
      <c r="R82" s="126"/>
      <c r="U82" s="126"/>
      <c r="V82" s="126"/>
      <c r="W82" s="135">
        <f>MAXIFS('Step 3 FOC Request'!$A:$A, 'Step 3 FOC Request'!$F:$F, $E82)</f>
        <v>46073.61446</v>
      </c>
      <c r="X82" s="135">
        <f>MAXIFS('Step 4 FOC Return'!$A:$A, 'Step 4 FOC Return'!$E:$E, $E82)</f>
        <v>0</v>
      </c>
      <c r="Y82" s="126"/>
    </row>
    <row r="83">
      <c r="A83" s="126"/>
      <c r="B83" s="142">
        <v>46071.0</v>
      </c>
      <c r="C83" s="146"/>
      <c r="D83" s="129" t="s">
        <v>31</v>
      </c>
      <c r="E83" s="143">
        <v>3.50798022214048E14</v>
      </c>
      <c r="F83" s="130" t="s">
        <v>1230</v>
      </c>
      <c r="G83" s="146"/>
      <c r="H83" s="126"/>
      <c r="I83" s="132"/>
      <c r="J83" s="146"/>
      <c r="K83" s="126"/>
      <c r="L83" s="146" t="s">
        <v>10</v>
      </c>
      <c r="M83" s="134" t="str">
        <f t="shared" si="1"/>
        <v>LOANED / ON KOL</v>
      </c>
      <c r="N83" s="134" t="str">
        <f t="array" ref="N83">IF(M83="LOANED / ON KOL", INDEX('Step 3 FOC Request'!$G:$G, MATCH(1, ('Step 3 FOC Request'!$A:$A=W83) * ('Step 3 FOC Request'!$F:$F=E83), 0)), "-")</f>
        <v>Nurina Khansa </v>
      </c>
      <c r="O83" s="126"/>
      <c r="P83" s="148" t="s">
        <v>1231</v>
      </c>
      <c r="Q83" s="148"/>
      <c r="R83" s="126"/>
      <c r="U83" s="126"/>
      <c r="V83" s="126"/>
      <c r="W83" s="135">
        <f>MAXIFS('Step 3 FOC Request'!$A:$A, 'Step 3 FOC Request'!$F:$F, $E83)</f>
        <v>46078.49273</v>
      </c>
      <c r="X83" s="135">
        <f>MAXIFS('Step 4 FOC Return'!$A:$A, 'Step 4 FOC Return'!$E:$E, $E83)</f>
        <v>0</v>
      </c>
      <c r="Y83" s="126"/>
    </row>
    <row r="84">
      <c r="A84" s="126"/>
      <c r="B84" s="142">
        <v>46071.0</v>
      </c>
      <c r="C84" s="146"/>
      <c r="D84" s="129" t="s">
        <v>31</v>
      </c>
      <c r="E84" s="143">
        <v>3.54166470027385E14</v>
      </c>
      <c r="F84" s="130" t="s">
        <v>1232</v>
      </c>
      <c r="G84" s="143" t="s">
        <v>11</v>
      </c>
      <c r="H84" s="126"/>
      <c r="I84" s="132"/>
      <c r="J84" s="146"/>
      <c r="K84" s="126"/>
      <c r="L84" s="146" t="s">
        <v>10</v>
      </c>
      <c r="M84" s="134" t="str">
        <f t="shared" si="1"/>
        <v>AVAILABLE</v>
      </c>
      <c r="N84" s="134" t="str">
        <f t="array" ref="N84">IF(M84="LOANED / ON KOL", INDEX('Step 3 FOC Request'!$G:$G, MATCH(1, ('Step 3 FOC Request'!$A:$A=W84) * ('Step 3 FOC Request'!$F:$F=E84), 0)), "-")</f>
        <v>-</v>
      </c>
      <c r="O84" s="126"/>
      <c r="P84" s="126"/>
      <c r="Q84" s="126"/>
      <c r="R84" s="126"/>
      <c r="U84" s="126"/>
      <c r="V84" s="126"/>
      <c r="W84" s="135">
        <f>MAXIFS('Step 3 FOC Request'!$A:$A, 'Step 3 FOC Request'!$F:$F, $E84)</f>
        <v>0</v>
      </c>
      <c r="X84" s="135">
        <f>MAXIFS('Step 4 FOC Return'!$A:$A, 'Step 4 FOC Return'!$E:$E, $E84)</f>
        <v>0</v>
      </c>
      <c r="Y84" s="126"/>
    </row>
    <row r="85">
      <c r="A85" s="126"/>
      <c r="B85" s="142">
        <v>46071.0</v>
      </c>
      <c r="C85" s="146"/>
      <c r="D85" s="129" t="s">
        <v>31</v>
      </c>
      <c r="E85" s="143">
        <v>3.512983200024E14</v>
      </c>
      <c r="F85" s="130" t="s">
        <v>1233</v>
      </c>
      <c r="G85" s="146"/>
      <c r="H85" s="126"/>
      <c r="I85" s="132"/>
      <c r="J85" s="146" t="s">
        <v>24</v>
      </c>
      <c r="K85" s="126"/>
      <c r="L85" s="146" t="s">
        <v>10</v>
      </c>
      <c r="M85" s="134" t="str">
        <f t="shared" si="1"/>
        <v>AVAILABLE</v>
      </c>
      <c r="N85" s="134" t="str">
        <f t="array" ref="N85">IF(M85="LOANED / ON KOL", INDEX('Step 3 FOC Request'!$G:$G, MATCH(1, ('Step 3 FOC Request'!$A:$A=W85) * ('Step 3 FOC Request'!$F:$F=E85), 0)), "-")</f>
        <v>-</v>
      </c>
      <c r="O85" s="126"/>
      <c r="P85" s="126"/>
      <c r="Q85" s="126"/>
      <c r="R85" s="126"/>
      <c r="U85" s="126"/>
      <c r="V85" s="126"/>
      <c r="W85" s="135">
        <f>MAXIFS('Step 3 FOC Request'!$A:$A, 'Step 3 FOC Request'!$F:$F, $E85)</f>
        <v>0</v>
      </c>
      <c r="X85" s="135">
        <f>MAXIFS('Step 4 FOC Return'!$A:$A, 'Step 4 FOC Return'!$E:$E, $E85)</f>
        <v>0</v>
      </c>
      <c r="Y85" s="126"/>
    </row>
    <row r="86">
      <c r="A86" s="126"/>
      <c r="B86" s="142">
        <v>46071.0</v>
      </c>
      <c r="C86" s="146"/>
      <c r="D86" s="129" t="s">
        <v>31</v>
      </c>
      <c r="E86" s="143">
        <v>3.54922130003632E14</v>
      </c>
      <c r="F86" s="130" t="s">
        <v>1202</v>
      </c>
      <c r="G86" s="143" t="s">
        <v>19</v>
      </c>
      <c r="H86" s="126"/>
      <c r="I86" s="132"/>
      <c r="J86" s="146" t="s">
        <v>46</v>
      </c>
      <c r="K86" s="126"/>
      <c r="L86" s="146" t="s">
        <v>10</v>
      </c>
      <c r="M86" s="134" t="str">
        <f t="shared" si="1"/>
        <v>AVAILABLE</v>
      </c>
      <c r="N86" s="134" t="str">
        <f t="array" ref="N86">IF(M86="LOANED / ON KOL", INDEX('Step 3 FOC Request'!$G:$G, MATCH(1, ('Step 3 FOC Request'!$A:$A=W86) * ('Step 3 FOC Request'!$F:$F=E86), 0)), "-")</f>
        <v>-</v>
      </c>
      <c r="O86" s="126"/>
      <c r="P86" s="126"/>
      <c r="Q86" s="126"/>
      <c r="R86" s="126"/>
      <c r="U86" s="126"/>
      <c r="V86" s="126"/>
      <c r="W86" s="135">
        <f>MAXIFS('Step 3 FOC Request'!$A:$A, 'Step 3 FOC Request'!$F:$F, $E86)</f>
        <v>0</v>
      </c>
      <c r="X86" s="135">
        <f>MAXIFS('Step 4 FOC Return'!$A:$A, 'Step 4 FOC Return'!$E:$E, $E86)</f>
        <v>0</v>
      </c>
      <c r="Y86" s="126"/>
    </row>
    <row r="87">
      <c r="A87" s="126"/>
      <c r="B87" s="142">
        <v>46071.0</v>
      </c>
      <c r="C87" s="146"/>
      <c r="D87" s="129" t="s">
        <v>31</v>
      </c>
      <c r="E87" s="143">
        <v>3.51298320105054E14</v>
      </c>
      <c r="F87" s="130" t="s">
        <v>1228</v>
      </c>
      <c r="G87" s="146"/>
      <c r="H87" s="126"/>
      <c r="I87" s="132"/>
      <c r="J87" s="146" t="s">
        <v>46</v>
      </c>
      <c r="K87" s="126"/>
      <c r="L87" s="146" t="s">
        <v>10</v>
      </c>
      <c r="M87" s="134" t="str">
        <f t="shared" si="1"/>
        <v>AVAILABLE</v>
      </c>
      <c r="N87" s="134" t="str">
        <f t="array" ref="N87">IF(M87="LOANED / ON KOL", INDEX('Step 3 FOC Request'!$G:$G, MATCH(1, ('Step 3 FOC Request'!$A:$A=W87) * ('Step 3 FOC Request'!$F:$F=E87), 0)), "-")</f>
        <v>-</v>
      </c>
      <c r="O87" s="126"/>
      <c r="P87" s="126"/>
      <c r="Q87" s="126"/>
      <c r="R87" s="126"/>
      <c r="U87" s="126"/>
      <c r="V87" s="126"/>
      <c r="W87" s="135">
        <f>MAXIFS('Step 3 FOC Request'!$A:$A, 'Step 3 FOC Request'!$F:$F, $E87)</f>
        <v>0</v>
      </c>
      <c r="X87" s="135">
        <f>MAXIFS('Step 4 FOC Return'!$A:$A, 'Step 4 FOC Return'!$E:$E, $E87)</f>
        <v>0</v>
      </c>
      <c r="Y87" s="126"/>
    </row>
    <row r="88">
      <c r="A88" s="126"/>
      <c r="B88" s="142">
        <v>46071.0</v>
      </c>
      <c r="C88" s="146"/>
      <c r="D88" s="129" t="s">
        <v>31</v>
      </c>
      <c r="E88" s="143">
        <v>3.55500720229855E14</v>
      </c>
      <c r="F88" s="130" t="s">
        <v>1234</v>
      </c>
      <c r="G88" s="146"/>
      <c r="H88" s="126"/>
      <c r="I88" s="132"/>
      <c r="J88" s="146"/>
      <c r="K88" s="126"/>
      <c r="L88" s="146" t="s">
        <v>10</v>
      </c>
      <c r="M88" s="134" t="str">
        <f t="shared" si="1"/>
        <v>AVAILABLE</v>
      </c>
      <c r="N88" s="134" t="str">
        <f t="array" ref="N88">IF(M88="LOANED / ON KOL", INDEX('Step 3 FOC Request'!$G:$G, MATCH(1, ('Step 3 FOC Request'!$A:$A=W88) * ('Step 3 FOC Request'!$F:$F=E88), 0)), "-")</f>
        <v>-</v>
      </c>
      <c r="O88" s="126"/>
      <c r="P88" s="126"/>
      <c r="Q88" s="126"/>
      <c r="R88" s="126"/>
      <c r="U88" s="126"/>
      <c r="V88" s="126"/>
      <c r="W88" s="135">
        <f>MAXIFS('Step 3 FOC Request'!$A:$A, 'Step 3 FOC Request'!$F:$F, $E88)</f>
        <v>0</v>
      </c>
      <c r="X88" s="135">
        <f>MAXIFS('Step 4 FOC Return'!$A:$A, 'Step 4 FOC Return'!$E:$E, $E88)</f>
        <v>0</v>
      </c>
      <c r="Y88" s="126"/>
    </row>
    <row r="89">
      <c r="A89" s="126"/>
      <c r="B89" s="142">
        <v>46071.0</v>
      </c>
      <c r="C89" s="146"/>
      <c r="D89" s="129" t="s">
        <v>31</v>
      </c>
      <c r="E89" s="143">
        <v>3.55500720299494E14</v>
      </c>
      <c r="F89" s="130" t="s">
        <v>1235</v>
      </c>
      <c r="G89" s="146"/>
      <c r="H89" s="126"/>
      <c r="I89" s="132"/>
      <c r="J89" s="146"/>
      <c r="K89" s="126"/>
      <c r="L89" s="146" t="s">
        <v>10</v>
      </c>
      <c r="M89" s="134" t="str">
        <f t="shared" si="1"/>
        <v>AVAILABLE</v>
      </c>
      <c r="N89" s="134" t="str">
        <f t="array" ref="N89">IF(M89="LOANED / ON KOL", INDEX('Step 3 FOC Request'!$G:$G, MATCH(1, ('Step 3 FOC Request'!$A:$A=W89) * ('Step 3 FOC Request'!$F:$F=E89), 0)), "-")</f>
        <v>-</v>
      </c>
      <c r="O89" s="126"/>
      <c r="P89" s="126"/>
      <c r="Q89" s="126"/>
      <c r="R89" s="126"/>
      <c r="U89" s="126"/>
      <c r="V89" s="126"/>
      <c r="W89" s="135">
        <f>MAXIFS('Step 3 FOC Request'!$A:$A, 'Step 3 FOC Request'!$F:$F, $E89)</f>
        <v>0</v>
      </c>
      <c r="X89" s="135">
        <f>MAXIFS('Step 4 FOC Return'!$A:$A, 'Step 4 FOC Return'!$E:$E, $E89)</f>
        <v>0</v>
      </c>
      <c r="Y89" s="126"/>
    </row>
    <row r="90">
      <c r="A90" s="126"/>
      <c r="B90" s="142">
        <v>46071.0</v>
      </c>
      <c r="C90" s="146"/>
      <c r="D90" s="129" t="s">
        <v>31</v>
      </c>
      <c r="E90" s="143">
        <v>3.55851150277777E14</v>
      </c>
      <c r="F90" s="130" t="s">
        <v>1236</v>
      </c>
      <c r="G90" s="143" t="s">
        <v>19</v>
      </c>
      <c r="H90" s="126"/>
      <c r="I90" s="132"/>
      <c r="J90" s="143" t="s">
        <v>47</v>
      </c>
      <c r="K90" s="126"/>
      <c r="L90" s="146" t="s">
        <v>10</v>
      </c>
      <c r="M90" s="134" t="str">
        <f t="shared" si="1"/>
        <v>AVAILABLE</v>
      </c>
      <c r="N90" s="134" t="str">
        <f t="array" ref="N90">IF(M90="LOANED / ON KOL", INDEX('Step 3 FOC Request'!$G:$G, MATCH(1, ('Step 3 FOC Request'!$A:$A=W90) * ('Step 3 FOC Request'!$F:$F=E90), 0)), "-")</f>
        <v>-</v>
      </c>
      <c r="O90" s="126"/>
      <c r="P90" s="126"/>
      <c r="Q90" s="126"/>
      <c r="R90" s="126"/>
      <c r="U90" s="126"/>
      <c r="V90" s="126"/>
      <c r="W90" s="135">
        <f>MAXIFS('Step 3 FOC Request'!$A:$A, 'Step 3 FOC Request'!$F:$F, $E90)</f>
        <v>0</v>
      </c>
      <c r="X90" s="135">
        <f>MAXIFS('Step 4 FOC Return'!$A:$A, 'Step 4 FOC Return'!$E:$E, $E90)</f>
        <v>0</v>
      </c>
      <c r="Y90" s="126"/>
    </row>
    <row r="91">
      <c r="A91" s="126"/>
      <c r="B91" s="142">
        <v>46071.0</v>
      </c>
      <c r="C91" s="146"/>
      <c r="D91" s="129" t="s">
        <v>31</v>
      </c>
      <c r="E91" s="143">
        <v>3.55851150217377E14</v>
      </c>
      <c r="F91" s="130" t="s">
        <v>1237</v>
      </c>
      <c r="G91" s="143" t="s">
        <v>19</v>
      </c>
      <c r="H91" s="126"/>
      <c r="I91" s="132"/>
      <c r="J91" s="146" t="s">
        <v>47</v>
      </c>
      <c r="K91" s="126"/>
      <c r="L91" s="146" t="s">
        <v>10</v>
      </c>
      <c r="M91" s="134" t="str">
        <f t="shared" si="1"/>
        <v>LOANED / ON KOL</v>
      </c>
      <c r="N91" s="134" t="str">
        <f t="array" ref="N91">IF(M91="LOANED / ON KOL", INDEX('Step 3 FOC Request'!$G:$G, MATCH(1, ('Step 3 FOC Request'!$A:$A=W91) * ('Step 3 FOC Request'!$F:$F=E91), 0)), "-")</f>
        <v>Mang Ucup</v>
      </c>
      <c r="O91" s="126"/>
      <c r="P91" s="126"/>
      <c r="Q91" s="126"/>
      <c r="R91" s="126"/>
      <c r="U91" s="126"/>
      <c r="V91" s="126"/>
      <c r="W91" s="135">
        <f>MAXIFS('Step 3 FOC Request'!$A:$A, 'Step 3 FOC Request'!$F:$F, $E91)</f>
        <v>46090.77433</v>
      </c>
      <c r="X91" s="135">
        <f>MAXIFS('Step 4 FOC Return'!$A:$A, 'Step 4 FOC Return'!$E:$E, $E91)</f>
        <v>0</v>
      </c>
      <c r="Y91" s="126"/>
    </row>
    <row r="92">
      <c r="A92" s="126"/>
      <c r="B92" s="142">
        <v>46071.0</v>
      </c>
      <c r="C92" s="146"/>
      <c r="D92" s="143" t="s">
        <v>42</v>
      </c>
      <c r="E92" s="143" t="s">
        <v>1024</v>
      </c>
      <c r="F92" s="130" t="s">
        <v>1238</v>
      </c>
      <c r="G92" s="146" t="s">
        <v>11</v>
      </c>
      <c r="H92" s="126"/>
      <c r="I92" s="132"/>
      <c r="J92" s="146"/>
      <c r="K92" s="126"/>
      <c r="L92" s="146" t="s">
        <v>10</v>
      </c>
      <c r="M92" s="134" t="str">
        <f t="shared" si="1"/>
        <v>AVAILABLE</v>
      </c>
      <c r="N92" s="134" t="str">
        <f t="array" ref="N92">IF(M92="LOANED / ON KOL", INDEX('Step 3 FOC Request'!$G:$G, MATCH(1, ('Step 3 FOC Request'!$A:$A=W92) * ('Step 3 FOC Request'!$F:$F=E92), 0)), "-")</f>
        <v>-</v>
      </c>
      <c r="O92" s="126"/>
      <c r="P92" s="126"/>
      <c r="Q92" s="126"/>
      <c r="R92" s="126"/>
      <c r="U92" s="126"/>
      <c r="V92" s="126"/>
      <c r="W92" s="135">
        <f>MAXIFS('Step 3 FOC Request'!$A:$A, 'Step 3 FOC Request'!$F:$F, $E92)</f>
        <v>0</v>
      </c>
      <c r="X92" s="135">
        <f>MAXIFS('Step 4 FOC Return'!$A:$A, 'Step 4 FOC Return'!$E:$E, $E92)</f>
        <v>0</v>
      </c>
      <c r="Y92" s="126"/>
    </row>
    <row r="93">
      <c r="A93" s="126"/>
      <c r="B93" s="142">
        <v>46071.0</v>
      </c>
      <c r="C93" s="146"/>
      <c r="D93" s="143" t="s">
        <v>42</v>
      </c>
      <c r="E93" s="143" t="s">
        <v>1006</v>
      </c>
      <c r="F93" s="130" t="s">
        <v>1238</v>
      </c>
      <c r="G93" s="146" t="s">
        <v>11</v>
      </c>
      <c r="H93" s="126"/>
      <c r="I93" s="132"/>
      <c r="J93" s="146"/>
      <c r="K93" s="126"/>
      <c r="L93" s="146" t="s">
        <v>10</v>
      </c>
      <c r="M93" s="134" t="str">
        <f t="shared" si="1"/>
        <v>AVAILABLE</v>
      </c>
      <c r="N93" s="134" t="str">
        <f t="array" ref="N93">IF(M93="LOANED / ON KOL", INDEX('Step 3 FOC Request'!$G:$G, MATCH(1, ('Step 3 FOC Request'!$A:$A=W93) * ('Step 3 FOC Request'!$F:$F=E93), 0)), "-")</f>
        <v>-</v>
      </c>
      <c r="O93" s="126"/>
      <c r="P93" s="126"/>
      <c r="Q93" s="126"/>
      <c r="R93" s="126"/>
      <c r="U93" s="126"/>
      <c r="V93" s="126"/>
      <c r="W93" s="135">
        <f>MAXIFS('Step 3 FOC Request'!$A:$A, 'Step 3 FOC Request'!$F:$F, $E93)</f>
        <v>0</v>
      </c>
      <c r="X93" s="135">
        <f>MAXIFS('Step 4 FOC Return'!$A:$A, 'Step 4 FOC Return'!$E:$E, $E93)</f>
        <v>0</v>
      </c>
      <c r="Y93" s="126"/>
    </row>
    <row r="94">
      <c r="A94" s="126"/>
      <c r="B94" s="142">
        <v>46071.0</v>
      </c>
      <c r="C94" s="146"/>
      <c r="D94" s="143" t="s">
        <v>42</v>
      </c>
      <c r="E94" s="143" t="s">
        <v>1016</v>
      </c>
      <c r="F94" s="130" t="s">
        <v>1238</v>
      </c>
      <c r="G94" s="146" t="s">
        <v>11</v>
      </c>
      <c r="H94" s="126"/>
      <c r="I94" s="132"/>
      <c r="J94" s="146"/>
      <c r="K94" s="126"/>
      <c r="L94" s="146" t="s">
        <v>10</v>
      </c>
      <c r="M94" s="134" t="str">
        <f t="shared" si="1"/>
        <v>AVAILABLE</v>
      </c>
      <c r="N94" s="134" t="str">
        <f t="array" ref="N94">IF(M94="LOANED / ON KOL", INDEX('Step 3 FOC Request'!$G:$G, MATCH(1, ('Step 3 FOC Request'!$A:$A=W94) * ('Step 3 FOC Request'!$F:$F=E94), 0)), "-")</f>
        <v>-</v>
      </c>
      <c r="O94" s="126"/>
      <c r="P94" s="126"/>
      <c r="Q94" s="126"/>
      <c r="R94" s="126"/>
      <c r="U94" s="126"/>
      <c r="V94" s="126"/>
      <c r="W94" s="135">
        <f>MAXIFS('Step 3 FOC Request'!$A:$A, 'Step 3 FOC Request'!$F:$F, $E94)</f>
        <v>0</v>
      </c>
      <c r="X94" s="135">
        <f>MAXIFS('Step 4 FOC Return'!$A:$A, 'Step 4 FOC Return'!$E:$E, $E94)</f>
        <v>0</v>
      </c>
      <c r="Y94" s="126"/>
    </row>
    <row r="95">
      <c r="A95" s="126"/>
      <c r="B95" s="142">
        <v>46071.0</v>
      </c>
      <c r="C95" s="146"/>
      <c r="D95" s="143" t="s">
        <v>42</v>
      </c>
      <c r="E95" s="143" t="s">
        <v>1020</v>
      </c>
      <c r="F95" s="130" t="s">
        <v>1238</v>
      </c>
      <c r="G95" s="146" t="s">
        <v>11</v>
      </c>
      <c r="H95" s="126"/>
      <c r="I95" s="132"/>
      <c r="J95" s="146"/>
      <c r="K95" s="126"/>
      <c r="L95" s="146" t="s">
        <v>10</v>
      </c>
      <c r="M95" s="134" t="str">
        <f t="shared" si="1"/>
        <v>AVAILABLE</v>
      </c>
      <c r="N95" s="134" t="str">
        <f t="array" ref="N95">IF(M95="LOANED / ON KOL", INDEX('Step 3 FOC Request'!$G:$G, MATCH(1, ('Step 3 FOC Request'!$A:$A=W95) * ('Step 3 FOC Request'!$F:$F=E95), 0)), "-")</f>
        <v>-</v>
      </c>
      <c r="O95" s="126"/>
      <c r="P95" s="126"/>
      <c r="Q95" s="126"/>
      <c r="R95" s="126"/>
      <c r="U95" s="126"/>
      <c r="V95" s="126"/>
      <c r="W95" s="135">
        <f>MAXIFS('Step 3 FOC Request'!$A:$A, 'Step 3 FOC Request'!$F:$F, $E95)</f>
        <v>0</v>
      </c>
      <c r="X95" s="135">
        <f>MAXIFS('Step 4 FOC Return'!$A:$A, 'Step 4 FOC Return'!$E:$E, $E95)</f>
        <v>0</v>
      </c>
      <c r="Y95" s="126"/>
    </row>
    <row r="96">
      <c r="A96" s="126"/>
      <c r="B96" s="142">
        <v>46071.0</v>
      </c>
      <c r="C96" s="146"/>
      <c r="D96" s="143" t="s">
        <v>42</v>
      </c>
      <c r="E96" s="143" t="s">
        <v>994</v>
      </c>
      <c r="F96" s="130" t="s">
        <v>1238</v>
      </c>
      <c r="G96" s="146" t="s">
        <v>19</v>
      </c>
      <c r="H96" s="126"/>
      <c r="I96" s="132"/>
      <c r="J96" s="146"/>
      <c r="K96" s="126"/>
      <c r="L96" s="146" t="s">
        <v>10</v>
      </c>
      <c r="M96" s="134" t="str">
        <f t="shared" si="1"/>
        <v>AVAILABLE</v>
      </c>
      <c r="N96" s="134" t="str">
        <f t="array" ref="N96">IF(M96="LOANED / ON KOL", INDEX('Step 3 FOC Request'!$G:$G, MATCH(1, ('Step 3 FOC Request'!$A:$A=W96) * ('Step 3 FOC Request'!$F:$F=E96), 0)), "-")</f>
        <v>-</v>
      </c>
      <c r="O96" s="126"/>
      <c r="P96" s="126"/>
      <c r="Q96" s="126"/>
      <c r="R96" s="126"/>
      <c r="U96" s="126"/>
      <c r="V96" s="126"/>
      <c r="W96" s="135">
        <f>MAXIFS('Step 3 FOC Request'!$A:$A, 'Step 3 FOC Request'!$F:$F, $E96)</f>
        <v>0</v>
      </c>
      <c r="X96" s="135">
        <f>MAXIFS('Step 4 FOC Return'!$A:$A, 'Step 4 FOC Return'!$E:$E, $E96)</f>
        <v>0</v>
      </c>
      <c r="Y96" s="126"/>
    </row>
    <row r="97">
      <c r="A97" s="126"/>
      <c r="B97" s="142">
        <v>46071.0</v>
      </c>
      <c r="C97" s="146"/>
      <c r="D97" s="143" t="s">
        <v>42</v>
      </c>
      <c r="E97" s="143" t="s">
        <v>992</v>
      </c>
      <c r="F97" s="130" t="s">
        <v>1238</v>
      </c>
      <c r="G97" s="146" t="s">
        <v>19</v>
      </c>
      <c r="H97" s="126"/>
      <c r="I97" s="132"/>
      <c r="J97" s="146"/>
      <c r="K97" s="126"/>
      <c r="L97" s="146" t="s">
        <v>10</v>
      </c>
      <c r="M97" s="134" t="str">
        <f t="shared" si="1"/>
        <v>AVAILABLE</v>
      </c>
      <c r="N97" s="134" t="str">
        <f t="array" ref="N97">IF(M97="LOANED / ON KOL", INDEX('Step 3 FOC Request'!$G:$G, MATCH(1, ('Step 3 FOC Request'!$A:$A=W97) * ('Step 3 FOC Request'!$F:$F=E97), 0)), "-")</f>
        <v>-</v>
      </c>
      <c r="O97" s="126"/>
      <c r="P97" s="126"/>
      <c r="Q97" s="126"/>
      <c r="R97" s="126"/>
      <c r="U97" s="126"/>
      <c r="V97" s="126"/>
      <c r="W97" s="135">
        <f>MAXIFS('Step 3 FOC Request'!$A:$A, 'Step 3 FOC Request'!$F:$F, $E97)</f>
        <v>0</v>
      </c>
      <c r="X97" s="135">
        <f>MAXIFS('Step 4 FOC Return'!$A:$A, 'Step 4 FOC Return'!$E:$E, $E97)</f>
        <v>0</v>
      </c>
      <c r="Y97" s="126"/>
    </row>
    <row r="98">
      <c r="A98" s="126"/>
      <c r="B98" s="142">
        <v>46071.0</v>
      </c>
      <c r="C98" s="146"/>
      <c r="D98" s="143" t="s">
        <v>42</v>
      </c>
      <c r="E98" s="143" t="s">
        <v>997</v>
      </c>
      <c r="F98" s="130" t="s">
        <v>1238</v>
      </c>
      <c r="G98" s="146" t="s">
        <v>19</v>
      </c>
      <c r="H98" s="126"/>
      <c r="I98" s="132"/>
      <c r="J98" s="146"/>
      <c r="K98" s="126"/>
      <c r="L98" s="146" t="s">
        <v>10</v>
      </c>
      <c r="M98" s="134" t="str">
        <f t="shared" si="1"/>
        <v>AVAILABLE</v>
      </c>
      <c r="N98" s="134" t="str">
        <f t="array" ref="N98">IF(M98="LOANED / ON KOL", INDEX('Step 3 FOC Request'!$G:$G, MATCH(1, ('Step 3 FOC Request'!$A:$A=W98) * ('Step 3 FOC Request'!$F:$F=E98), 0)), "-")</f>
        <v>-</v>
      </c>
      <c r="O98" s="126"/>
      <c r="P98" s="126"/>
      <c r="Q98" s="126"/>
      <c r="R98" s="126"/>
      <c r="U98" s="126"/>
      <c r="V98" s="126"/>
      <c r="W98" s="135">
        <f>MAXIFS('Step 3 FOC Request'!$A:$A, 'Step 3 FOC Request'!$F:$F, $E98)</f>
        <v>0</v>
      </c>
      <c r="X98" s="135">
        <f>MAXIFS('Step 4 FOC Return'!$A:$A, 'Step 4 FOC Return'!$E:$E, $E98)</f>
        <v>0</v>
      </c>
      <c r="Y98" s="126"/>
    </row>
    <row r="99">
      <c r="A99" s="126"/>
      <c r="B99" s="142">
        <v>46071.0</v>
      </c>
      <c r="C99" s="146"/>
      <c r="D99" s="143" t="s">
        <v>42</v>
      </c>
      <c r="E99" s="143" t="s">
        <v>999</v>
      </c>
      <c r="F99" s="130" t="s">
        <v>1238</v>
      </c>
      <c r="G99" s="146" t="s">
        <v>19</v>
      </c>
      <c r="H99" s="126"/>
      <c r="I99" s="132"/>
      <c r="J99" s="146"/>
      <c r="K99" s="126"/>
      <c r="L99" s="146" t="s">
        <v>10</v>
      </c>
      <c r="M99" s="134" t="str">
        <f t="shared" si="1"/>
        <v>AVAILABLE</v>
      </c>
      <c r="N99" s="134" t="str">
        <f t="array" ref="N99">IF(M99="LOANED / ON KOL", INDEX('Step 3 FOC Request'!$G:$G, MATCH(1, ('Step 3 FOC Request'!$A:$A=W99) * ('Step 3 FOC Request'!$F:$F=E99), 0)), "-")</f>
        <v>-</v>
      </c>
      <c r="O99" s="126"/>
      <c r="P99" s="126"/>
      <c r="Q99" s="126"/>
      <c r="R99" s="126"/>
      <c r="U99" s="126"/>
      <c r="V99" s="126"/>
      <c r="W99" s="135">
        <f>MAXIFS('Step 3 FOC Request'!$A:$A, 'Step 3 FOC Request'!$F:$F, $E99)</f>
        <v>0</v>
      </c>
      <c r="X99" s="135">
        <f>MAXIFS('Step 4 FOC Return'!$A:$A, 'Step 4 FOC Return'!$E:$E, $E99)</f>
        <v>0</v>
      </c>
      <c r="Y99" s="126"/>
    </row>
    <row r="100">
      <c r="A100" s="126"/>
      <c r="B100" s="142">
        <v>46071.0</v>
      </c>
      <c r="C100" s="146"/>
      <c r="D100" s="143" t="s">
        <v>42</v>
      </c>
      <c r="E100" s="143" t="s">
        <v>1003</v>
      </c>
      <c r="F100" s="130" t="s">
        <v>1238</v>
      </c>
      <c r="G100" s="146" t="s">
        <v>19</v>
      </c>
      <c r="H100" s="126"/>
      <c r="I100" s="132"/>
      <c r="J100" s="146"/>
      <c r="K100" s="126"/>
      <c r="L100" s="146" t="s">
        <v>10</v>
      </c>
      <c r="M100" s="134" t="str">
        <f t="shared" si="1"/>
        <v>AVAILABLE</v>
      </c>
      <c r="N100" s="134" t="str">
        <f t="array" ref="N100">IF(M100="LOANED / ON KOL", INDEX('Step 3 FOC Request'!$G:$G, MATCH(1, ('Step 3 FOC Request'!$A:$A=W100) * ('Step 3 FOC Request'!$F:$F=E100), 0)), "-")</f>
        <v>-</v>
      </c>
      <c r="O100" s="126"/>
      <c r="P100" s="126"/>
      <c r="Q100" s="126"/>
      <c r="R100" s="126"/>
      <c r="U100" s="126"/>
      <c r="V100" s="126"/>
      <c r="W100" s="135">
        <f>MAXIFS('Step 3 FOC Request'!$A:$A, 'Step 3 FOC Request'!$F:$F, $E100)</f>
        <v>0</v>
      </c>
      <c r="X100" s="135">
        <f>MAXIFS('Step 4 FOC Return'!$A:$A, 'Step 4 FOC Return'!$E:$E, $E100)</f>
        <v>0</v>
      </c>
      <c r="Y100" s="126"/>
    </row>
    <row r="101">
      <c r="A101" s="126"/>
      <c r="B101" s="142">
        <v>46071.0</v>
      </c>
      <c r="C101" s="143" t="s">
        <v>29</v>
      </c>
      <c r="D101" s="129" t="s">
        <v>31</v>
      </c>
      <c r="E101" s="143">
        <v>3.53456152000151E14</v>
      </c>
      <c r="F101" s="130" t="s">
        <v>1239</v>
      </c>
      <c r="G101" s="143" t="s">
        <v>11</v>
      </c>
      <c r="H101" s="126"/>
      <c r="I101" s="132"/>
      <c r="J101" s="143" t="s">
        <v>47</v>
      </c>
      <c r="K101" s="126"/>
      <c r="L101" s="148" t="s">
        <v>38</v>
      </c>
      <c r="M101" s="134" t="str">
        <f t="shared" si="1"/>
        <v>AVAILABLE</v>
      </c>
      <c r="N101" s="134" t="str">
        <f t="array" ref="N101">IF(M101="LOANED / ON KOL", INDEX('Step 3 FOC Request'!$G:$G, MATCH(1, ('Step 3 FOC Request'!$A:$A=W101) * ('Step 3 FOC Request'!$F:$F=E101), 0)), "-")</f>
        <v>-</v>
      </c>
      <c r="O101" s="126"/>
      <c r="P101" s="126"/>
      <c r="Q101" s="126"/>
      <c r="R101" s="126"/>
      <c r="U101" s="126"/>
      <c r="V101" s="126"/>
      <c r="W101" s="135">
        <f>MAXIFS('Step 3 FOC Request'!$A:$A, 'Step 3 FOC Request'!$F:$F, $E101)</f>
        <v>0</v>
      </c>
      <c r="X101" s="135">
        <f>MAXIFS('Step 4 FOC Return'!$A:$A, 'Step 4 FOC Return'!$E:$E, $E101)</f>
        <v>0</v>
      </c>
      <c r="Y101" s="126"/>
    </row>
    <row r="102">
      <c r="A102" s="126"/>
      <c r="B102" s="142">
        <v>46071.0</v>
      </c>
      <c r="C102" s="146"/>
      <c r="D102" s="143" t="s">
        <v>44</v>
      </c>
      <c r="E102" s="143" t="s">
        <v>813</v>
      </c>
      <c r="F102" s="130" t="s">
        <v>1240</v>
      </c>
      <c r="G102" s="143" t="s">
        <v>11</v>
      </c>
      <c r="H102" s="126"/>
      <c r="I102" s="132"/>
      <c r="J102" s="143" t="s">
        <v>48</v>
      </c>
      <c r="K102" s="126"/>
      <c r="L102" s="148" t="s">
        <v>38</v>
      </c>
      <c r="M102" s="134" t="str">
        <f t="shared" si="1"/>
        <v>AVAILABLE</v>
      </c>
      <c r="N102" s="134" t="str">
        <f t="array" ref="N102">IF(M102="LOANED / ON KOL", INDEX('Step 3 FOC Request'!$G:$G, MATCH(1, ('Step 3 FOC Request'!$A:$A=W102) * ('Step 3 FOC Request'!$F:$F=E102), 0)), "-")</f>
        <v>-</v>
      </c>
      <c r="O102" s="126"/>
      <c r="P102" s="126"/>
      <c r="Q102" s="126"/>
      <c r="R102" s="126"/>
      <c r="U102" s="126"/>
      <c r="V102" s="126"/>
      <c r="W102" s="135">
        <f>MAXIFS('Step 3 FOC Request'!$A:$A, 'Step 3 FOC Request'!$F:$F, $E102)</f>
        <v>0</v>
      </c>
      <c r="X102" s="135">
        <f>MAXIFS('Step 4 FOC Return'!$A:$A, 'Step 4 FOC Return'!$E:$E, $E102)</f>
        <v>0</v>
      </c>
      <c r="Y102" s="126"/>
    </row>
    <row r="103">
      <c r="A103" s="126"/>
      <c r="B103" s="142">
        <v>46071.0</v>
      </c>
      <c r="C103" s="143" t="s">
        <v>35</v>
      </c>
      <c r="D103" s="129" t="s">
        <v>31</v>
      </c>
      <c r="E103" s="143">
        <v>3.54312420025166E14</v>
      </c>
      <c r="F103" s="130" t="s">
        <v>1173</v>
      </c>
      <c r="G103" s="143" t="s">
        <v>11</v>
      </c>
      <c r="H103" s="126"/>
      <c r="I103" s="132"/>
      <c r="J103" s="143" t="s">
        <v>53</v>
      </c>
      <c r="K103" s="126"/>
      <c r="L103" s="148" t="s">
        <v>38</v>
      </c>
      <c r="M103" s="134" t="str">
        <f t="shared" si="1"/>
        <v>AVAILABLE</v>
      </c>
      <c r="N103" s="134" t="str">
        <f t="array" ref="N103">IF(M103="LOANED / ON KOL", INDEX('Step 3 FOC Request'!$G:$G, MATCH(1, ('Step 3 FOC Request'!$A:$A=W103) * ('Step 3 FOC Request'!$F:$F=E103), 0)), "-")</f>
        <v>-</v>
      </c>
      <c r="O103" s="126"/>
      <c r="P103" s="126"/>
      <c r="Q103" s="126"/>
      <c r="R103" s="126"/>
      <c r="U103" s="126"/>
      <c r="V103" s="126"/>
      <c r="W103" s="135">
        <f>MAXIFS('Step 3 FOC Request'!$A:$A, 'Step 3 FOC Request'!$F:$F, $E103)</f>
        <v>0</v>
      </c>
      <c r="X103" s="135">
        <f>MAXIFS('Step 4 FOC Return'!$A:$A, 'Step 4 FOC Return'!$E:$E, $E103)</f>
        <v>0</v>
      </c>
      <c r="Y103" s="126"/>
    </row>
    <row r="104">
      <c r="A104" s="126"/>
      <c r="B104" s="142">
        <v>46071.0</v>
      </c>
      <c r="C104" s="143" t="s">
        <v>35</v>
      </c>
      <c r="D104" s="129" t="s">
        <v>31</v>
      </c>
      <c r="E104" s="143">
        <v>3.54312420005721E14</v>
      </c>
      <c r="F104" s="130" t="s">
        <v>1241</v>
      </c>
      <c r="G104" s="143" t="s">
        <v>11</v>
      </c>
      <c r="H104" s="126"/>
      <c r="I104" s="132"/>
      <c r="J104" s="143" t="s">
        <v>53</v>
      </c>
      <c r="K104" s="126"/>
      <c r="L104" s="148" t="s">
        <v>38</v>
      </c>
      <c r="M104" s="134" t="str">
        <f t="shared" si="1"/>
        <v>AVAILABLE</v>
      </c>
      <c r="N104" s="134" t="str">
        <f t="array" ref="N104">IF(M104="LOANED / ON KOL", INDEX('Step 3 FOC Request'!$G:$G, MATCH(1, ('Step 3 FOC Request'!$A:$A=W104) * ('Step 3 FOC Request'!$F:$F=E104), 0)), "-")</f>
        <v>-</v>
      </c>
      <c r="O104" s="126"/>
      <c r="P104" s="126"/>
      <c r="Q104" s="126"/>
      <c r="R104" s="126"/>
      <c r="U104" s="126"/>
      <c r="V104" s="126"/>
      <c r="W104" s="135">
        <f>MAXIFS('Step 3 FOC Request'!$A:$A, 'Step 3 FOC Request'!$F:$F, $E104)</f>
        <v>0</v>
      </c>
      <c r="X104" s="135">
        <f>MAXIFS('Step 4 FOC Return'!$A:$A, 'Step 4 FOC Return'!$E:$E, $E104)</f>
        <v>0</v>
      </c>
      <c r="Y104" s="126"/>
    </row>
    <row r="105">
      <c r="A105" s="126"/>
      <c r="B105" s="142">
        <v>46071.0</v>
      </c>
      <c r="C105" s="143" t="s">
        <v>35</v>
      </c>
      <c r="D105" s="129" t="s">
        <v>31</v>
      </c>
      <c r="E105" s="143">
        <v>3.54312420002629E14</v>
      </c>
      <c r="F105" s="130" t="s">
        <v>1172</v>
      </c>
      <c r="G105" s="143" t="s">
        <v>11</v>
      </c>
      <c r="H105" s="126"/>
      <c r="I105" s="132"/>
      <c r="J105" s="143" t="s">
        <v>53</v>
      </c>
      <c r="K105" s="126"/>
      <c r="L105" s="148" t="s">
        <v>38</v>
      </c>
      <c r="M105" s="134" t="str">
        <f t="shared" si="1"/>
        <v>AVAILABLE</v>
      </c>
      <c r="N105" s="134" t="str">
        <f t="array" ref="N105">IF(M105="LOANED / ON KOL", INDEX('Step 3 FOC Request'!$G:$G, MATCH(1, ('Step 3 FOC Request'!$A:$A=W105) * ('Step 3 FOC Request'!$F:$F=E105), 0)), "-")</f>
        <v>-</v>
      </c>
      <c r="O105" s="126"/>
      <c r="P105" s="126"/>
      <c r="Q105" s="126"/>
      <c r="R105" s="126"/>
      <c r="U105" s="126"/>
      <c r="V105" s="126"/>
      <c r="W105" s="135">
        <f>MAXIFS('Step 3 FOC Request'!$A:$A, 'Step 3 FOC Request'!$F:$F, $E105)</f>
        <v>0</v>
      </c>
      <c r="X105" s="135">
        <f>MAXIFS('Step 4 FOC Return'!$A:$A, 'Step 4 FOC Return'!$E:$E, $E105)</f>
        <v>0</v>
      </c>
      <c r="Y105" s="126"/>
    </row>
    <row r="106">
      <c r="A106" s="126"/>
      <c r="B106" s="142">
        <v>46071.0</v>
      </c>
      <c r="C106" s="143" t="s">
        <v>35</v>
      </c>
      <c r="D106" s="129" t="s">
        <v>31</v>
      </c>
      <c r="E106" s="143">
        <v>3.507980222138E14</v>
      </c>
      <c r="F106" s="130" t="s">
        <v>1242</v>
      </c>
      <c r="G106" s="143" t="s">
        <v>11</v>
      </c>
      <c r="H106" s="126"/>
      <c r="I106" s="132"/>
      <c r="J106" s="143" t="s">
        <v>53</v>
      </c>
      <c r="K106" s="126"/>
      <c r="L106" s="148" t="s">
        <v>38</v>
      </c>
      <c r="M106" s="134" t="str">
        <f t="shared" si="1"/>
        <v>AVAILABLE</v>
      </c>
      <c r="N106" s="134" t="str">
        <f t="array" ref="N106">IF(M106="LOANED / ON KOL", INDEX('Step 3 FOC Request'!$G:$G, MATCH(1, ('Step 3 FOC Request'!$A:$A=W106) * ('Step 3 FOC Request'!$F:$F=E106), 0)), "-")</f>
        <v>-</v>
      </c>
      <c r="O106" s="126"/>
      <c r="P106" s="126"/>
      <c r="Q106" s="126"/>
      <c r="R106" s="126"/>
      <c r="U106" s="126"/>
      <c r="V106" s="126"/>
      <c r="W106" s="135">
        <f>MAXIFS('Step 3 FOC Request'!$A:$A, 'Step 3 FOC Request'!$F:$F, $E106)</f>
        <v>0</v>
      </c>
      <c r="X106" s="135">
        <f>MAXIFS('Step 4 FOC Return'!$A:$A, 'Step 4 FOC Return'!$E:$E, $E106)</f>
        <v>0</v>
      </c>
      <c r="Y106" s="126"/>
    </row>
    <row r="107">
      <c r="A107" s="126"/>
      <c r="B107" s="142">
        <v>46071.0</v>
      </c>
      <c r="C107" s="146"/>
      <c r="D107" s="143" t="s">
        <v>42</v>
      </c>
      <c r="E107" s="143" t="s">
        <v>1015</v>
      </c>
      <c r="F107" s="130" t="s">
        <v>1238</v>
      </c>
      <c r="G107" s="143" t="s">
        <v>11</v>
      </c>
      <c r="H107" s="126"/>
      <c r="I107" s="132"/>
      <c r="J107" s="146"/>
      <c r="K107" s="126"/>
      <c r="L107" s="148" t="s">
        <v>10</v>
      </c>
      <c r="M107" s="134" t="str">
        <f t="shared" si="1"/>
        <v>LOANED / ON KOL</v>
      </c>
      <c r="N107" s="134" t="str">
        <f t="array" ref="N107">IF(M107="LOANED / ON KOL", INDEX('Step 3 FOC Request'!$G:$G, MATCH(1, ('Step 3 FOC Request'!$A:$A=W107) * ('Step 3 FOC Request'!$F:$F=E107), 0)), "-")</f>
        <v>amorita lukprina</v>
      </c>
      <c r="O107" s="126"/>
      <c r="P107" s="126"/>
      <c r="Q107" s="126"/>
      <c r="R107" s="126"/>
      <c r="U107" s="126"/>
      <c r="V107" s="126"/>
      <c r="W107" s="135">
        <f>MAXIFS('Step 3 FOC Request'!$A:$A, 'Step 3 FOC Request'!$F:$F, $E107)</f>
        <v>46080.5981</v>
      </c>
      <c r="X107" s="135">
        <f>MAXIFS('Step 4 FOC Return'!$A:$A, 'Step 4 FOC Return'!$E:$E, $E107)</f>
        <v>0</v>
      </c>
      <c r="Y107" s="126"/>
    </row>
    <row r="108">
      <c r="A108" s="126"/>
      <c r="B108" s="142">
        <v>46071.0</v>
      </c>
      <c r="C108" s="146"/>
      <c r="D108" s="143" t="s">
        <v>42</v>
      </c>
      <c r="E108" s="143" t="s">
        <v>1011</v>
      </c>
      <c r="F108" s="130" t="s">
        <v>1238</v>
      </c>
      <c r="G108" s="143" t="s">
        <v>11</v>
      </c>
      <c r="H108" s="126"/>
      <c r="I108" s="132"/>
      <c r="J108" s="146"/>
      <c r="K108" s="126"/>
      <c r="L108" s="148" t="s">
        <v>10</v>
      </c>
      <c r="M108" s="134" t="str">
        <f t="shared" si="1"/>
        <v>LOANED / ON KOL</v>
      </c>
      <c r="N108" s="134" t="str">
        <f t="array" ref="N108">IF(M108="LOANED / ON KOL", INDEX('Step 3 FOC Request'!$G:$G, MATCH(1, ('Step 3 FOC Request'!$A:$A=W108) * ('Step 3 FOC Request'!$F:$F=E108), 0)), "-")</f>
        <v>melinda aristya</v>
      </c>
      <c r="O108" s="126"/>
      <c r="P108" s="126"/>
      <c r="Q108" s="126"/>
      <c r="R108" s="126"/>
      <c r="U108" s="126"/>
      <c r="V108" s="126"/>
      <c r="W108" s="135">
        <f>MAXIFS('Step 3 FOC Request'!$A:$A, 'Step 3 FOC Request'!$F:$F, $E108)</f>
        <v>46080.59632</v>
      </c>
      <c r="X108" s="135">
        <f>MAXIFS('Step 4 FOC Return'!$A:$A, 'Step 4 FOC Return'!$E:$E, $E108)</f>
        <v>0</v>
      </c>
      <c r="Y108" s="126"/>
    </row>
    <row r="109">
      <c r="A109" s="126"/>
      <c r="B109" s="142">
        <v>46071.0</v>
      </c>
      <c r="C109" s="146"/>
      <c r="D109" s="143" t="s">
        <v>42</v>
      </c>
      <c r="E109" s="143" t="s">
        <v>995</v>
      </c>
      <c r="F109" s="130" t="s">
        <v>1238</v>
      </c>
      <c r="G109" s="143" t="s">
        <v>19</v>
      </c>
      <c r="H109" s="126"/>
      <c r="I109" s="132"/>
      <c r="J109" s="146"/>
      <c r="K109" s="126"/>
      <c r="L109" s="148" t="s">
        <v>10</v>
      </c>
      <c r="M109" s="134" t="str">
        <f t="shared" si="1"/>
        <v>AVAILABLE</v>
      </c>
      <c r="N109" s="134" t="str">
        <f t="array" ref="N109">IF(M109="LOANED / ON KOL", INDEX('Step 3 FOC Request'!$G:$G, MATCH(1, ('Step 3 FOC Request'!$A:$A=W109) * ('Step 3 FOC Request'!$F:$F=E109), 0)), "-")</f>
        <v>-</v>
      </c>
      <c r="O109" s="126"/>
      <c r="P109" s="126"/>
      <c r="Q109" s="126"/>
      <c r="R109" s="126"/>
      <c r="U109" s="126"/>
      <c r="V109" s="126"/>
      <c r="W109" s="135">
        <f>MAXIFS('Step 3 FOC Request'!$A:$A, 'Step 3 FOC Request'!$F:$F, $E109)</f>
        <v>0</v>
      </c>
      <c r="X109" s="135">
        <f>MAXIFS('Step 4 FOC Return'!$A:$A, 'Step 4 FOC Return'!$E:$E, $E109)</f>
        <v>0</v>
      </c>
      <c r="Y109" s="126"/>
    </row>
    <row r="110">
      <c r="A110" s="126"/>
      <c r="B110" s="142">
        <v>46071.0</v>
      </c>
      <c r="C110" s="146"/>
      <c r="D110" s="143" t="s">
        <v>42</v>
      </c>
      <c r="E110" s="143" t="s">
        <v>1023</v>
      </c>
      <c r="F110" s="130" t="s">
        <v>1238</v>
      </c>
      <c r="G110" s="143" t="s">
        <v>11</v>
      </c>
      <c r="H110" s="126"/>
      <c r="I110" s="132"/>
      <c r="J110" s="146"/>
      <c r="K110" s="126"/>
      <c r="L110" s="148" t="s">
        <v>10</v>
      </c>
      <c r="M110" s="134" t="str">
        <f t="shared" si="1"/>
        <v>AVAILABLE</v>
      </c>
      <c r="N110" s="134" t="str">
        <f t="array" ref="N110">IF(M110="LOANED / ON KOL", INDEX('Step 3 FOC Request'!$G:$G, MATCH(1, ('Step 3 FOC Request'!$A:$A=W110) * ('Step 3 FOC Request'!$F:$F=E110), 0)), "-")</f>
        <v>-</v>
      </c>
      <c r="O110" s="126"/>
      <c r="P110" s="126"/>
      <c r="Q110" s="126"/>
      <c r="R110" s="126"/>
      <c r="U110" s="126"/>
      <c r="V110" s="126"/>
      <c r="W110" s="135">
        <f>MAXIFS('Step 3 FOC Request'!$A:$A, 'Step 3 FOC Request'!$F:$F, $E110)</f>
        <v>0</v>
      </c>
      <c r="X110" s="135">
        <f>MAXIFS('Step 4 FOC Return'!$A:$A, 'Step 4 FOC Return'!$E:$E, $E110)</f>
        <v>0</v>
      </c>
      <c r="Y110" s="126"/>
    </row>
    <row r="111">
      <c r="A111" s="126"/>
      <c r="B111" s="142">
        <v>46071.0</v>
      </c>
      <c r="C111" s="146"/>
      <c r="D111" s="143" t="s">
        <v>42</v>
      </c>
      <c r="E111" s="143" t="s">
        <v>1000</v>
      </c>
      <c r="F111" s="130" t="s">
        <v>1238</v>
      </c>
      <c r="G111" s="143" t="s">
        <v>19</v>
      </c>
      <c r="H111" s="126"/>
      <c r="I111" s="132"/>
      <c r="J111" s="146"/>
      <c r="K111" s="126"/>
      <c r="L111" s="148" t="s">
        <v>10</v>
      </c>
      <c r="M111" s="134" t="str">
        <f t="shared" si="1"/>
        <v>LOANED / ON KOL</v>
      </c>
      <c r="N111" s="134" t="str">
        <f t="array" ref="N111">IF(M111="LOANED / ON KOL", INDEX('Step 3 FOC Request'!$G:$G, MATCH(1, ('Step 3 FOC Request'!$A:$A=W111) * ('Step 3 FOC Request'!$F:$F=E111), 0)), "-")</f>
        <v>Chikkita</v>
      </c>
      <c r="O111" s="126"/>
      <c r="P111" s="126"/>
      <c r="Q111" s="126"/>
      <c r="R111" s="126"/>
      <c r="U111" s="126"/>
      <c r="V111" s="126"/>
      <c r="W111" s="135">
        <f>MAXIFS('Step 3 FOC Request'!$A:$A, 'Step 3 FOC Request'!$F:$F, $E111)</f>
        <v>46079.42257</v>
      </c>
      <c r="X111" s="135">
        <f>MAXIFS('Step 4 FOC Return'!$A:$A, 'Step 4 FOC Return'!$E:$E, $E111)</f>
        <v>0</v>
      </c>
      <c r="Y111" s="126"/>
    </row>
    <row r="112">
      <c r="A112" s="126"/>
      <c r="B112" s="142">
        <v>46071.0</v>
      </c>
      <c r="C112" s="146"/>
      <c r="D112" s="143" t="s">
        <v>42</v>
      </c>
      <c r="E112" s="143" t="s">
        <v>1013</v>
      </c>
      <c r="F112" s="130" t="s">
        <v>1238</v>
      </c>
      <c r="G112" s="143" t="s">
        <v>11</v>
      </c>
      <c r="H112" s="126"/>
      <c r="I112" s="132"/>
      <c r="J112" s="146"/>
      <c r="K112" s="126"/>
      <c r="L112" s="148" t="s">
        <v>10</v>
      </c>
      <c r="M112" s="134" t="str">
        <f t="shared" si="1"/>
        <v>LOANED / ON KOL</v>
      </c>
      <c r="N112" s="134" t="str">
        <f t="array" ref="N112">IF(M112="LOANED / ON KOL", INDEX('Step 3 FOC Request'!$G:$G, MATCH(1, ('Step 3 FOC Request'!$A:$A=W112) * ('Step 3 FOC Request'!$F:$F=E112), 0)), "-")</f>
        <v>Joseph Sebastian</v>
      </c>
      <c r="O112" s="126"/>
      <c r="P112" s="126"/>
      <c r="Q112" s="126"/>
      <c r="R112" s="126"/>
      <c r="U112" s="126"/>
      <c r="V112" s="126"/>
      <c r="W112" s="135">
        <f>MAXIFS('Step 3 FOC Request'!$A:$A, 'Step 3 FOC Request'!$F:$F, $E112)</f>
        <v>46080.56616</v>
      </c>
      <c r="X112" s="135">
        <f>MAXIFS('Step 4 FOC Return'!$A:$A, 'Step 4 FOC Return'!$E:$E, $E112)</f>
        <v>0</v>
      </c>
      <c r="Y112" s="126"/>
    </row>
    <row r="113">
      <c r="A113" s="126"/>
      <c r="B113" s="142">
        <v>46073.0</v>
      </c>
      <c r="C113" s="146"/>
      <c r="D113" s="129" t="s">
        <v>31</v>
      </c>
      <c r="E113" s="143">
        <v>3.51298320082543E14</v>
      </c>
      <c r="F113" s="130" t="s">
        <v>1243</v>
      </c>
      <c r="G113" s="143"/>
      <c r="H113" s="126"/>
      <c r="I113" s="132"/>
      <c r="J113" s="143" t="s">
        <v>46</v>
      </c>
      <c r="K113" s="126"/>
      <c r="L113" s="148" t="s">
        <v>10</v>
      </c>
      <c r="M113" s="134" t="str">
        <f t="shared" si="1"/>
        <v>AVAILABLE</v>
      </c>
      <c r="N113" s="134" t="str">
        <f t="array" ref="N113">IF(M113="LOANED / ON KOL", INDEX('Step 3 FOC Request'!$G:$G, MATCH(1, ('Step 3 FOC Request'!$A:$A=W113) * ('Step 3 FOC Request'!$F:$F=E113), 0)), "-")</f>
        <v>-</v>
      </c>
      <c r="O113" s="126"/>
      <c r="P113" s="126"/>
      <c r="Q113" s="126"/>
      <c r="R113" s="126"/>
      <c r="U113" s="126"/>
      <c r="V113" s="126"/>
      <c r="W113" s="135">
        <f>MAXIFS('Step 3 FOC Request'!$A:$A, 'Step 3 FOC Request'!$F:$F, $E113)</f>
        <v>0</v>
      </c>
      <c r="X113" s="135">
        <f>MAXIFS('Step 4 FOC Return'!$A:$A, 'Step 4 FOC Return'!$E:$E, $E113)</f>
        <v>0</v>
      </c>
      <c r="Y113" s="126"/>
    </row>
    <row r="114">
      <c r="A114" s="126"/>
      <c r="B114" s="142">
        <v>46073.0</v>
      </c>
      <c r="C114" s="146"/>
      <c r="D114" s="129" t="s">
        <v>31</v>
      </c>
      <c r="E114" s="143">
        <v>3.52901540022673E14</v>
      </c>
      <c r="F114" s="130" t="s">
        <v>1213</v>
      </c>
      <c r="G114" s="146"/>
      <c r="H114" s="126"/>
      <c r="I114" s="132"/>
      <c r="J114" s="146"/>
      <c r="K114" s="126"/>
      <c r="L114" s="148" t="s">
        <v>10</v>
      </c>
      <c r="M114" s="134" t="str">
        <f t="shared" si="1"/>
        <v>AVAILABLE</v>
      </c>
      <c r="N114" s="134" t="str">
        <f t="array" ref="N114">IF(M114="LOANED / ON KOL", INDEX('Step 3 FOC Request'!$G:$G, MATCH(1, ('Step 3 FOC Request'!$A:$A=W114) * ('Step 3 FOC Request'!$F:$F=E114), 0)), "-")</f>
        <v>-</v>
      </c>
      <c r="O114" s="126"/>
      <c r="P114" s="149" t="s">
        <v>1244</v>
      </c>
      <c r="Q114" s="126"/>
      <c r="R114" s="126"/>
      <c r="U114" s="126"/>
      <c r="V114" s="126"/>
      <c r="W114" s="135">
        <f>MAXIFS('Step 3 FOC Request'!$A:$A, 'Step 3 FOC Request'!$F:$F, $E114)</f>
        <v>0</v>
      </c>
      <c r="X114" s="135">
        <f>MAXIFS('Step 4 FOC Return'!$A:$A, 'Step 4 FOC Return'!$E:$E, $E114)</f>
        <v>0</v>
      </c>
      <c r="Y114" s="126"/>
    </row>
    <row r="115">
      <c r="A115" s="126"/>
      <c r="B115" s="142">
        <v>46073.0</v>
      </c>
      <c r="C115" s="146"/>
      <c r="D115" s="129" t="s">
        <v>31</v>
      </c>
      <c r="E115" s="143">
        <v>3.54922130011429E14</v>
      </c>
      <c r="F115" s="130" t="s">
        <v>1202</v>
      </c>
      <c r="G115" s="143" t="s">
        <v>11</v>
      </c>
      <c r="H115" s="126"/>
      <c r="I115" s="132"/>
      <c r="J115" s="146"/>
      <c r="K115" s="126"/>
      <c r="L115" s="148" t="s">
        <v>10</v>
      </c>
      <c r="M115" s="134" t="str">
        <f t="shared" si="1"/>
        <v>AVAILABLE</v>
      </c>
      <c r="N115" s="134" t="str">
        <f t="array" ref="N115">IF(M115="LOANED / ON KOL", INDEX('Step 3 FOC Request'!$G:$G, MATCH(1, ('Step 3 FOC Request'!$A:$A=W115) * ('Step 3 FOC Request'!$F:$F=E115), 0)), "-")</f>
        <v>-</v>
      </c>
      <c r="O115" s="126"/>
      <c r="P115" s="126"/>
      <c r="Q115" s="126"/>
      <c r="R115" s="126"/>
      <c r="U115" s="126"/>
      <c r="V115" s="126"/>
      <c r="W115" s="135">
        <f>MAXIFS('Step 3 FOC Request'!$A:$A, 'Step 3 FOC Request'!$F:$F, $E115)</f>
        <v>0</v>
      </c>
      <c r="X115" s="135">
        <f>MAXIFS('Step 4 FOC Return'!$A:$A, 'Step 4 FOC Return'!$E:$E, $E115)</f>
        <v>0</v>
      </c>
      <c r="Y115" s="126"/>
    </row>
    <row r="116">
      <c r="A116" s="126"/>
      <c r="B116" s="142">
        <v>46073.0</v>
      </c>
      <c r="C116" s="146"/>
      <c r="D116" s="129" t="s">
        <v>31</v>
      </c>
      <c r="E116" s="143" t="s">
        <v>1245</v>
      </c>
      <c r="F116" s="130" t="s">
        <v>1202</v>
      </c>
      <c r="G116" s="143" t="s">
        <v>19</v>
      </c>
      <c r="H116" s="126"/>
      <c r="I116" s="132"/>
      <c r="J116" s="143" t="s">
        <v>46</v>
      </c>
      <c r="K116" s="126"/>
      <c r="L116" s="148" t="s">
        <v>10</v>
      </c>
      <c r="M116" s="134" t="str">
        <f t="shared" si="1"/>
        <v>AVAILABLE</v>
      </c>
      <c r="N116" s="134" t="str">
        <f t="array" ref="N116">IF(M116="LOANED / ON KOL", INDEX('Step 3 FOC Request'!$G:$G, MATCH(1, ('Step 3 FOC Request'!$A:$A=W116) * ('Step 3 FOC Request'!$F:$F=E116), 0)), "-")</f>
        <v>-</v>
      </c>
      <c r="O116" s="126"/>
      <c r="P116" s="126"/>
      <c r="Q116" s="126"/>
      <c r="R116" s="126"/>
      <c r="U116" s="126"/>
      <c r="V116" s="126"/>
      <c r="W116" s="135">
        <f>MAXIFS('Step 3 FOC Request'!$A:$A, 'Step 3 FOC Request'!$F:$F, $E116)</f>
        <v>0</v>
      </c>
      <c r="X116" s="135">
        <f>MAXIFS('Step 4 FOC Return'!$A:$A, 'Step 4 FOC Return'!$E:$E, $E116)</f>
        <v>0</v>
      </c>
      <c r="Y116" s="126"/>
    </row>
    <row r="117">
      <c r="A117" s="126"/>
      <c r="B117" s="142">
        <v>46073.0</v>
      </c>
      <c r="C117" s="146"/>
      <c r="D117" s="129" t="s">
        <v>31</v>
      </c>
      <c r="E117" s="143" t="s">
        <v>1246</v>
      </c>
      <c r="F117" s="130" t="s">
        <v>1202</v>
      </c>
      <c r="G117" s="143" t="s">
        <v>19</v>
      </c>
      <c r="H117" s="126"/>
      <c r="I117" s="132"/>
      <c r="J117" s="143" t="s">
        <v>46</v>
      </c>
      <c r="K117" s="126"/>
      <c r="L117" s="148" t="s">
        <v>10</v>
      </c>
      <c r="M117" s="134" t="str">
        <f t="shared" si="1"/>
        <v>AVAILABLE</v>
      </c>
      <c r="N117" s="134" t="str">
        <f t="array" ref="N117">IF(M117="LOANED / ON KOL", INDEX('Step 3 FOC Request'!$G:$G, MATCH(1, ('Step 3 FOC Request'!$A:$A=W117) * ('Step 3 FOC Request'!$F:$F=E117), 0)), "-")</f>
        <v>-</v>
      </c>
      <c r="O117" s="126"/>
      <c r="P117" s="126"/>
      <c r="Q117" s="126"/>
      <c r="R117" s="126"/>
      <c r="U117" s="126"/>
      <c r="V117" s="126"/>
      <c r="W117" s="135">
        <f>MAXIFS('Step 3 FOC Request'!$A:$A, 'Step 3 FOC Request'!$F:$F, $E117)</f>
        <v>0</v>
      </c>
      <c r="X117" s="135">
        <f>MAXIFS('Step 4 FOC Return'!$A:$A, 'Step 4 FOC Return'!$E:$E, $E117)</f>
        <v>0</v>
      </c>
      <c r="Y117" s="126"/>
    </row>
    <row r="118">
      <c r="A118" s="126"/>
      <c r="B118" s="142">
        <v>46073.0</v>
      </c>
      <c r="C118" s="146"/>
      <c r="D118" s="129" t="s">
        <v>31</v>
      </c>
      <c r="E118" s="143">
        <v>3.51298320095065E14</v>
      </c>
      <c r="F118" s="130" t="s">
        <v>1211</v>
      </c>
      <c r="G118" s="143" t="s">
        <v>19</v>
      </c>
      <c r="H118" s="126"/>
      <c r="I118" s="132"/>
      <c r="J118" s="143" t="s">
        <v>46</v>
      </c>
      <c r="K118" s="126"/>
      <c r="L118" s="148" t="s">
        <v>10</v>
      </c>
      <c r="M118" s="134" t="str">
        <f t="shared" si="1"/>
        <v>AVAILABLE</v>
      </c>
      <c r="N118" s="134" t="str">
        <f t="array" ref="N118">IF(M118="LOANED / ON KOL", INDEX('Step 3 FOC Request'!$G:$G, MATCH(1, ('Step 3 FOC Request'!$A:$A=W118) * ('Step 3 FOC Request'!$F:$F=E118), 0)), "-")</f>
        <v>-</v>
      </c>
      <c r="O118" s="126"/>
      <c r="P118" s="126"/>
      <c r="Q118" s="126"/>
      <c r="R118" s="126"/>
      <c r="U118" s="126"/>
      <c r="V118" s="126"/>
      <c r="W118" s="135">
        <f>MAXIFS('Step 3 FOC Request'!$A:$A, 'Step 3 FOC Request'!$F:$F, $E118)</f>
        <v>0</v>
      </c>
      <c r="X118" s="135">
        <f>MAXIFS('Step 4 FOC Return'!$A:$A, 'Step 4 FOC Return'!$E:$E, $E118)</f>
        <v>0</v>
      </c>
      <c r="Y118" s="126"/>
    </row>
    <row r="119">
      <c r="A119" s="126"/>
      <c r="B119" s="142">
        <v>46073.0</v>
      </c>
      <c r="C119" s="146"/>
      <c r="D119" s="129" t="s">
        <v>31</v>
      </c>
      <c r="E119" s="143">
        <v>3.51298320003754E14</v>
      </c>
      <c r="F119" s="130" t="s">
        <v>1247</v>
      </c>
      <c r="G119" s="143" t="s">
        <v>19</v>
      </c>
      <c r="H119" s="126"/>
      <c r="I119" s="132"/>
      <c r="J119" s="143" t="s">
        <v>46</v>
      </c>
      <c r="K119" s="126"/>
      <c r="L119" s="148" t="s">
        <v>10</v>
      </c>
      <c r="M119" s="134" t="str">
        <f t="shared" si="1"/>
        <v>AVAILABLE</v>
      </c>
      <c r="N119" s="134" t="str">
        <f t="array" ref="N119">IF(M119="LOANED / ON KOL", INDEX('Step 3 FOC Request'!$G:$G, MATCH(1, ('Step 3 FOC Request'!$A:$A=W119) * ('Step 3 FOC Request'!$F:$F=E119), 0)), "-")</f>
        <v>-</v>
      </c>
      <c r="O119" s="126"/>
      <c r="P119" s="126"/>
      <c r="Q119" s="126"/>
      <c r="R119" s="126"/>
      <c r="U119" s="126"/>
      <c r="V119" s="126"/>
      <c r="W119" s="135">
        <f>MAXIFS('Step 3 FOC Request'!$A:$A, 'Step 3 FOC Request'!$F:$F, $E119)</f>
        <v>0</v>
      </c>
      <c r="X119" s="135">
        <f>MAXIFS('Step 4 FOC Return'!$A:$A, 'Step 4 FOC Return'!$E:$E, $E119)</f>
        <v>0</v>
      </c>
      <c r="Y119" s="126"/>
    </row>
    <row r="120">
      <c r="A120" s="126"/>
      <c r="B120" s="142">
        <v>46073.0</v>
      </c>
      <c r="C120" s="146"/>
      <c r="D120" s="129" t="s">
        <v>31</v>
      </c>
      <c r="E120" s="143">
        <v>3.51298320063709E14</v>
      </c>
      <c r="F120" s="130" t="s">
        <v>1243</v>
      </c>
      <c r="G120" s="143" t="s">
        <v>19</v>
      </c>
      <c r="H120" s="126"/>
      <c r="I120" s="132"/>
      <c r="J120" s="143" t="s">
        <v>30</v>
      </c>
      <c r="K120" s="126"/>
      <c r="L120" s="148" t="s">
        <v>10</v>
      </c>
      <c r="M120" s="134" t="str">
        <f t="shared" si="1"/>
        <v>AVAILABLE</v>
      </c>
      <c r="N120" s="134" t="str">
        <f t="array" ref="N120">IF(M120="LOANED / ON KOL", INDEX('Step 3 FOC Request'!$G:$G, MATCH(1, ('Step 3 FOC Request'!$A:$A=W120) * ('Step 3 FOC Request'!$F:$F=E120), 0)), "-")</f>
        <v>-</v>
      </c>
      <c r="O120" s="126"/>
      <c r="P120" s="126"/>
      <c r="Q120" s="126"/>
      <c r="R120" s="126"/>
      <c r="U120" s="126"/>
      <c r="V120" s="126"/>
      <c r="W120" s="135">
        <f>MAXIFS('Step 3 FOC Request'!$A:$A, 'Step 3 FOC Request'!$F:$F, $E120)</f>
        <v>0</v>
      </c>
      <c r="X120" s="135">
        <f>MAXIFS('Step 4 FOC Return'!$A:$A, 'Step 4 FOC Return'!$E:$E, $E120)</f>
        <v>0</v>
      </c>
      <c r="Y120" s="126"/>
    </row>
    <row r="121">
      <c r="A121" s="126"/>
      <c r="B121" s="142">
        <v>46073.0</v>
      </c>
      <c r="C121" s="146"/>
      <c r="D121" s="129" t="s">
        <v>31</v>
      </c>
      <c r="E121" s="143">
        <v>3.51298320064533E14</v>
      </c>
      <c r="F121" s="130" t="s">
        <v>1243</v>
      </c>
      <c r="G121" s="143" t="s">
        <v>19</v>
      </c>
      <c r="H121" s="126"/>
      <c r="I121" s="132"/>
      <c r="J121" s="143" t="s">
        <v>30</v>
      </c>
      <c r="K121" s="126"/>
      <c r="L121" s="148" t="s">
        <v>10</v>
      </c>
      <c r="M121" s="134" t="str">
        <f t="shared" si="1"/>
        <v>AVAILABLE</v>
      </c>
      <c r="N121" s="134" t="str">
        <f t="array" ref="N121">IF(M121="LOANED / ON KOL", INDEX('Step 3 FOC Request'!$G:$G, MATCH(1, ('Step 3 FOC Request'!$A:$A=W121) * ('Step 3 FOC Request'!$F:$F=E121), 0)), "-")</f>
        <v>-</v>
      </c>
      <c r="O121" s="126"/>
      <c r="P121" s="126"/>
      <c r="Q121" s="126"/>
      <c r="R121" s="126"/>
      <c r="U121" s="126"/>
      <c r="V121" s="126"/>
      <c r="W121" s="135">
        <f>MAXIFS('Step 3 FOC Request'!$A:$A, 'Step 3 FOC Request'!$F:$F, $E121)</f>
        <v>0</v>
      </c>
      <c r="X121" s="135">
        <f>MAXIFS('Step 4 FOC Return'!$A:$A, 'Step 4 FOC Return'!$E:$E, $E121)</f>
        <v>0</v>
      </c>
      <c r="Y121" s="126"/>
    </row>
    <row r="122">
      <c r="A122" s="126"/>
      <c r="B122" s="142">
        <v>46073.0</v>
      </c>
      <c r="C122" s="146"/>
      <c r="D122" s="129" t="s">
        <v>31</v>
      </c>
      <c r="E122" s="143">
        <v>3.51298320107878E14</v>
      </c>
      <c r="F122" s="130" t="s">
        <v>1243</v>
      </c>
      <c r="G122" s="143" t="s">
        <v>19</v>
      </c>
      <c r="H122" s="126"/>
      <c r="I122" s="132"/>
      <c r="J122" s="143" t="s">
        <v>30</v>
      </c>
      <c r="K122" s="126"/>
      <c r="L122" s="148" t="s">
        <v>10</v>
      </c>
      <c r="M122" s="134" t="str">
        <f t="shared" si="1"/>
        <v>AVAILABLE</v>
      </c>
      <c r="N122" s="134" t="str">
        <f t="array" ref="N122">IF(M122="LOANED / ON KOL", INDEX('Step 3 FOC Request'!$G:$G, MATCH(1, ('Step 3 FOC Request'!$A:$A=W122) * ('Step 3 FOC Request'!$F:$F=E122), 0)), "-")</f>
        <v>-</v>
      </c>
      <c r="O122" s="126"/>
      <c r="P122" s="126"/>
      <c r="Q122" s="126"/>
      <c r="R122" s="126"/>
      <c r="U122" s="126"/>
      <c r="V122" s="126"/>
      <c r="W122" s="135">
        <f>MAXIFS('Step 3 FOC Request'!$A:$A, 'Step 3 FOC Request'!$F:$F, $E122)</f>
        <v>0</v>
      </c>
      <c r="X122" s="135">
        <f>MAXIFS('Step 4 FOC Return'!$A:$A, 'Step 4 FOC Return'!$E:$E, $E122)</f>
        <v>0</v>
      </c>
      <c r="Y122" s="126"/>
    </row>
    <row r="123">
      <c r="A123" s="126"/>
      <c r="B123" s="142">
        <v>46073.0</v>
      </c>
      <c r="C123" s="146"/>
      <c r="D123" s="129" t="s">
        <v>31</v>
      </c>
      <c r="E123" s="143">
        <v>3.54166470015356E14</v>
      </c>
      <c r="F123" s="130" t="s">
        <v>1208</v>
      </c>
      <c r="G123" s="143" t="s">
        <v>19</v>
      </c>
      <c r="H123" s="126"/>
      <c r="I123" s="132"/>
      <c r="J123" s="143" t="s">
        <v>46</v>
      </c>
      <c r="K123" s="126"/>
      <c r="L123" s="148" t="s">
        <v>10</v>
      </c>
      <c r="M123" s="134" t="str">
        <f t="shared" si="1"/>
        <v>AVAILABLE</v>
      </c>
      <c r="N123" s="134" t="str">
        <f t="array" ref="N123">IF(M123="LOANED / ON KOL", INDEX('Step 3 FOC Request'!$G:$G, MATCH(1, ('Step 3 FOC Request'!$A:$A=W123) * ('Step 3 FOC Request'!$F:$F=E123), 0)), "-")</f>
        <v>-</v>
      </c>
      <c r="O123" s="126"/>
      <c r="P123" s="126"/>
      <c r="Q123" s="126"/>
      <c r="R123" s="126"/>
      <c r="U123" s="126"/>
      <c r="V123" s="126"/>
      <c r="W123" s="135">
        <f>MAXIFS('Step 3 FOC Request'!$A:$A, 'Step 3 FOC Request'!$F:$F, $E123)</f>
        <v>0</v>
      </c>
      <c r="X123" s="135">
        <f>MAXIFS('Step 4 FOC Return'!$A:$A, 'Step 4 FOC Return'!$E:$E, $E123)</f>
        <v>0</v>
      </c>
      <c r="Y123" s="126"/>
    </row>
    <row r="124">
      <c r="A124" s="126"/>
      <c r="B124" s="142">
        <v>46073.0</v>
      </c>
      <c r="C124" s="146"/>
      <c r="D124" s="129" t="s">
        <v>31</v>
      </c>
      <c r="E124" s="143">
        <v>3.52901540005744E14</v>
      </c>
      <c r="F124" s="130" t="s">
        <v>1213</v>
      </c>
      <c r="G124" s="143" t="s">
        <v>11</v>
      </c>
      <c r="H124" s="126"/>
      <c r="I124" s="132"/>
      <c r="J124" s="143" t="s">
        <v>53</v>
      </c>
      <c r="K124" s="126"/>
      <c r="L124" s="148" t="s">
        <v>10</v>
      </c>
      <c r="M124" s="134" t="str">
        <f t="shared" si="1"/>
        <v>LOANED / ON KOL</v>
      </c>
      <c r="N124" s="134" t="str">
        <f t="array" ref="N124">IF(M124="LOANED / ON KOL", INDEX('Step 3 FOC Request'!$G:$G, MATCH(1, ('Step 3 FOC Request'!$A:$A=W124) * ('Step 3 FOC Request'!$F:$F=E124), 0)), "-")</f>
        <v>Rere Regita</v>
      </c>
      <c r="O124" s="126"/>
      <c r="P124" s="126"/>
      <c r="Q124" s="126"/>
      <c r="R124" s="126"/>
      <c r="U124" s="126"/>
      <c r="V124" s="126"/>
      <c r="W124" s="135">
        <f>MAXIFS('Step 3 FOC Request'!$A:$A, 'Step 3 FOC Request'!$F:$F, $E124)</f>
        <v>46091.48792</v>
      </c>
      <c r="X124" s="135">
        <f>MAXIFS('Step 4 FOC Return'!$A:$A, 'Step 4 FOC Return'!$E:$E, $E124)</f>
        <v>0</v>
      </c>
      <c r="Y124" s="126"/>
    </row>
    <row r="125">
      <c r="A125" s="126"/>
      <c r="B125" s="142">
        <v>46073.0</v>
      </c>
      <c r="C125" s="146"/>
      <c r="D125" s="129" t="s">
        <v>31</v>
      </c>
      <c r="E125" s="143">
        <v>3.5169118000191E14</v>
      </c>
      <c r="F125" s="130" t="s">
        <v>1248</v>
      </c>
      <c r="G125" s="146"/>
      <c r="H125" s="126"/>
      <c r="I125" s="132"/>
      <c r="J125" s="143" t="s">
        <v>53</v>
      </c>
      <c r="K125" s="126"/>
      <c r="L125" s="148" t="s">
        <v>10</v>
      </c>
      <c r="M125" s="134" t="str">
        <f t="shared" si="1"/>
        <v>AVAILABLE</v>
      </c>
      <c r="N125" s="134" t="str">
        <f t="array" ref="N125">IF(M125="LOANED / ON KOL", INDEX('Step 3 FOC Request'!$G:$G, MATCH(1, ('Step 3 FOC Request'!$A:$A=W125) * ('Step 3 FOC Request'!$F:$F=E125), 0)), "-")</f>
        <v>-</v>
      </c>
      <c r="O125" s="126"/>
      <c r="P125" s="126"/>
      <c r="Q125" s="126"/>
      <c r="R125" s="126"/>
      <c r="U125" s="126"/>
      <c r="V125" s="126"/>
      <c r="W125" s="135">
        <f>MAXIFS('Step 3 FOC Request'!$A:$A, 'Step 3 FOC Request'!$F:$F, $E125)</f>
        <v>0</v>
      </c>
      <c r="X125" s="135">
        <f>MAXIFS('Step 4 FOC Return'!$A:$A, 'Step 4 FOC Return'!$E:$E, $E125)</f>
        <v>0</v>
      </c>
      <c r="Y125" s="126"/>
    </row>
    <row r="126">
      <c r="A126" s="126"/>
      <c r="B126" s="142">
        <v>46073.0</v>
      </c>
      <c r="C126" s="146"/>
      <c r="D126" s="129" t="s">
        <v>31</v>
      </c>
      <c r="E126" s="143">
        <v>3.51691180020779E14</v>
      </c>
      <c r="F126" s="130" t="s">
        <v>1249</v>
      </c>
      <c r="G126" s="146"/>
      <c r="H126" s="126"/>
      <c r="I126" s="132"/>
      <c r="J126" s="143" t="s">
        <v>53</v>
      </c>
      <c r="K126" s="126"/>
      <c r="L126" s="148" t="s">
        <v>10</v>
      </c>
      <c r="M126" s="134" t="str">
        <f t="shared" si="1"/>
        <v>AVAILABLE</v>
      </c>
      <c r="N126" s="134" t="str">
        <f t="array" ref="N126">IF(M126="LOANED / ON KOL", INDEX('Step 3 FOC Request'!$G:$G, MATCH(1, ('Step 3 FOC Request'!$A:$A=W126) * ('Step 3 FOC Request'!$F:$F=E126), 0)), "-")</f>
        <v>-</v>
      </c>
      <c r="O126" s="126"/>
      <c r="P126" s="126"/>
      <c r="Q126" s="126"/>
      <c r="R126" s="126"/>
      <c r="U126" s="126"/>
      <c r="V126" s="126"/>
      <c r="W126" s="135">
        <f>MAXIFS('Step 3 FOC Request'!$A:$A, 'Step 3 FOC Request'!$F:$F, $E126)</f>
        <v>0</v>
      </c>
      <c r="X126" s="135">
        <f>MAXIFS('Step 4 FOC Return'!$A:$A, 'Step 4 FOC Return'!$E:$E, $E126)</f>
        <v>0</v>
      </c>
      <c r="Y126" s="126"/>
    </row>
    <row r="127">
      <c r="A127" s="126"/>
      <c r="B127" s="142">
        <v>46073.0</v>
      </c>
      <c r="C127" s="146"/>
      <c r="D127" s="129" t="s">
        <v>31</v>
      </c>
      <c r="E127" s="143">
        <v>3.54312420001514E14</v>
      </c>
      <c r="F127" s="130" t="s">
        <v>1250</v>
      </c>
      <c r="G127" s="146"/>
      <c r="H127" s="126"/>
      <c r="I127" s="132"/>
      <c r="J127" s="143" t="s">
        <v>53</v>
      </c>
      <c r="K127" s="126"/>
      <c r="L127" s="148" t="s">
        <v>10</v>
      </c>
      <c r="M127" s="134" t="str">
        <f t="shared" si="1"/>
        <v>AVAILABLE</v>
      </c>
      <c r="N127" s="134" t="str">
        <f t="array" ref="N127">IF(M127="LOANED / ON KOL", INDEX('Step 3 FOC Request'!$G:$G, MATCH(1, ('Step 3 FOC Request'!$A:$A=W127) * ('Step 3 FOC Request'!$F:$F=E127), 0)), "-")</f>
        <v>-</v>
      </c>
      <c r="O127" s="126"/>
      <c r="P127" s="148" t="s">
        <v>809</v>
      </c>
      <c r="Q127" s="126"/>
      <c r="R127" s="126"/>
      <c r="U127" s="126"/>
      <c r="V127" s="126"/>
      <c r="W127" s="135">
        <f>MAXIFS('Step 3 FOC Request'!$A:$A, 'Step 3 FOC Request'!$F:$F, $E127)</f>
        <v>0</v>
      </c>
      <c r="X127" s="135">
        <f>MAXIFS('Step 4 FOC Return'!$A:$A, 'Step 4 FOC Return'!$E:$E, $E127)</f>
        <v>0</v>
      </c>
      <c r="Y127" s="126"/>
    </row>
    <row r="128">
      <c r="A128" s="126"/>
      <c r="B128" s="142">
        <v>46073.0</v>
      </c>
      <c r="C128" s="146"/>
      <c r="D128" s="129" t="s">
        <v>31</v>
      </c>
      <c r="E128" s="143">
        <v>3.54312420062656E14</v>
      </c>
      <c r="F128" s="130" t="s">
        <v>1250</v>
      </c>
      <c r="G128" s="146"/>
      <c r="H128" s="126"/>
      <c r="I128" s="132"/>
      <c r="J128" s="143" t="s">
        <v>53</v>
      </c>
      <c r="K128" s="126"/>
      <c r="L128" s="148" t="s">
        <v>10</v>
      </c>
      <c r="M128" s="134" t="str">
        <f t="shared" si="1"/>
        <v>AVAILABLE</v>
      </c>
      <c r="N128" s="134" t="str">
        <f t="array" ref="N128">IF(M128="LOANED / ON KOL", INDEX('Step 3 FOC Request'!$G:$G, MATCH(1, ('Step 3 FOC Request'!$A:$A=W128) * ('Step 3 FOC Request'!$F:$F=E128), 0)), "-")</f>
        <v>-</v>
      </c>
      <c r="O128" s="126"/>
      <c r="P128" s="126"/>
      <c r="Q128" s="126"/>
      <c r="R128" s="126"/>
      <c r="U128" s="126"/>
      <c r="V128" s="126"/>
      <c r="W128" s="135">
        <f>MAXIFS('Step 3 FOC Request'!$A:$A, 'Step 3 FOC Request'!$F:$F, $E128)</f>
        <v>0</v>
      </c>
      <c r="X128" s="135">
        <f>MAXIFS('Step 4 FOC Return'!$A:$A, 'Step 4 FOC Return'!$E:$E, $E128)</f>
        <v>0</v>
      </c>
      <c r="Y128" s="126"/>
    </row>
    <row r="129">
      <c r="A129" s="126"/>
      <c r="B129" s="142">
        <v>46073.0</v>
      </c>
      <c r="C129" s="146"/>
      <c r="D129" s="129" t="s">
        <v>31</v>
      </c>
      <c r="E129" s="143">
        <v>3.54312420100258E14</v>
      </c>
      <c r="F129" s="130" t="s">
        <v>1251</v>
      </c>
      <c r="G129" s="146"/>
      <c r="H129" s="126"/>
      <c r="I129" s="132"/>
      <c r="J129" s="143" t="s">
        <v>53</v>
      </c>
      <c r="K129" s="126"/>
      <c r="L129" s="148" t="s">
        <v>10</v>
      </c>
      <c r="M129" s="134" t="str">
        <f t="shared" si="1"/>
        <v>AVAILABLE</v>
      </c>
      <c r="N129" s="134" t="str">
        <f t="array" ref="N129">IF(M129="LOANED / ON KOL", INDEX('Step 3 FOC Request'!$G:$G, MATCH(1, ('Step 3 FOC Request'!$A:$A=W129) * ('Step 3 FOC Request'!$F:$F=E129), 0)), "-")</f>
        <v>-</v>
      </c>
      <c r="O129" s="126"/>
      <c r="P129" s="126"/>
      <c r="Q129" s="126"/>
      <c r="R129" s="126"/>
      <c r="U129" s="126"/>
      <c r="V129" s="126"/>
      <c r="W129" s="135">
        <f>MAXIFS('Step 3 FOC Request'!$A:$A, 'Step 3 FOC Request'!$F:$F, $E129)</f>
        <v>0</v>
      </c>
      <c r="X129" s="135">
        <f>MAXIFS('Step 4 FOC Return'!$A:$A, 'Step 4 FOC Return'!$E:$E, $E129)</f>
        <v>0</v>
      </c>
      <c r="Y129" s="126"/>
    </row>
    <row r="130">
      <c r="A130" s="126"/>
      <c r="B130" s="142">
        <v>46073.0</v>
      </c>
      <c r="C130" s="146"/>
      <c r="D130" s="129" t="s">
        <v>31</v>
      </c>
      <c r="E130" s="143">
        <v>3.5431242000558E14</v>
      </c>
      <c r="F130" s="130" t="s">
        <v>1252</v>
      </c>
      <c r="G130" s="143" t="s">
        <v>11</v>
      </c>
      <c r="H130" s="126"/>
      <c r="I130" s="132"/>
      <c r="J130" s="143" t="s">
        <v>53</v>
      </c>
      <c r="K130" s="126"/>
      <c r="L130" s="148" t="s">
        <v>10</v>
      </c>
      <c r="M130" s="134" t="str">
        <f t="shared" si="1"/>
        <v>AVAILABLE</v>
      </c>
      <c r="N130" s="134" t="str">
        <f t="array" ref="N130">IF(M130="LOANED / ON KOL", INDEX('Step 3 FOC Request'!$G:$G, MATCH(1, ('Step 3 FOC Request'!$A:$A=W130) * ('Step 3 FOC Request'!$F:$F=E130), 0)), "-")</f>
        <v>-</v>
      </c>
      <c r="O130" s="126"/>
      <c r="P130" s="148" t="s">
        <v>1212</v>
      </c>
      <c r="Q130" s="126"/>
      <c r="R130" s="126"/>
      <c r="U130" s="126"/>
      <c r="V130" s="126"/>
      <c r="W130" s="135">
        <f>MAXIFS('Step 3 FOC Request'!$A:$A, 'Step 3 FOC Request'!$F:$F, $E130)</f>
        <v>0</v>
      </c>
      <c r="X130" s="135">
        <f>MAXIFS('Step 4 FOC Return'!$A:$A, 'Step 4 FOC Return'!$E:$E, $E130)</f>
        <v>0</v>
      </c>
      <c r="Y130" s="126"/>
    </row>
    <row r="131">
      <c r="A131" s="126"/>
      <c r="B131" s="142">
        <v>46073.0</v>
      </c>
      <c r="C131" s="146"/>
      <c r="D131" s="129" t="s">
        <v>31</v>
      </c>
      <c r="E131" s="143">
        <v>3.54312420001241E14</v>
      </c>
      <c r="F131" s="130" t="s">
        <v>1250</v>
      </c>
      <c r="G131" s="146"/>
      <c r="H131" s="126"/>
      <c r="I131" s="132"/>
      <c r="J131" s="143" t="s">
        <v>53</v>
      </c>
      <c r="K131" s="126"/>
      <c r="L131" s="148" t="s">
        <v>10</v>
      </c>
      <c r="M131" s="134" t="str">
        <f t="shared" si="1"/>
        <v>AVAILABLE</v>
      </c>
      <c r="N131" s="134" t="str">
        <f t="array" ref="N131">IF(M131="LOANED / ON KOL", INDEX('Step 3 FOC Request'!$G:$G, MATCH(1, ('Step 3 FOC Request'!$A:$A=W131) * ('Step 3 FOC Request'!$F:$F=E131), 0)), "-")</f>
        <v>-</v>
      </c>
      <c r="O131" s="126"/>
      <c r="P131" s="126"/>
      <c r="Q131" s="126"/>
      <c r="R131" s="126"/>
      <c r="U131" s="126"/>
      <c r="V131" s="126"/>
      <c r="W131" s="135">
        <f>MAXIFS('Step 3 FOC Request'!$A:$A, 'Step 3 FOC Request'!$F:$F, $E131)</f>
        <v>0</v>
      </c>
      <c r="X131" s="135">
        <f>MAXIFS('Step 4 FOC Return'!$A:$A, 'Step 4 FOC Return'!$E:$E, $E131)</f>
        <v>0</v>
      </c>
      <c r="Y131" s="126"/>
    </row>
    <row r="132">
      <c r="A132" s="126"/>
      <c r="B132" s="142">
        <v>46073.0</v>
      </c>
      <c r="C132" s="146"/>
      <c r="D132" s="129" t="s">
        <v>31</v>
      </c>
      <c r="E132" s="143">
        <v>3.5431242000365E14</v>
      </c>
      <c r="F132" s="130" t="s">
        <v>1252</v>
      </c>
      <c r="G132" s="146"/>
      <c r="H132" s="126"/>
      <c r="I132" s="132"/>
      <c r="J132" s="143" t="s">
        <v>53</v>
      </c>
      <c r="K132" s="126"/>
      <c r="L132" s="148" t="s">
        <v>10</v>
      </c>
      <c r="M132" s="134" t="str">
        <f t="shared" si="1"/>
        <v>LOANED / ON KOL</v>
      </c>
      <c r="N132" s="134" t="str">
        <f t="array" ref="N132">IF(M132="LOANED / ON KOL", INDEX('Step 3 FOC Request'!$G:$G, MATCH(1, ('Step 3 FOC Request'!$A:$A=W132) * ('Step 3 FOC Request'!$F:$F=E132), 0)), "-")</f>
        <v>Moris</v>
      </c>
      <c r="O132" s="126"/>
      <c r="P132" s="126"/>
      <c r="Q132" s="126"/>
      <c r="R132" s="126"/>
      <c r="U132" s="126"/>
      <c r="V132" s="126"/>
      <c r="W132" s="135">
        <f>MAXIFS('Step 3 FOC Request'!$A:$A, 'Step 3 FOC Request'!$F:$F, $E132)</f>
        <v>46085.63927</v>
      </c>
      <c r="X132" s="135">
        <f>MAXIFS('Step 4 FOC Return'!$A:$A, 'Step 4 FOC Return'!$E:$E, $E132)</f>
        <v>0</v>
      </c>
      <c r="Y132" s="126"/>
    </row>
    <row r="133">
      <c r="A133" s="126"/>
      <c r="B133" s="142">
        <v>46101.0</v>
      </c>
      <c r="C133" s="146"/>
      <c r="D133" s="143" t="s">
        <v>31</v>
      </c>
      <c r="E133" s="143">
        <v>3.56335510008717E14</v>
      </c>
      <c r="F133" s="130" t="s">
        <v>1253</v>
      </c>
      <c r="G133" s="146"/>
      <c r="H133" s="126"/>
      <c r="I133" s="132"/>
      <c r="J133" s="143" t="s">
        <v>53</v>
      </c>
      <c r="K133" s="126"/>
      <c r="L133" s="148" t="s">
        <v>10</v>
      </c>
      <c r="M133" s="134" t="str">
        <f t="shared" si="1"/>
        <v>AVAILABLE</v>
      </c>
      <c r="N133" s="134" t="str">
        <f t="array" ref="N133">IF(M133="LOANED / ON KOL", INDEX('Step 3 FOC Request'!$G:$G, MATCH(1, ('Step 3 FOC Request'!$A:$A=W133) * ('Step 3 FOC Request'!$F:$F=E133), 0)), "-")</f>
        <v>-</v>
      </c>
      <c r="O133" s="126"/>
      <c r="P133" s="148" t="s">
        <v>1212</v>
      </c>
      <c r="Q133" s="126"/>
      <c r="R133" s="126"/>
      <c r="U133" s="126"/>
      <c r="V133" s="126"/>
      <c r="W133" s="135">
        <f>MAXIFS('Step 3 FOC Request'!$A:$A, 'Step 3 FOC Request'!$F:$F, $E133)</f>
        <v>0</v>
      </c>
      <c r="X133" s="135">
        <f>MAXIFS('Step 4 FOC Return'!$A:$A, 'Step 4 FOC Return'!$E:$E, $E133)</f>
        <v>0</v>
      </c>
      <c r="Y133" s="126"/>
    </row>
    <row r="134">
      <c r="A134" s="126"/>
      <c r="B134" s="142">
        <v>46073.0</v>
      </c>
      <c r="C134" s="146"/>
      <c r="D134" s="129" t="s">
        <v>31</v>
      </c>
      <c r="E134" s="143">
        <v>3.55626620007164E14</v>
      </c>
      <c r="F134" s="130" t="s">
        <v>1254</v>
      </c>
      <c r="G134" s="146"/>
      <c r="H134" s="126"/>
      <c r="I134" s="132"/>
      <c r="J134" s="143" t="s">
        <v>53</v>
      </c>
      <c r="K134" s="126"/>
      <c r="L134" s="148" t="s">
        <v>10</v>
      </c>
      <c r="M134" s="134" t="str">
        <f t="shared" si="1"/>
        <v>AVAILABLE</v>
      </c>
      <c r="N134" s="134" t="str">
        <f t="array" ref="N134">IF(M134="LOANED / ON KOL", INDEX('Step 3 FOC Request'!$G:$G, MATCH(1, ('Step 3 FOC Request'!$A:$A=W134) * ('Step 3 FOC Request'!$F:$F=E134), 0)), "-")</f>
        <v>-</v>
      </c>
      <c r="O134" s="126"/>
      <c r="P134" s="148" t="s">
        <v>809</v>
      </c>
      <c r="Q134" s="126"/>
      <c r="R134" s="126"/>
      <c r="U134" s="126"/>
      <c r="V134" s="126"/>
      <c r="W134" s="135">
        <f>MAXIFS('Step 3 FOC Request'!$A:$A, 'Step 3 FOC Request'!$F:$F, $E134)</f>
        <v>0</v>
      </c>
      <c r="X134" s="135">
        <f>MAXIFS('Step 4 FOC Return'!$A:$A, 'Step 4 FOC Return'!$E:$E, $E134)</f>
        <v>0</v>
      </c>
      <c r="Y134" s="126"/>
    </row>
    <row r="135">
      <c r="A135" s="126"/>
      <c r="B135" s="142">
        <v>46073.0</v>
      </c>
      <c r="C135" s="146"/>
      <c r="D135" s="129" t="s">
        <v>31</v>
      </c>
      <c r="E135" s="143">
        <v>3.50966321026294E14</v>
      </c>
      <c r="F135" s="130" t="s">
        <v>1255</v>
      </c>
      <c r="G135" s="146"/>
      <c r="H135" s="126"/>
      <c r="I135" s="132"/>
      <c r="J135" s="143" t="s">
        <v>53</v>
      </c>
      <c r="K135" s="126"/>
      <c r="L135" s="148" t="s">
        <v>10</v>
      </c>
      <c r="M135" s="134" t="str">
        <f t="shared" si="1"/>
        <v>AVAILABLE</v>
      </c>
      <c r="N135" s="134" t="str">
        <f t="array" ref="N135">IF(M135="LOANED / ON KOL", INDEX('Step 3 FOC Request'!$G:$G, MATCH(1, ('Step 3 FOC Request'!$A:$A=W135) * ('Step 3 FOC Request'!$F:$F=E135), 0)), "-")</f>
        <v>-</v>
      </c>
      <c r="O135" s="126"/>
      <c r="P135" s="126"/>
      <c r="Q135" s="126"/>
      <c r="R135" s="126"/>
      <c r="U135" s="126"/>
      <c r="V135" s="126"/>
      <c r="W135" s="135">
        <f>MAXIFS('Step 3 FOC Request'!$A:$A, 'Step 3 FOC Request'!$F:$F, $E135)</f>
        <v>0</v>
      </c>
      <c r="X135" s="135">
        <f>MAXIFS('Step 4 FOC Return'!$A:$A, 'Step 4 FOC Return'!$E:$E, $E135)</f>
        <v>0</v>
      </c>
      <c r="Y135" s="126"/>
    </row>
    <row r="136">
      <c r="A136" s="126"/>
      <c r="B136" s="142">
        <v>46073.0</v>
      </c>
      <c r="C136" s="146"/>
      <c r="D136" s="129" t="s">
        <v>31</v>
      </c>
      <c r="E136" s="143">
        <v>3.55626620179922E14</v>
      </c>
      <c r="F136" s="130" t="s">
        <v>1255</v>
      </c>
      <c r="G136" s="146"/>
      <c r="H136" s="126"/>
      <c r="I136" s="132"/>
      <c r="J136" s="143" t="s">
        <v>53</v>
      </c>
      <c r="K136" s="126"/>
      <c r="L136" s="148" t="s">
        <v>10</v>
      </c>
      <c r="M136" s="134" t="str">
        <f t="shared" si="1"/>
        <v>AVAILABLE</v>
      </c>
      <c r="N136" s="134" t="str">
        <f t="array" ref="N136">IF(M136="LOANED / ON KOL", INDEX('Step 3 FOC Request'!$G:$G, MATCH(1, ('Step 3 FOC Request'!$A:$A=W136) * ('Step 3 FOC Request'!$F:$F=E136), 0)), "-")</f>
        <v>-</v>
      </c>
      <c r="O136" s="126"/>
      <c r="P136" s="126"/>
      <c r="Q136" s="126"/>
      <c r="R136" s="126"/>
      <c r="U136" s="126"/>
      <c r="V136" s="126"/>
      <c r="W136" s="135">
        <f>MAXIFS('Step 3 FOC Request'!$A:$A, 'Step 3 FOC Request'!$F:$F, $E136)</f>
        <v>0</v>
      </c>
      <c r="X136" s="135">
        <f>MAXIFS('Step 4 FOC Return'!$A:$A, 'Step 4 FOC Return'!$E:$E, $E136)</f>
        <v>0</v>
      </c>
      <c r="Y136" s="126"/>
    </row>
    <row r="137">
      <c r="A137" s="126"/>
      <c r="B137" s="142">
        <v>46073.0</v>
      </c>
      <c r="C137" s="146"/>
      <c r="D137" s="129" t="s">
        <v>31</v>
      </c>
      <c r="E137" s="143">
        <v>3.57703230001024E14</v>
      </c>
      <c r="F137" s="130" t="s">
        <v>1256</v>
      </c>
      <c r="G137" s="143" t="s">
        <v>11</v>
      </c>
      <c r="H137" s="126"/>
      <c r="I137" s="132"/>
      <c r="J137" s="143" t="s">
        <v>41</v>
      </c>
      <c r="K137" s="126"/>
      <c r="L137" s="148" t="s">
        <v>10</v>
      </c>
      <c r="M137" s="134" t="str">
        <f t="shared" si="1"/>
        <v>AVAILABLE</v>
      </c>
      <c r="N137" s="134" t="str">
        <f t="array" ref="N137">IF(M137="LOANED / ON KOL", INDEX('Step 3 FOC Request'!$G:$G, MATCH(1, ('Step 3 FOC Request'!$A:$A=W137) * ('Step 3 FOC Request'!$F:$F=E137), 0)), "-")</f>
        <v>-</v>
      </c>
      <c r="O137" s="126"/>
      <c r="P137" s="148" t="s">
        <v>1212</v>
      </c>
      <c r="Q137" s="126"/>
      <c r="R137" s="126"/>
      <c r="U137" s="126"/>
      <c r="V137" s="126"/>
      <c r="W137" s="135">
        <f>MAXIFS('Step 3 FOC Request'!$A:$A, 'Step 3 FOC Request'!$F:$F, $E137)</f>
        <v>0</v>
      </c>
      <c r="X137" s="135">
        <f>MAXIFS('Step 4 FOC Return'!$A:$A, 'Step 4 FOC Return'!$E:$E, $E137)</f>
        <v>0</v>
      </c>
      <c r="Y137" s="126"/>
    </row>
    <row r="138">
      <c r="A138" s="126"/>
      <c r="B138" s="142">
        <v>46073.0</v>
      </c>
      <c r="C138" s="146"/>
      <c r="D138" s="129" t="s">
        <v>31</v>
      </c>
      <c r="E138" s="143">
        <v>3.52425615065151E14</v>
      </c>
      <c r="F138" s="130" t="s">
        <v>1257</v>
      </c>
      <c r="G138" s="143" t="s">
        <v>19</v>
      </c>
      <c r="H138" s="126"/>
      <c r="I138" s="132"/>
      <c r="J138" s="143" t="s">
        <v>51</v>
      </c>
      <c r="K138" s="143" t="s">
        <v>1258</v>
      </c>
      <c r="L138" s="148" t="s">
        <v>26</v>
      </c>
      <c r="M138" s="134" t="str">
        <f t="shared" si="1"/>
        <v>LOANED / ON KOL</v>
      </c>
      <c r="N138" s="134" t="str">
        <f t="array" ref="N138">IF(M138="LOANED / ON KOL", INDEX('Step 3 FOC Request'!$G:$G, MATCH(1, ('Step 3 FOC Request'!$A:$A=W138) * ('Step 3 FOC Request'!$F:$F=E138), 0)), "-")</f>
        <v>Bernadya</v>
      </c>
      <c r="O138" s="126"/>
      <c r="P138" s="126"/>
      <c r="Q138" s="126"/>
      <c r="R138" s="126"/>
      <c r="U138" s="126"/>
      <c r="V138" s="126"/>
      <c r="W138" s="135">
        <f>MAXIFS('Step 3 FOC Request'!$A:$A, 'Step 3 FOC Request'!$F:$F, $E138)</f>
        <v>46076.8125</v>
      </c>
      <c r="X138" s="135">
        <f>MAXIFS('Step 4 FOC Return'!$A:$A, 'Step 4 FOC Return'!$E:$E, $E138)</f>
        <v>0</v>
      </c>
      <c r="Y138" s="126"/>
    </row>
    <row r="139">
      <c r="A139" s="126"/>
      <c r="B139" s="142">
        <v>46073.0</v>
      </c>
      <c r="C139" s="146"/>
      <c r="D139" s="129" t="s">
        <v>31</v>
      </c>
      <c r="E139" s="143">
        <v>3.52425615198796E14</v>
      </c>
      <c r="F139" s="130" t="s">
        <v>1259</v>
      </c>
      <c r="G139" s="143" t="s">
        <v>19</v>
      </c>
      <c r="H139" s="126"/>
      <c r="I139" s="132"/>
      <c r="J139" s="143" t="s">
        <v>51</v>
      </c>
      <c r="K139" s="143" t="s">
        <v>1258</v>
      </c>
      <c r="L139" s="148" t="s">
        <v>26</v>
      </c>
      <c r="M139" s="134" t="str">
        <f t="shared" si="1"/>
        <v>LOANED / ON KOL</v>
      </c>
      <c r="N139" s="134" t="str">
        <f t="array" ref="N139">IF(M139="LOANED / ON KOL", INDEX('Step 3 FOC Request'!$G:$G, MATCH(1, ('Step 3 FOC Request'!$A:$A=W139) * ('Step 3 FOC Request'!$F:$F=E139), 0)), "-")</f>
        <v>Andy Garcia</v>
      </c>
      <c r="O139" s="126"/>
      <c r="P139" s="126"/>
      <c r="Q139" s="126"/>
      <c r="R139" s="126"/>
      <c r="U139" s="126"/>
      <c r="V139" s="126"/>
      <c r="W139" s="135">
        <f>MAXIFS('Step 3 FOC Request'!$A:$A, 'Step 3 FOC Request'!$F:$F, $E139)</f>
        <v>46076.8125</v>
      </c>
      <c r="X139" s="135">
        <f>MAXIFS('Step 4 FOC Return'!$A:$A, 'Step 4 FOC Return'!$E:$E, $E139)</f>
        <v>0</v>
      </c>
      <c r="Y139" s="126"/>
    </row>
    <row r="140">
      <c r="A140" s="126"/>
      <c r="B140" s="142">
        <v>46073.0</v>
      </c>
      <c r="C140" s="146"/>
      <c r="D140" s="129" t="s">
        <v>31</v>
      </c>
      <c r="E140" s="143">
        <v>3.52425615056887E14</v>
      </c>
      <c r="F140" s="130" t="s">
        <v>1257</v>
      </c>
      <c r="G140" s="143" t="s">
        <v>19</v>
      </c>
      <c r="H140" s="126"/>
      <c r="I140" s="132"/>
      <c r="J140" s="143" t="s">
        <v>51</v>
      </c>
      <c r="K140" s="143" t="s">
        <v>1258</v>
      </c>
      <c r="L140" s="148" t="s">
        <v>26</v>
      </c>
      <c r="M140" s="134" t="str">
        <f t="shared" si="1"/>
        <v>LOANED / ON KOL</v>
      </c>
      <c r="N140" s="134" t="str">
        <f t="array" ref="N140">IF(M140="LOANED / ON KOL", INDEX('Step 3 FOC Request'!$G:$G, MATCH(1, ('Step 3 FOC Request'!$A:$A=W140) * ('Step 3 FOC Request'!$F:$F=E140), 0)), "-")</f>
        <v>Windah</v>
      </c>
      <c r="O140" s="126"/>
      <c r="P140" s="126"/>
      <c r="Q140" s="126"/>
      <c r="R140" s="126"/>
      <c r="U140" s="126"/>
      <c r="V140" s="126"/>
      <c r="W140" s="135">
        <f>MAXIFS('Step 3 FOC Request'!$A:$A, 'Step 3 FOC Request'!$F:$F, $E140)</f>
        <v>46076.8125</v>
      </c>
      <c r="X140" s="135">
        <f>MAXIFS('Step 4 FOC Return'!$A:$A, 'Step 4 FOC Return'!$E:$E, $E140)</f>
        <v>0</v>
      </c>
      <c r="Y140" s="126"/>
    </row>
    <row r="141">
      <c r="A141" s="126"/>
      <c r="B141" s="142">
        <v>46073.0</v>
      </c>
      <c r="C141" s="146"/>
      <c r="D141" s="129" t="s">
        <v>31</v>
      </c>
      <c r="E141" s="143">
        <v>3.51690530006074E14</v>
      </c>
      <c r="F141" s="130" t="s">
        <v>1260</v>
      </c>
      <c r="G141" s="143" t="s">
        <v>19</v>
      </c>
      <c r="H141" s="126"/>
      <c r="I141" s="132"/>
      <c r="J141" s="143" t="s">
        <v>51</v>
      </c>
      <c r="K141" s="143" t="s">
        <v>1258</v>
      </c>
      <c r="L141" s="148" t="s">
        <v>26</v>
      </c>
      <c r="M141" s="134" t="str">
        <f t="shared" si="1"/>
        <v>AVAILABLE</v>
      </c>
      <c r="N141" s="134" t="str">
        <f t="array" ref="N141">IF(M141="LOANED / ON KOL", INDEX('Step 3 FOC Request'!$G:$G, MATCH(1, ('Step 3 FOC Request'!$A:$A=W141) * ('Step 3 FOC Request'!$F:$F=E141), 0)), "-")</f>
        <v>-</v>
      </c>
      <c r="O141" s="126"/>
      <c r="P141" s="126"/>
      <c r="Q141" s="126"/>
      <c r="R141" s="126"/>
      <c r="U141" s="126"/>
      <c r="V141" s="126"/>
      <c r="W141" s="135">
        <f>MAXIFS('Step 3 FOC Request'!$A:$A, 'Step 3 FOC Request'!$F:$F, $E141)</f>
        <v>0</v>
      </c>
      <c r="X141" s="135">
        <f>MAXIFS('Step 4 FOC Return'!$A:$A, 'Step 4 FOC Return'!$E:$E, $E141)</f>
        <v>0</v>
      </c>
      <c r="Y141" s="126"/>
    </row>
    <row r="142">
      <c r="A142" s="126"/>
      <c r="B142" s="142">
        <v>46073.0</v>
      </c>
      <c r="C142" s="146"/>
      <c r="D142" s="129" t="s">
        <v>31</v>
      </c>
      <c r="E142" s="143">
        <v>3.51690530032211E14</v>
      </c>
      <c r="F142" s="130" t="s">
        <v>1261</v>
      </c>
      <c r="G142" s="143" t="s">
        <v>19</v>
      </c>
      <c r="H142" s="126"/>
      <c r="I142" s="132"/>
      <c r="J142" s="143" t="s">
        <v>51</v>
      </c>
      <c r="K142" s="143" t="s">
        <v>1258</v>
      </c>
      <c r="L142" s="148" t="s">
        <v>26</v>
      </c>
      <c r="M142" s="134" t="str">
        <f t="shared" si="1"/>
        <v>AVAILABLE</v>
      </c>
      <c r="N142" s="134" t="str">
        <f t="array" ref="N142">IF(M142="LOANED / ON KOL", INDEX('Step 3 FOC Request'!$G:$G, MATCH(1, ('Step 3 FOC Request'!$A:$A=W142) * ('Step 3 FOC Request'!$F:$F=E142), 0)), "-")</f>
        <v>-</v>
      </c>
      <c r="O142" s="126"/>
      <c r="P142" s="126"/>
      <c r="Q142" s="126"/>
      <c r="R142" s="126"/>
      <c r="U142" s="126"/>
      <c r="V142" s="126"/>
      <c r="W142" s="135">
        <f>MAXIFS('Step 3 FOC Request'!$A:$A, 'Step 3 FOC Request'!$F:$F, $E142)</f>
        <v>0</v>
      </c>
      <c r="X142" s="135">
        <f>MAXIFS('Step 4 FOC Return'!$A:$A, 'Step 4 FOC Return'!$E:$E, $E142)</f>
        <v>0</v>
      </c>
      <c r="Y142" s="126"/>
    </row>
    <row r="143">
      <c r="A143" s="126"/>
      <c r="B143" s="142">
        <v>46073.0</v>
      </c>
      <c r="C143" s="146"/>
      <c r="D143" s="129" t="s">
        <v>31</v>
      </c>
      <c r="E143" s="150">
        <v>3.5169053003226E14</v>
      </c>
      <c r="F143" s="130" t="s">
        <v>1261</v>
      </c>
      <c r="G143" s="143" t="s">
        <v>19</v>
      </c>
      <c r="H143" s="126"/>
      <c r="I143" s="132"/>
      <c r="J143" s="143" t="s">
        <v>51</v>
      </c>
      <c r="K143" s="143" t="s">
        <v>1258</v>
      </c>
      <c r="L143" s="148" t="s">
        <v>26</v>
      </c>
      <c r="M143" s="134" t="str">
        <f t="shared" si="1"/>
        <v>AVAILABLE</v>
      </c>
      <c r="N143" s="134" t="str">
        <f t="array" ref="N143">IF(M143="LOANED / ON KOL", INDEX('Step 3 FOC Request'!$G:$G, MATCH(1, ('Step 3 FOC Request'!$A:$A=W143) * ('Step 3 FOC Request'!$F:$F=E143), 0)), "-")</f>
        <v>-</v>
      </c>
      <c r="O143" s="126"/>
      <c r="P143" s="126"/>
      <c r="Q143" s="126"/>
      <c r="R143" s="126"/>
      <c r="U143" s="126"/>
      <c r="V143" s="126"/>
      <c r="W143" s="135">
        <f>MAXIFS('Step 3 FOC Request'!$A:$A, 'Step 3 FOC Request'!$F:$F, $E143)</f>
        <v>0</v>
      </c>
      <c r="X143" s="135">
        <f>MAXIFS('Step 4 FOC Return'!$A:$A, 'Step 4 FOC Return'!$E:$E, $E143)</f>
        <v>0</v>
      </c>
      <c r="Y143" s="126"/>
    </row>
    <row r="144">
      <c r="A144" s="126"/>
      <c r="B144" s="142">
        <v>46073.0</v>
      </c>
      <c r="C144" s="146"/>
      <c r="D144" s="129" t="s">
        <v>31</v>
      </c>
      <c r="E144" s="150">
        <v>3.51690530006355E14</v>
      </c>
      <c r="F144" s="130" t="s">
        <v>1260</v>
      </c>
      <c r="G144" s="143" t="s">
        <v>19</v>
      </c>
      <c r="H144" s="126"/>
      <c r="I144" s="132"/>
      <c r="J144" s="143" t="s">
        <v>51</v>
      </c>
      <c r="K144" s="143" t="s">
        <v>1258</v>
      </c>
      <c r="L144" s="148" t="s">
        <v>26</v>
      </c>
      <c r="M144" s="134" t="str">
        <f t="shared" si="1"/>
        <v>AVAILABLE</v>
      </c>
      <c r="N144" s="134" t="str">
        <f t="array" ref="N144">IF(M144="LOANED / ON KOL", INDEX('Step 3 FOC Request'!$G:$G, MATCH(1, ('Step 3 FOC Request'!$A:$A=W144) * ('Step 3 FOC Request'!$F:$F=E144), 0)), "-")</f>
        <v>-</v>
      </c>
      <c r="O144" s="126"/>
      <c r="P144" s="126"/>
      <c r="Q144" s="126"/>
      <c r="R144" s="126"/>
      <c r="U144" s="126"/>
      <c r="V144" s="126"/>
      <c r="W144" s="135">
        <f>MAXIFS('Step 3 FOC Request'!$A:$A, 'Step 3 FOC Request'!$F:$F, $E144)</f>
        <v>0</v>
      </c>
      <c r="X144" s="135">
        <f>MAXIFS('Step 4 FOC Return'!$A:$A, 'Step 4 FOC Return'!$E:$E, $E144)</f>
        <v>0</v>
      </c>
      <c r="Y144" s="126"/>
    </row>
    <row r="145">
      <c r="A145" s="126"/>
      <c r="B145" s="142">
        <v>46073.0</v>
      </c>
      <c r="C145" s="146"/>
      <c r="D145" s="129" t="s">
        <v>31</v>
      </c>
      <c r="E145" s="150">
        <v>3.51690530005449E14</v>
      </c>
      <c r="F145" s="130" t="s">
        <v>1260</v>
      </c>
      <c r="G145" s="143" t="s">
        <v>19</v>
      </c>
      <c r="H145" s="126"/>
      <c r="I145" s="132"/>
      <c r="J145" s="143" t="s">
        <v>51</v>
      </c>
      <c r="K145" s="143" t="s">
        <v>1258</v>
      </c>
      <c r="L145" s="148" t="s">
        <v>26</v>
      </c>
      <c r="M145" s="134" t="str">
        <f t="shared" si="1"/>
        <v>AVAILABLE</v>
      </c>
      <c r="N145" s="134" t="str">
        <f t="array" ref="N145">IF(M145="LOANED / ON KOL", INDEX('Step 3 FOC Request'!$G:$G, MATCH(1, ('Step 3 FOC Request'!$A:$A=W145) * ('Step 3 FOC Request'!$F:$F=E145), 0)), "-")</f>
        <v>-</v>
      </c>
      <c r="O145" s="126"/>
      <c r="P145" s="126"/>
      <c r="Q145" s="126"/>
      <c r="R145" s="126"/>
      <c r="U145" s="126"/>
      <c r="V145" s="126"/>
      <c r="W145" s="135">
        <f>MAXIFS('Step 3 FOC Request'!$A:$A, 'Step 3 FOC Request'!$F:$F, $E145)</f>
        <v>0</v>
      </c>
      <c r="X145" s="135">
        <f>MAXIFS('Step 4 FOC Return'!$A:$A, 'Step 4 FOC Return'!$E:$E, $E145)</f>
        <v>0</v>
      </c>
      <c r="Y145" s="126"/>
    </row>
    <row r="146">
      <c r="A146" s="126"/>
      <c r="B146" s="142">
        <v>46073.0</v>
      </c>
      <c r="C146" s="146"/>
      <c r="D146" s="129" t="s">
        <v>31</v>
      </c>
      <c r="E146" s="150">
        <v>3.51690530029167E14</v>
      </c>
      <c r="F146" s="130" t="s">
        <v>1262</v>
      </c>
      <c r="G146" s="143" t="s">
        <v>19</v>
      </c>
      <c r="H146" s="126"/>
      <c r="I146" s="132"/>
      <c r="J146" s="143" t="s">
        <v>51</v>
      </c>
      <c r="K146" s="143" t="s">
        <v>1258</v>
      </c>
      <c r="L146" s="148" t="s">
        <v>26</v>
      </c>
      <c r="M146" s="134" t="str">
        <f t="shared" si="1"/>
        <v>AVAILABLE</v>
      </c>
      <c r="N146" s="134" t="str">
        <f t="array" ref="N146">IF(M146="LOANED / ON KOL", INDEX('Step 3 FOC Request'!$G:$G, MATCH(1, ('Step 3 FOC Request'!$A:$A=W146) * ('Step 3 FOC Request'!$F:$F=E146), 0)), "-")</f>
        <v>-</v>
      </c>
      <c r="O146" s="126"/>
      <c r="P146" s="126"/>
      <c r="Q146" s="126"/>
      <c r="R146" s="126"/>
      <c r="U146" s="126"/>
      <c r="V146" s="126"/>
      <c r="W146" s="135">
        <f>MAXIFS('Step 3 FOC Request'!$A:$A, 'Step 3 FOC Request'!$F:$F, $E146)</f>
        <v>0</v>
      </c>
      <c r="X146" s="135">
        <f>MAXIFS('Step 4 FOC Return'!$A:$A, 'Step 4 FOC Return'!$E:$E, $E146)</f>
        <v>0</v>
      </c>
      <c r="Y146" s="126"/>
    </row>
    <row r="147">
      <c r="A147" s="126"/>
      <c r="B147" s="142">
        <v>46073.0</v>
      </c>
      <c r="C147" s="146"/>
      <c r="D147" s="129" t="s">
        <v>31</v>
      </c>
      <c r="E147" s="150">
        <v>3.51690530030629E14</v>
      </c>
      <c r="F147" s="130" t="s">
        <v>1262</v>
      </c>
      <c r="G147" s="143" t="s">
        <v>19</v>
      </c>
      <c r="H147" s="126"/>
      <c r="I147" s="132"/>
      <c r="J147" s="143" t="s">
        <v>51</v>
      </c>
      <c r="K147" s="143" t="s">
        <v>1258</v>
      </c>
      <c r="L147" s="148" t="s">
        <v>26</v>
      </c>
      <c r="M147" s="134" t="str">
        <f t="shared" si="1"/>
        <v>AVAILABLE</v>
      </c>
      <c r="N147" s="134" t="str">
        <f t="array" ref="N147">IF(M147="LOANED / ON KOL", INDEX('Step 3 FOC Request'!$G:$G, MATCH(1, ('Step 3 FOC Request'!$A:$A=W147) * ('Step 3 FOC Request'!$F:$F=E147), 0)), "-")</f>
        <v>-</v>
      </c>
      <c r="O147" s="126"/>
      <c r="P147" s="126"/>
      <c r="Q147" s="126"/>
      <c r="R147" s="126"/>
      <c r="U147" s="126"/>
      <c r="V147" s="126"/>
      <c r="W147" s="135">
        <f>MAXIFS('Step 3 FOC Request'!$A:$A, 'Step 3 FOC Request'!$F:$F, $E147)</f>
        <v>0</v>
      </c>
      <c r="X147" s="135">
        <f>MAXIFS('Step 4 FOC Return'!$A:$A, 'Step 4 FOC Return'!$E:$E, $E147)</f>
        <v>0</v>
      </c>
      <c r="Y147" s="126"/>
    </row>
    <row r="148">
      <c r="A148" s="126"/>
      <c r="B148" s="142">
        <v>46073.0</v>
      </c>
      <c r="C148" s="146"/>
      <c r="D148" s="129" t="s">
        <v>31</v>
      </c>
      <c r="E148" s="143">
        <v>3.57703230036582E14</v>
      </c>
      <c r="F148" s="130" t="s">
        <v>1263</v>
      </c>
      <c r="G148" s="143" t="s">
        <v>11</v>
      </c>
      <c r="H148" s="126"/>
      <c r="I148" s="132"/>
      <c r="J148" s="143" t="s">
        <v>41</v>
      </c>
      <c r="K148" s="126"/>
      <c r="L148" s="148" t="s">
        <v>10</v>
      </c>
      <c r="M148" s="134" t="str">
        <f t="shared" si="1"/>
        <v>AVAILABLE</v>
      </c>
      <c r="N148" s="134" t="str">
        <f t="array" ref="N148">IF(M148="LOANED / ON KOL", INDEX('Step 3 FOC Request'!$G:$G, MATCH(1, ('Step 3 FOC Request'!$A:$A=W148) * ('Step 3 FOC Request'!$F:$F=E148), 0)), "-")</f>
        <v>-</v>
      </c>
      <c r="O148" s="126"/>
      <c r="P148" s="126"/>
      <c r="Q148" s="126"/>
      <c r="R148" s="126"/>
      <c r="U148" s="126"/>
      <c r="V148" s="126"/>
      <c r="W148" s="135">
        <f>MAXIFS('Step 3 FOC Request'!$A:$A, 'Step 3 FOC Request'!$F:$F, $E148)</f>
        <v>0</v>
      </c>
      <c r="X148" s="135">
        <f>MAXIFS('Step 4 FOC Return'!$A:$A, 'Step 4 FOC Return'!$E:$E, $E148)</f>
        <v>0</v>
      </c>
      <c r="Y148" s="126"/>
    </row>
    <row r="149">
      <c r="A149" s="126"/>
      <c r="B149" s="142">
        <v>46076.0</v>
      </c>
      <c r="C149" s="146"/>
      <c r="D149" s="129" t="s">
        <v>31</v>
      </c>
      <c r="E149" s="143">
        <v>3.5129832009778E14</v>
      </c>
      <c r="F149" s="130" t="s">
        <v>1228</v>
      </c>
      <c r="G149" s="143" t="s">
        <v>11</v>
      </c>
      <c r="H149" s="126"/>
      <c r="I149" s="132"/>
      <c r="J149" s="143" t="s">
        <v>46</v>
      </c>
      <c r="K149" s="126"/>
      <c r="L149" s="148" t="s">
        <v>10</v>
      </c>
      <c r="M149" s="134" t="str">
        <f t="shared" si="1"/>
        <v>AVAILABLE</v>
      </c>
      <c r="N149" s="134" t="str">
        <f t="array" ref="N149">IF(M149="LOANED / ON KOL", INDEX('Step 3 FOC Request'!$G:$G, MATCH(1, ('Step 3 FOC Request'!$A:$A=W149) * ('Step 3 FOC Request'!$F:$F=E149), 0)), "-")</f>
        <v>-</v>
      </c>
      <c r="O149" s="126"/>
      <c r="P149" s="126"/>
      <c r="Q149" s="126"/>
      <c r="R149" s="126"/>
      <c r="U149" s="126"/>
      <c r="V149" s="126"/>
      <c r="W149" s="135">
        <f>MAXIFS('Step 3 FOC Request'!$A:$A, 'Step 3 FOC Request'!$F:$F, $E149)</f>
        <v>0</v>
      </c>
      <c r="X149" s="135">
        <f>MAXIFS('Step 4 FOC Return'!$A:$A, 'Step 4 FOC Return'!$E:$E, $E149)</f>
        <v>0</v>
      </c>
      <c r="Y149" s="126"/>
    </row>
    <row r="150">
      <c r="A150" s="126"/>
      <c r="B150" s="142">
        <v>46076.0</v>
      </c>
      <c r="C150" s="146"/>
      <c r="D150" s="129" t="s">
        <v>31</v>
      </c>
      <c r="E150" s="143">
        <v>3.56284530004126E14</v>
      </c>
      <c r="F150" s="130" t="s">
        <v>1264</v>
      </c>
      <c r="G150" s="143" t="s">
        <v>11</v>
      </c>
      <c r="H150" s="126"/>
      <c r="I150" s="132"/>
      <c r="J150" s="143" t="s">
        <v>46</v>
      </c>
      <c r="K150" s="126"/>
      <c r="L150" s="148" t="s">
        <v>10</v>
      </c>
      <c r="M150" s="134" t="str">
        <f t="shared" si="1"/>
        <v>LOANED / ON KOL</v>
      </c>
      <c r="N150" s="134" t="str">
        <f t="array" ref="N150">IF(M150="LOANED / ON KOL", INDEX('Step 3 FOC Request'!$G:$G, MATCH(1, ('Step 3 FOC Request'!$A:$A=W150) * ('Step 3 FOC Request'!$F:$F=E150), 0)), "-")</f>
        <v>Fery</v>
      </c>
      <c r="O150" s="126"/>
      <c r="P150" s="126"/>
      <c r="Q150" s="126"/>
      <c r="R150" s="126"/>
      <c r="U150" s="126"/>
      <c r="V150" s="126"/>
      <c r="W150" s="135">
        <f>MAXIFS('Step 3 FOC Request'!$A:$A, 'Step 3 FOC Request'!$F:$F, $E150)</f>
        <v>46076.8125</v>
      </c>
      <c r="X150" s="135">
        <f>MAXIFS('Step 4 FOC Return'!$A:$A, 'Step 4 FOC Return'!$E:$E, $E150)</f>
        <v>0</v>
      </c>
      <c r="Y150" s="126"/>
    </row>
    <row r="151">
      <c r="A151" s="126"/>
      <c r="B151" s="142">
        <v>46076.0</v>
      </c>
      <c r="C151" s="143" t="s">
        <v>35</v>
      </c>
      <c r="D151" s="143" t="s">
        <v>25</v>
      </c>
      <c r="E151" s="143" t="s">
        <v>1265</v>
      </c>
      <c r="F151" s="130" t="s">
        <v>1266</v>
      </c>
      <c r="G151" s="143" t="s">
        <v>11</v>
      </c>
      <c r="H151" s="151">
        <v>46203.0</v>
      </c>
      <c r="I151" s="132"/>
      <c r="J151" s="143" t="s">
        <v>8</v>
      </c>
      <c r="K151" s="143" t="s">
        <v>1165</v>
      </c>
      <c r="L151" s="148" t="s">
        <v>10</v>
      </c>
      <c r="M151" s="134" t="str">
        <f t="shared" si="1"/>
        <v>LOANED / ON KOL</v>
      </c>
      <c r="N151" s="134" t="str">
        <f t="array" ref="N151">IF(M151="LOANED / ON KOL", INDEX('Step 3 FOC Request'!$G:$G, MATCH(1, ('Step 3 FOC Request'!$A:$A=W151) * ('Step 3 FOC Request'!$F:$F=E151), 0)), "-")</f>
        <v>Adikara</v>
      </c>
      <c r="O151" s="126"/>
      <c r="P151" s="126"/>
      <c r="Q151" s="126"/>
      <c r="R151" s="126"/>
      <c r="U151" s="126"/>
      <c r="V151" s="126"/>
      <c r="W151" s="135">
        <f>MAXIFS('Step 3 FOC Request'!$A:$A, 'Step 3 FOC Request'!$F:$F, $E151)</f>
        <v>46083.57502</v>
      </c>
      <c r="X151" s="135">
        <f>MAXIFS('Step 4 FOC Return'!$A:$A, 'Step 4 FOC Return'!$E:$E, $E151)</f>
        <v>0</v>
      </c>
      <c r="Y151" s="126"/>
    </row>
    <row r="152">
      <c r="A152" s="126"/>
      <c r="B152" s="142">
        <v>46076.0</v>
      </c>
      <c r="C152" s="143" t="s">
        <v>35</v>
      </c>
      <c r="D152" s="143" t="s">
        <v>25</v>
      </c>
      <c r="E152" s="143" t="s">
        <v>1267</v>
      </c>
      <c r="F152" s="130" t="s">
        <v>1266</v>
      </c>
      <c r="G152" s="143" t="s">
        <v>11</v>
      </c>
      <c r="H152" s="151">
        <v>46203.0</v>
      </c>
      <c r="I152" s="132"/>
      <c r="J152" s="143" t="s">
        <v>8</v>
      </c>
      <c r="K152" s="143" t="s">
        <v>1165</v>
      </c>
      <c r="L152" s="148" t="s">
        <v>10</v>
      </c>
      <c r="M152" s="134" t="str">
        <f t="shared" si="1"/>
        <v>AVAILABLE</v>
      </c>
      <c r="N152" s="134" t="str">
        <f t="array" ref="N152">IF(M152="LOANED / ON KOL", INDEX('Step 3 FOC Request'!$G:$G, MATCH(1, ('Step 3 FOC Request'!$A:$A=W152) * ('Step 3 FOC Request'!$F:$F=E152), 0)), "-")</f>
        <v>-</v>
      </c>
      <c r="O152" s="126"/>
      <c r="P152" s="126"/>
      <c r="Q152" s="126"/>
      <c r="R152" s="126"/>
      <c r="U152" s="126"/>
      <c r="V152" s="126"/>
      <c r="W152" s="135">
        <f>MAXIFS('Step 3 FOC Request'!$A:$A, 'Step 3 FOC Request'!$F:$F, $E152)</f>
        <v>0</v>
      </c>
      <c r="X152" s="135">
        <f>MAXIFS('Step 4 FOC Return'!$A:$A, 'Step 4 FOC Return'!$E:$E, $E152)</f>
        <v>0</v>
      </c>
      <c r="Y152" s="126"/>
    </row>
    <row r="153">
      <c r="A153" s="126"/>
      <c r="B153" s="142">
        <v>46076.0</v>
      </c>
      <c r="C153" s="143" t="s">
        <v>35</v>
      </c>
      <c r="D153" s="143" t="s">
        <v>25</v>
      </c>
      <c r="E153" s="143" t="s">
        <v>1268</v>
      </c>
      <c r="F153" s="130" t="s">
        <v>1266</v>
      </c>
      <c r="G153" s="143" t="s">
        <v>11</v>
      </c>
      <c r="H153" s="151">
        <v>46203.0</v>
      </c>
      <c r="I153" s="132"/>
      <c r="J153" s="143" t="s">
        <v>8</v>
      </c>
      <c r="K153" s="143" t="s">
        <v>1165</v>
      </c>
      <c r="L153" s="148" t="s">
        <v>10</v>
      </c>
      <c r="M153" s="134" t="str">
        <f t="shared" si="1"/>
        <v>LOANED / ON KOL</v>
      </c>
      <c r="N153" s="134" t="str">
        <f t="array" ref="N153">IF(M153="LOANED / ON KOL", INDEX('Step 3 FOC Request'!$G:$G, MATCH(1, ('Step 3 FOC Request'!$A:$A=W153) * ('Step 3 FOC Request'!$F:$F=E153), 0)), "-")</f>
        <v>Ahmad Tito</v>
      </c>
      <c r="O153" s="126"/>
      <c r="P153" s="126"/>
      <c r="Q153" s="126"/>
      <c r="R153" s="126"/>
      <c r="U153" s="126"/>
      <c r="V153" s="126"/>
      <c r="W153" s="135">
        <f>MAXIFS('Step 3 FOC Request'!$A:$A, 'Step 3 FOC Request'!$F:$F, $E153)</f>
        <v>46079.61593</v>
      </c>
      <c r="X153" s="135">
        <f>MAXIFS('Step 4 FOC Return'!$A:$A, 'Step 4 FOC Return'!$E:$E, $E153)</f>
        <v>0</v>
      </c>
      <c r="Y153" s="126"/>
    </row>
    <row r="154">
      <c r="A154" s="126"/>
      <c r="B154" s="142">
        <v>46076.0</v>
      </c>
      <c r="C154" s="143" t="s">
        <v>35</v>
      </c>
      <c r="D154" s="143" t="s">
        <v>25</v>
      </c>
      <c r="E154" s="143" t="s">
        <v>1269</v>
      </c>
      <c r="F154" s="130" t="s">
        <v>1266</v>
      </c>
      <c r="G154" s="143" t="s">
        <v>11</v>
      </c>
      <c r="H154" s="151">
        <v>46203.0</v>
      </c>
      <c r="I154" s="132"/>
      <c r="J154" s="143" t="s">
        <v>8</v>
      </c>
      <c r="K154" s="143" t="s">
        <v>1165</v>
      </c>
      <c r="L154" s="148" t="s">
        <v>10</v>
      </c>
      <c r="M154" s="134" t="str">
        <f t="shared" si="1"/>
        <v>AVAILABLE</v>
      </c>
      <c r="N154" s="134" t="str">
        <f t="array" ref="N154">IF(M154="LOANED / ON KOL", INDEX('Step 3 FOC Request'!$G:$G, MATCH(1, ('Step 3 FOC Request'!$A:$A=W154) * ('Step 3 FOC Request'!$F:$F=E154), 0)), "-")</f>
        <v>-</v>
      </c>
      <c r="O154" s="126"/>
      <c r="P154" s="126"/>
      <c r="Q154" s="126"/>
      <c r="R154" s="126"/>
      <c r="U154" s="126"/>
      <c r="V154" s="126"/>
      <c r="W154" s="135">
        <f>MAXIFS('Step 3 FOC Request'!$A:$A, 'Step 3 FOC Request'!$F:$F, $E154)</f>
        <v>0</v>
      </c>
      <c r="X154" s="135">
        <f>MAXIFS('Step 4 FOC Return'!$A:$A, 'Step 4 FOC Return'!$E:$E, $E154)</f>
        <v>0</v>
      </c>
      <c r="Y154" s="126"/>
    </row>
    <row r="155">
      <c r="A155" s="126"/>
      <c r="B155" s="142">
        <v>46076.0</v>
      </c>
      <c r="C155" s="143" t="s">
        <v>35</v>
      </c>
      <c r="D155" s="143" t="s">
        <v>25</v>
      </c>
      <c r="E155" s="143" t="s">
        <v>1270</v>
      </c>
      <c r="F155" s="130" t="s">
        <v>1271</v>
      </c>
      <c r="G155" s="143" t="s">
        <v>11</v>
      </c>
      <c r="H155" s="151">
        <v>46203.0</v>
      </c>
      <c r="I155" s="132"/>
      <c r="J155" s="143" t="s">
        <v>8</v>
      </c>
      <c r="K155" s="143" t="s">
        <v>1165</v>
      </c>
      <c r="L155" s="148" t="s">
        <v>10</v>
      </c>
      <c r="M155" s="134" t="str">
        <f t="shared" si="1"/>
        <v>LOANED / ON KOL</v>
      </c>
      <c r="N155" s="134" t="str">
        <f t="array" ref="N155">IF(M155="LOANED / ON KOL", INDEX('Step 3 FOC Request'!$G:$G, MATCH(1, ('Step 3 FOC Request'!$A:$A=W155) * ('Step 3 FOC Request'!$F:$F=E155), 0)), "-")</f>
        <v>Jesica Veranda</v>
      </c>
      <c r="O155" s="126"/>
      <c r="P155" s="126"/>
      <c r="Q155" s="126"/>
      <c r="R155" s="126"/>
      <c r="U155" s="126"/>
      <c r="V155" s="126"/>
      <c r="W155" s="135">
        <f>MAXIFS('Step 3 FOC Request'!$A:$A, 'Step 3 FOC Request'!$F:$F, $E155)</f>
        <v>46079.57652</v>
      </c>
      <c r="X155" s="135">
        <f>MAXIFS('Step 4 FOC Return'!$A:$A, 'Step 4 FOC Return'!$E:$E, $E155)</f>
        <v>0</v>
      </c>
      <c r="Y155" s="126"/>
    </row>
    <row r="156">
      <c r="A156" s="126"/>
      <c r="B156" s="142">
        <v>46076.0</v>
      </c>
      <c r="C156" s="143" t="s">
        <v>35</v>
      </c>
      <c r="D156" s="143" t="s">
        <v>25</v>
      </c>
      <c r="E156" s="143" t="s">
        <v>1272</v>
      </c>
      <c r="F156" s="130" t="s">
        <v>1271</v>
      </c>
      <c r="G156" s="143" t="s">
        <v>11</v>
      </c>
      <c r="H156" s="151">
        <v>46203.0</v>
      </c>
      <c r="I156" s="132"/>
      <c r="J156" s="143" t="s">
        <v>8</v>
      </c>
      <c r="K156" s="143" t="s">
        <v>1165</v>
      </c>
      <c r="L156" s="148" t="s">
        <v>10</v>
      </c>
      <c r="M156" s="134" t="str">
        <f t="shared" si="1"/>
        <v>LOANED / ON KOL</v>
      </c>
      <c r="N156" s="134" t="str">
        <f t="array" ref="N156">IF(M156="LOANED / ON KOL", INDEX('Step 3 FOC Request'!$G:$G, MATCH(1, ('Step 3 FOC Request'!$A:$A=W156) * ('Step 3 FOC Request'!$F:$F=E156), 0)), "-")</f>
        <v>gaby saputra</v>
      </c>
      <c r="O156" s="126"/>
      <c r="P156" s="126"/>
      <c r="Q156" s="126"/>
      <c r="R156" s="126"/>
      <c r="U156" s="126"/>
      <c r="V156" s="126"/>
      <c r="W156" s="135">
        <f>MAXIFS('Step 3 FOC Request'!$A:$A, 'Step 3 FOC Request'!$F:$F, $E156)</f>
        <v>46091.63962</v>
      </c>
      <c r="X156" s="135">
        <f>MAXIFS('Step 4 FOC Return'!$A:$A, 'Step 4 FOC Return'!$E:$E, $E156)</f>
        <v>0</v>
      </c>
      <c r="Y156" s="126"/>
    </row>
    <row r="157">
      <c r="A157" s="126"/>
      <c r="B157" s="142">
        <v>46076.0</v>
      </c>
      <c r="C157" s="143" t="s">
        <v>35</v>
      </c>
      <c r="D157" s="143" t="s">
        <v>25</v>
      </c>
      <c r="E157" s="143" t="s">
        <v>1273</v>
      </c>
      <c r="F157" s="130" t="s">
        <v>1274</v>
      </c>
      <c r="G157" s="143" t="s">
        <v>11</v>
      </c>
      <c r="H157" s="151">
        <v>46203.0</v>
      </c>
      <c r="I157" s="132"/>
      <c r="J157" s="143" t="s">
        <v>8</v>
      </c>
      <c r="K157" s="143" t="s">
        <v>1165</v>
      </c>
      <c r="L157" s="148" t="s">
        <v>10</v>
      </c>
      <c r="M157" s="134" t="str">
        <f t="shared" si="1"/>
        <v>LOANED / ON KOL</v>
      </c>
      <c r="N157" s="134" t="str">
        <f t="array" ref="N157">IF(M157="LOANED / ON KOL", INDEX('Step 3 FOC Request'!$G:$G, MATCH(1, ('Step 3 FOC Request'!$A:$A=W157) * ('Step 3 FOC Request'!$F:$F=E157), 0)), "-")</f>
        <v>sadam / irma</v>
      </c>
      <c r="O157" s="126"/>
      <c r="P157" s="126"/>
      <c r="Q157" s="126"/>
      <c r="R157" s="126"/>
      <c r="U157" s="126"/>
      <c r="V157" s="126"/>
      <c r="W157" s="135">
        <f>MAXIFS('Step 3 FOC Request'!$A:$A, 'Step 3 FOC Request'!$F:$F, $E157)</f>
        <v>46091.64437</v>
      </c>
      <c r="X157" s="135">
        <f>MAXIFS('Step 4 FOC Return'!$A:$A, 'Step 4 FOC Return'!$E:$E, $E157)</f>
        <v>0</v>
      </c>
      <c r="Y157" s="126"/>
    </row>
    <row r="158">
      <c r="A158" s="126"/>
      <c r="B158" s="142">
        <v>46076.0</v>
      </c>
      <c r="C158" s="143" t="s">
        <v>35</v>
      </c>
      <c r="D158" s="143" t="s">
        <v>25</v>
      </c>
      <c r="E158" s="143" t="s">
        <v>1275</v>
      </c>
      <c r="F158" s="130" t="s">
        <v>1274</v>
      </c>
      <c r="G158" s="143" t="s">
        <v>11</v>
      </c>
      <c r="H158" s="151">
        <v>46203.0</v>
      </c>
      <c r="I158" s="132"/>
      <c r="J158" s="143" t="s">
        <v>8</v>
      </c>
      <c r="K158" s="143" t="s">
        <v>1165</v>
      </c>
      <c r="L158" s="148" t="s">
        <v>10</v>
      </c>
      <c r="M158" s="134" t="str">
        <f t="shared" si="1"/>
        <v>LOANED / ON KOL</v>
      </c>
      <c r="N158" s="134" t="str">
        <f t="array" ref="N158">IF(M158="LOANED / ON KOL", INDEX('Step 3 FOC Request'!$G:$G, MATCH(1, ('Step 3 FOC Request'!$A:$A=W158) * ('Step 3 FOC Request'!$F:$F=E158), 0)), "-")</f>
        <v>Acipa</v>
      </c>
      <c r="O158" s="126"/>
      <c r="P158" s="126"/>
      <c r="Q158" s="126"/>
      <c r="R158" s="126"/>
      <c r="U158" s="126"/>
      <c r="V158" s="126"/>
      <c r="W158" s="135">
        <f>MAXIFS('Step 3 FOC Request'!$A:$A, 'Step 3 FOC Request'!$F:$F, $E158)</f>
        <v>46083.5756</v>
      </c>
      <c r="X158" s="135">
        <f>MAXIFS('Step 4 FOC Return'!$A:$A, 'Step 4 FOC Return'!$E:$E, $E158)</f>
        <v>0</v>
      </c>
      <c r="Y158" s="126"/>
    </row>
    <row r="159">
      <c r="A159" s="126"/>
      <c r="B159" s="142">
        <v>46076.0</v>
      </c>
      <c r="C159" s="143" t="s">
        <v>23</v>
      </c>
      <c r="D159" s="129" t="s">
        <v>31</v>
      </c>
      <c r="E159" s="143">
        <v>3.50576859133328E14</v>
      </c>
      <c r="F159" s="130" t="s">
        <v>1276</v>
      </c>
      <c r="G159" s="143" t="s">
        <v>11</v>
      </c>
      <c r="H159" s="151">
        <v>46142.0</v>
      </c>
      <c r="I159" s="132"/>
      <c r="J159" s="143" t="s">
        <v>47</v>
      </c>
      <c r="K159" s="148" t="s">
        <v>1193</v>
      </c>
      <c r="L159" s="148" t="s">
        <v>10</v>
      </c>
      <c r="M159" s="134" t="str">
        <f t="shared" si="1"/>
        <v>AVAILABLE</v>
      </c>
      <c r="N159" s="134" t="str">
        <f t="array" ref="N159">IF(M159="LOANED / ON KOL", INDEX('Step 3 FOC Request'!$G:$G, MATCH(1, ('Step 3 FOC Request'!$A:$A=W159) * ('Step 3 FOC Request'!$F:$F=E159), 0)), "-")</f>
        <v>-</v>
      </c>
      <c r="O159" s="126"/>
      <c r="P159" s="126"/>
      <c r="Q159" s="126"/>
      <c r="R159" s="126"/>
      <c r="U159" s="126"/>
      <c r="V159" s="126"/>
      <c r="W159" s="135">
        <f>MAXIFS('Step 3 FOC Request'!$A:$A, 'Step 3 FOC Request'!$F:$F, $E159)</f>
        <v>0</v>
      </c>
      <c r="X159" s="135">
        <f>MAXIFS('Step 4 FOC Return'!$A:$A, 'Step 4 FOC Return'!$E:$E, $E159)</f>
        <v>0</v>
      </c>
      <c r="Y159" s="126"/>
    </row>
    <row r="160">
      <c r="A160" s="126"/>
      <c r="B160" s="142">
        <v>46076.0</v>
      </c>
      <c r="C160" s="143" t="s">
        <v>23</v>
      </c>
      <c r="D160" s="129" t="s">
        <v>31</v>
      </c>
      <c r="E160" s="143">
        <v>3.5585115031023E14</v>
      </c>
      <c r="F160" s="130" t="s">
        <v>1277</v>
      </c>
      <c r="G160" s="143" t="s">
        <v>11</v>
      </c>
      <c r="H160" s="151">
        <v>46142.0</v>
      </c>
      <c r="I160" s="132"/>
      <c r="J160" s="143" t="s">
        <v>47</v>
      </c>
      <c r="K160" s="148" t="s">
        <v>1193</v>
      </c>
      <c r="L160" s="148" t="s">
        <v>10</v>
      </c>
      <c r="M160" s="134" t="str">
        <f t="shared" si="1"/>
        <v>LOANED / ON KOL</v>
      </c>
      <c r="N160" s="134" t="str">
        <f t="array" ref="N160">IF(M160="LOANED / ON KOL", INDEX('Step 3 FOC Request'!$G:$G, MATCH(1, ('Step 3 FOC Request'!$A:$A=W160) * ('Step 3 FOC Request'!$F:$F=E160), 0)), "-")</f>
        <v>Davrizojol</v>
      </c>
      <c r="O160" s="126"/>
      <c r="P160" s="126"/>
      <c r="Q160" s="126"/>
      <c r="R160" s="126"/>
      <c r="U160" s="126"/>
      <c r="V160" s="126"/>
      <c r="W160" s="135">
        <f>MAXIFS('Step 3 FOC Request'!$A:$A, 'Step 3 FOC Request'!$F:$F, $E160)</f>
        <v>46079.54516</v>
      </c>
      <c r="X160" s="135">
        <f>MAXIFS('Step 4 FOC Return'!$A:$A, 'Step 4 FOC Return'!$E:$E, $E160)</f>
        <v>0</v>
      </c>
      <c r="Y160" s="126"/>
    </row>
    <row r="161">
      <c r="A161" s="126"/>
      <c r="B161" s="142">
        <v>46076.0</v>
      </c>
      <c r="C161" s="143" t="s">
        <v>23</v>
      </c>
      <c r="D161" s="129" t="s">
        <v>31</v>
      </c>
      <c r="E161" s="143">
        <v>3.57703230036798E14</v>
      </c>
      <c r="F161" s="130" t="s">
        <v>1278</v>
      </c>
      <c r="G161" s="143" t="s">
        <v>11</v>
      </c>
      <c r="H161" s="151">
        <v>46142.0</v>
      </c>
      <c r="I161" s="132"/>
      <c r="J161" s="143" t="s">
        <v>47</v>
      </c>
      <c r="K161" s="148" t="s">
        <v>1193</v>
      </c>
      <c r="L161" s="148" t="s">
        <v>10</v>
      </c>
      <c r="M161" s="134" t="str">
        <f t="shared" si="1"/>
        <v>AVAILABLE</v>
      </c>
      <c r="N161" s="134" t="str">
        <f t="array" ref="N161">IF(M161="LOANED / ON KOL", INDEX('Step 3 FOC Request'!$G:$G, MATCH(1, ('Step 3 FOC Request'!$A:$A=W161) * ('Step 3 FOC Request'!$F:$F=E161), 0)), "-")</f>
        <v>-</v>
      </c>
      <c r="O161" s="126"/>
      <c r="P161" s="126"/>
      <c r="Q161" s="126"/>
      <c r="R161" s="126"/>
      <c r="U161" s="126"/>
      <c r="V161" s="126"/>
      <c r="W161" s="135">
        <f>MAXIFS('Step 3 FOC Request'!$A:$A, 'Step 3 FOC Request'!$F:$F, $E161)</f>
        <v>0</v>
      </c>
      <c r="X161" s="135">
        <f>MAXIFS('Step 4 FOC Return'!$A:$A, 'Step 4 FOC Return'!$E:$E, $E161)</f>
        <v>0</v>
      </c>
      <c r="Y161" s="126"/>
    </row>
    <row r="162">
      <c r="A162" s="126"/>
      <c r="B162" s="142">
        <v>46076.0</v>
      </c>
      <c r="C162" s="143" t="s">
        <v>23</v>
      </c>
      <c r="D162" s="129" t="s">
        <v>31</v>
      </c>
      <c r="E162" s="143">
        <v>3.54312420022502E14</v>
      </c>
      <c r="F162" s="130" t="s">
        <v>1173</v>
      </c>
      <c r="G162" s="143" t="s">
        <v>11</v>
      </c>
      <c r="H162" s="151">
        <v>46142.0</v>
      </c>
      <c r="I162" s="132"/>
      <c r="J162" s="143" t="s">
        <v>47</v>
      </c>
      <c r="K162" s="148" t="s">
        <v>1193</v>
      </c>
      <c r="L162" s="148" t="s">
        <v>10</v>
      </c>
      <c r="M162" s="134" t="str">
        <f t="shared" si="1"/>
        <v>LOANED / ON KOL</v>
      </c>
      <c r="N162" s="134" t="str">
        <f t="array" ref="N162">IF(M162="LOANED / ON KOL", INDEX('Step 3 FOC Request'!$G:$G, MATCH(1, ('Step 3 FOC Request'!$A:$A=W162) * ('Step 3 FOC Request'!$F:$F=E162), 0)), "-")</f>
        <v>Zahral  Antika</v>
      </c>
      <c r="O162" s="126"/>
      <c r="P162" s="126"/>
      <c r="Q162" s="126"/>
      <c r="R162" s="126"/>
      <c r="U162" s="126"/>
      <c r="V162" s="126"/>
      <c r="W162" s="135">
        <f>MAXIFS('Step 3 FOC Request'!$A:$A, 'Step 3 FOC Request'!$F:$F, $E162)</f>
        <v>46094.46801</v>
      </c>
      <c r="X162" s="135">
        <f>MAXIFS('Step 4 FOC Return'!$A:$A, 'Step 4 FOC Return'!$E:$E, $E162)</f>
        <v>0</v>
      </c>
      <c r="Y162" s="126"/>
    </row>
    <row r="163">
      <c r="A163" s="126"/>
      <c r="B163" s="142">
        <v>46076.0</v>
      </c>
      <c r="C163" s="143" t="s">
        <v>23</v>
      </c>
      <c r="D163" s="143" t="s">
        <v>44</v>
      </c>
      <c r="E163" s="143" t="s">
        <v>1279</v>
      </c>
      <c r="F163" s="130" t="s">
        <v>1280</v>
      </c>
      <c r="G163" s="143" t="s">
        <v>11</v>
      </c>
      <c r="H163" s="151">
        <v>46142.0</v>
      </c>
      <c r="I163" s="132"/>
      <c r="J163" s="143" t="s">
        <v>47</v>
      </c>
      <c r="K163" s="148" t="s">
        <v>1193</v>
      </c>
      <c r="L163" s="148" t="s">
        <v>10</v>
      </c>
      <c r="M163" s="134" t="str">
        <f t="shared" si="1"/>
        <v>LOANED / ON KOL</v>
      </c>
      <c r="N163" s="134" t="str">
        <f t="array" ref="N163">IF(M163="LOANED / ON KOL", INDEX('Step 3 FOC Request'!$G:$G, MATCH(1, ('Step 3 FOC Request'!$A:$A=W163) * ('Step 3 FOC Request'!$F:$F=E163), 0)), "-")</f>
        <v>Zuhair</v>
      </c>
      <c r="O163" s="126"/>
      <c r="P163" s="126"/>
      <c r="Q163" s="126"/>
      <c r="R163" s="126"/>
      <c r="U163" s="126"/>
      <c r="V163" s="126"/>
      <c r="W163" s="135">
        <f>MAXIFS('Step 3 FOC Request'!$A:$A, 'Step 3 FOC Request'!$F:$F, $E163)</f>
        <v>46078.75</v>
      </c>
      <c r="X163" s="135">
        <f>MAXIFS('Step 4 FOC Return'!$A:$A, 'Step 4 FOC Return'!$E:$E, $E163)</f>
        <v>0</v>
      </c>
      <c r="Y163" s="126"/>
    </row>
    <row r="164">
      <c r="A164" s="126"/>
      <c r="B164" s="142">
        <v>46076.0</v>
      </c>
      <c r="C164" s="143" t="s">
        <v>23</v>
      </c>
      <c r="D164" s="143" t="s">
        <v>44</v>
      </c>
      <c r="E164" s="143" t="s">
        <v>1281</v>
      </c>
      <c r="F164" s="130" t="s">
        <v>1282</v>
      </c>
      <c r="G164" s="143" t="s">
        <v>11</v>
      </c>
      <c r="H164" s="151">
        <v>46142.0</v>
      </c>
      <c r="I164" s="132"/>
      <c r="J164" s="143" t="s">
        <v>47</v>
      </c>
      <c r="K164" s="148" t="s">
        <v>1193</v>
      </c>
      <c r="L164" s="148" t="s">
        <v>10</v>
      </c>
      <c r="M164" s="134" t="str">
        <f t="shared" si="1"/>
        <v>LOANED / ON KOL</v>
      </c>
      <c r="N164" s="134" t="str">
        <f t="array" ref="N164">IF(M164="LOANED / ON KOL", INDEX('Step 3 FOC Request'!$G:$G, MATCH(1, ('Step 3 FOC Request'!$A:$A=W164) * ('Step 3 FOC Request'!$F:$F=E164), 0)), "-")</f>
        <v>Shafa Lubis</v>
      </c>
      <c r="O164" s="126"/>
      <c r="P164" s="126"/>
      <c r="Q164" s="126"/>
      <c r="R164" s="126"/>
      <c r="U164" s="126"/>
      <c r="V164" s="126"/>
      <c r="W164" s="135">
        <f>MAXIFS('Step 3 FOC Request'!$A:$A, 'Step 3 FOC Request'!$F:$F, $E164)</f>
        <v>46078.75</v>
      </c>
      <c r="X164" s="135">
        <f>MAXIFS('Step 4 FOC Return'!$A:$A, 'Step 4 FOC Return'!$E:$E, $E164)</f>
        <v>0</v>
      </c>
      <c r="Y164" s="126"/>
    </row>
    <row r="165">
      <c r="A165" s="126"/>
      <c r="B165" s="142">
        <v>46076.0</v>
      </c>
      <c r="C165" s="143" t="s">
        <v>23</v>
      </c>
      <c r="D165" s="143" t="s">
        <v>25</v>
      </c>
      <c r="E165" s="143" t="s">
        <v>1283</v>
      </c>
      <c r="F165" s="130" t="s">
        <v>1284</v>
      </c>
      <c r="G165" s="143" t="s">
        <v>11</v>
      </c>
      <c r="H165" s="151">
        <v>46142.0</v>
      </c>
      <c r="I165" s="132"/>
      <c r="J165" s="143" t="s">
        <v>47</v>
      </c>
      <c r="K165" s="143" t="s">
        <v>1193</v>
      </c>
      <c r="L165" s="148" t="s">
        <v>10</v>
      </c>
      <c r="M165" s="134" t="str">
        <f t="shared" si="1"/>
        <v>LOANED / ON KOL</v>
      </c>
      <c r="N165" s="134" t="str">
        <f t="array" ref="N165">IF(M165="LOANED / ON KOL", INDEX('Step 3 FOC Request'!$G:$G, MATCH(1, ('Step 3 FOC Request'!$A:$A=W165) * ('Step 3 FOC Request'!$F:$F=E165), 0)), "-")</f>
        <v>Zuhair</v>
      </c>
      <c r="O165" s="126"/>
      <c r="P165" s="126"/>
      <c r="Q165" s="126"/>
      <c r="R165" s="126"/>
      <c r="U165" s="126"/>
      <c r="V165" s="126"/>
      <c r="W165" s="135">
        <f>MAXIFS('Step 3 FOC Request'!$A:$A, 'Step 3 FOC Request'!$F:$F, $E165)</f>
        <v>46078.75</v>
      </c>
      <c r="X165" s="135">
        <f>MAXIFS('Step 4 FOC Return'!$A:$A, 'Step 4 FOC Return'!$E:$E, $E165)</f>
        <v>0</v>
      </c>
      <c r="Y165" s="126"/>
    </row>
    <row r="166">
      <c r="A166" s="126"/>
      <c r="B166" s="142">
        <v>46076.0</v>
      </c>
      <c r="C166" s="143" t="s">
        <v>23</v>
      </c>
      <c r="D166" s="129" t="s">
        <v>31</v>
      </c>
      <c r="E166" s="143">
        <v>3.51298320043586E14</v>
      </c>
      <c r="F166" s="130" t="s">
        <v>1285</v>
      </c>
      <c r="G166" s="143" t="s">
        <v>11</v>
      </c>
      <c r="H166" s="151">
        <v>46142.0</v>
      </c>
      <c r="I166" s="132"/>
      <c r="J166" s="143" t="s">
        <v>47</v>
      </c>
      <c r="K166" s="148" t="s">
        <v>1193</v>
      </c>
      <c r="L166" s="148" t="s">
        <v>10</v>
      </c>
      <c r="M166" s="134" t="str">
        <f t="shared" si="1"/>
        <v>LOANED / ON KOL</v>
      </c>
      <c r="N166" s="134" t="str">
        <f t="array" ref="N166">IF(M166="LOANED / ON KOL", INDEX('Step 3 FOC Request'!$G:$G, MATCH(1, ('Step 3 FOC Request'!$A:$A=W166) * ('Step 3 FOC Request'!$F:$F=E166), 0)), "-")</f>
        <v>Azzura Bisyir</v>
      </c>
      <c r="O166" s="126"/>
      <c r="P166" s="126"/>
      <c r="Q166" s="126"/>
      <c r="R166" s="126"/>
      <c r="U166" s="126"/>
      <c r="V166" s="126"/>
      <c r="W166" s="135">
        <f>MAXIFS('Step 3 FOC Request'!$A:$A, 'Step 3 FOC Request'!$F:$F, $E166)</f>
        <v>46078.75</v>
      </c>
      <c r="X166" s="135">
        <f>MAXIFS('Step 4 FOC Return'!$A:$A, 'Step 4 FOC Return'!$E:$E, $E166)</f>
        <v>0</v>
      </c>
      <c r="Y166" s="126"/>
    </row>
    <row r="167">
      <c r="A167" s="126"/>
      <c r="B167" s="142">
        <v>46076.0</v>
      </c>
      <c r="C167" s="143" t="s">
        <v>23</v>
      </c>
      <c r="D167" s="129" t="s">
        <v>31</v>
      </c>
      <c r="E167" s="143">
        <v>3.54922130015404E14</v>
      </c>
      <c r="F167" s="130" t="s">
        <v>1286</v>
      </c>
      <c r="G167" s="143" t="s">
        <v>11</v>
      </c>
      <c r="H167" s="151">
        <v>46142.0</v>
      </c>
      <c r="I167" s="132"/>
      <c r="J167" s="143" t="s">
        <v>47</v>
      </c>
      <c r="K167" s="148" t="s">
        <v>1193</v>
      </c>
      <c r="L167" s="148" t="s">
        <v>10</v>
      </c>
      <c r="M167" s="134" t="str">
        <f t="shared" si="1"/>
        <v>AVAILABLE</v>
      </c>
      <c r="N167" s="134" t="str">
        <f t="array" ref="N167">IF(M167="LOANED / ON KOL", INDEX('Step 3 FOC Request'!$G:$G, MATCH(1, ('Step 3 FOC Request'!$A:$A=W167) * ('Step 3 FOC Request'!$F:$F=E167), 0)), "-")</f>
        <v>-</v>
      </c>
      <c r="O167" s="126"/>
      <c r="P167" s="126"/>
      <c r="Q167" s="126"/>
      <c r="R167" s="126"/>
      <c r="U167" s="126"/>
      <c r="V167" s="126"/>
      <c r="W167" s="135">
        <f>MAXIFS('Step 3 FOC Request'!$A:$A, 'Step 3 FOC Request'!$F:$F, $E167)</f>
        <v>0</v>
      </c>
      <c r="X167" s="135">
        <f>MAXIFS('Step 4 FOC Return'!$A:$A, 'Step 4 FOC Return'!$E:$E, $E167)</f>
        <v>0</v>
      </c>
      <c r="Y167" s="126"/>
    </row>
    <row r="168">
      <c r="A168" s="126"/>
      <c r="B168" s="142">
        <v>46076.0</v>
      </c>
      <c r="C168" s="143" t="s">
        <v>23</v>
      </c>
      <c r="D168" s="143" t="s">
        <v>42</v>
      </c>
      <c r="E168" s="143">
        <v>3.58387120010078E14</v>
      </c>
      <c r="F168" s="130" t="s">
        <v>1287</v>
      </c>
      <c r="G168" s="143" t="s">
        <v>11</v>
      </c>
      <c r="H168" s="151">
        <v>46142.0</v>
      </c>
      <c r="I168" s="132"/>
      <c r="J168" s="143" t="s">
        <v>47</v>
      </c>
      <c r="K168" s="148" t="s">
        <v>1193</v>
      </c>
      <c r="L168" s="148" t="s">
        <v>10</v>
      </c>
      <c r="M168" s="134" t="str">
        <f t="shared" si="1"/>
        <v>LOANED / ON KOL</v>
      </c>
      <c r="N168" s="134" t="str">
        <f t="array" ref="N168">IF(M168="LOANED / ON KOL", INDEX('Step 3 FOC Request'!$G:$G, MATCH(1, ('Step 3 FOC Request'!$A:$A=W168) * ('Step 3 FOC Request'!$F:$F=E168), 0)), "-")</f>
        <v>Taufanoz</v>
      </c>
      <c r="O168" s="126"/>
      <c r="P168" s="126"/>
      <c r="Q168" s="126"/>
      <c r="R168" s="126"/>
      <c r="U168" s="126"/>
      <c r="V168" s="126"/>
      <c r="W168" s="135">
        <f>MAXIFS('Step 3 FOC Request'!$A:$A, 'Step 3 FOC Request'!$F:$F, $E168)</f>
        <v>46080.55161</v>
      </c>
      <c r="X168" s="135">
        <f>MAXIFS('Step 4 FOC Return'!$A:$A, 'Step 4 FOC Return'!$E:$E, $E168)</f>
        <v>0</v>
      </c>
      <c r="Y168" s="126"/>
    </row>
    <row r="169">
      <c r="A169" s="126"/>
      <c r="B169" s="142">
        <v>46076.0</v>
      </c>
      <c r="C169" s="146"/>
      <c r="D169" s="129" t="s">
        <v>31</v>
      </c>
      <c r="E169" s="143">
        <v>3.52954990106041E14</v>
      </c>
      <c r="F169" s="130" t="s">
        <v>1288</v>
      </c>
      <c r="G169" s="143" t="s">
        <v>19</v>
      </c>
      <c r="H169" s="143" t="s">
        <v>1289</v>
      </c>
      <c r="I169" s="132"/>
      <c r="J169" s="143" t="s">
        <v>51</v>
      </c>
      <c r="K169" s="143" t="s">
        <v>1258</v>
      </c>
      <c r="L169" s="148" t="s">
        <v>26</v>
      </c>
      <c r="M169" s="134" t="str">
        <f t="shared" si="1"/>
        <v>AVAILABLE</v>
      </c>
      <c r="N169" s="134" t="str">
        <f t="array" ref="N169">IF(M169="LOANED / ON KOL", INDEX('Step 3 FOC Request'!$G:$G, MATCH(1, ('Step 3 FOC Request'!$A:$A=W169) * ('Step 3 FOC Request'!$F:$F=E169), 0)), "-")</f>
        <v>-</v>
      </c>
      <c r="O169" s="126"/>
      <c r="P169" s="126"/>
      <c r="Q169" s="126"/>
      <c r="R169" s="126"/>
      <c r="U169" s="126"/>
      <c r="V169" s="126"/>
      <c r="W169" s="135">
        <f>MAXIFS('Step 3 FOC Request'!$A:$A, 'Step 3 FOC Request'!$F:$F, $E169)</f>
        <v>0</v>
      </c>
      <c r="X169" s="135">
        <f>MAXIFS('Step 4 FOC Return'!$A:$A, 'Step 4 FOC Return'!$E:$E, $E169)</f>
        <v>0</v>
      </c>
      <c r="Y169" s="126"/>
    </row>
    <row r="170">
      <c r="A170" s="126"/>
      <c r="B170" s="142">
        <v>46076.0</v>
      </c>
      <c r="C170" s="146"/>
      <c r="D170" s="129" t="s">
        <v>31</v>
      </c>
      <c r="E170" s="143">
        <v>3.53829360002252E14</v>
      </c>
      <c r="F170" s="130" t="s">
        <v>1290</v>
      </c>
      <c r="G170" s="143" t="s">
        <v>19</v>
      </c>
      <c r="H170" s="143" t="s">
        <v>1289</v>
      </c>
      <c r="I170" s="132"/>
      <c r="J170" s="143" t="s">
        <v>51</v>
      </c>
      <c r="K170" s="143" t="s">
        <v>1258</v>
      </c>
      <c r="L170" s="148" t="s">
        <v>26</v>
      </c>
      <c r="M170" s="134" t="str">
        <f t="shared" si="1"/>
        <v>AVAILABLE</v>
      </c>
      <c r="N170" s="134" t="str">
        <f t="array" ref="N170">IF(M170="LOANED / ON KOL", INDEX('Step 3 FOC Request'!$G:$G, MATCH(1, ('Step 3 FOC Request'!$A:$A=W170) * ('Step 3 FOC Request'!$F:$F=E170), 0)), "-")</f>
        <v>-</v>
      </c>
      <c r="O170" s="126"/>
      <c r="P170" s="126"/>
      <c r="Q170" s="126"/>
      <c r="R170" s="126"/>
      <c r="U170" s="126"/>
      <c r="V170" s="126"/>
      <c r="W170" s="135">
        <f>MAXIFS('Step 3 FOC Request'!$A:$A, 'Step 3 FOC Request'!$F:$F, $E170)</f>
        <v>0</v>
      </c>
      <c r="X170" s="135">
        <f>MAXIFS('Step 4 FOC Return'!$A:$A, 'Step 4 FOC Return'!$E:$E, $E170)</f>
        <v>0</v>
      </c>
      <c r="Y170" s="126"/>
    </row>
    <row r="171">
      <c r="A171" s="126"/>
      <c r="B171" s="142">
        <v>46076.0</v>
      </c>
      <c r="C171" s="146"/>
      <c r="D171" s="129" t="s">
        <v>31</v>
      </c>
      <c r="E171" s="143">
        <v>3.5469444004258E14</v>
      </c>
      <c r="F171" s="130" t="s">
        <v>1291</v>
      </c>
      <c r="G171" s="143" t="s">
        <v>19</v>
      </c>
      <c r="H171" s="143" t="s">
        <v>1289</v>
      </c>
      <c r="I171" s="132"/>
      <c r="J171" s="143" t="s">
        <v>51</v>
      </c>
      <c r="K171" s="143" t="s">
        <v>1258</v>
      </c>
      <c r="L171" s="148" t="s">
        <v>26</v>
      </c>
      <c r="M171" s="134" t="str">
        <f t="shared" si="1"/>
        <v>AVAILABLE</v>
      </c>
      <c r="N171" s="134" t="str">
        <f t="array" ref="N171">IF(M171="LOANED / ON KOL", INDEX('Step 3 FOC Request'!$G:$G, MATCH(1, ('Step 3 FOC Request'!$A:$A=W171) * ('Step 3 FOC Request'!$F:$F=E171), 0)), "-")</f>
        <v>-</v>
      </c>
      <c r="O171" s="126"/>
      <c r="P171" s="126"/>
      <c r="Q171" s="126"/>
      <c r="R171" s="126"/>
      <c r="U171" s="126"/>
      <c r="V171" s="126"/>
      <c r="W171" s="135">
        <f>MAXIFS('Step 3 FOC Request'!$A:$A, 'Step 3 FOC Request'!$F:$F, $E171)</f>
        <v>0</v>
      </c>
      <c r="X171" s="135">
        <f>MAXIFS('Step 4 FOC Return'!$A:$A, 'Step 4 FOC Return'!$E:$E, $E171)</f>
        <v>0</v>
      </c>
      <c r="Y171" s="126"/>
    </row>
    <row r="172">
      <c r="A172" s="126"/>
      <c r="B172" s="142">
        <v>46076.0</v>
      </c>
      <c r="C172" s="146"/>
      <c r="D172" s="129" t="s">
        <v>31</v>
      </c>
      <c r="E172" s="143">
        <v>3.5469444003862E14</v>
      </c>
      <c r="F172" s="130" t="s">
        <v>1291</v>
      </c>
      <c r="G172" s="143" t="s">
        <v>19</v>
      </c>
      <c r="H172" s="143" t="s">
        <v>1289</v>
      </c>
      <c r="I172" s="132"/>
      <c r="J172" s="143" t="s">
        <v>51</v>
      </c>
      <c r="K172" s="143" t="s">
        <v>1258</v>
      </c>
      <c r="L172" s="148" t="s">
        <v>26</v>
      </c>
      <c r="M172" s="134" t="str">
        <f t="shared" si="1"/>
        <v>AVAILABLE</v>
      </c>
      <c r="N172" s="134" t="str">
        <f t="array" ref="N172">IF(M172="LOANED / ON KOL", INDEX('Step 3 FOC Request'!$G:$G, MATCH(1, ('Step 3 FOC Request'!$A:$A=W172) * ('Step 3 FOC Request'!$F:$F=E172), 0)), "-")</f>
        <v>-</v>
      </c>
      <c r="O172" s="126"/>
      <c r="P172" s="126"/>
      <c r="Q172" s="126"/>
      <c r="R172" s="126"/>
      <c r="U172" s="126"/>
      <c r="V172" s="126"/>
      <c r="W172" s="135">
        <f>MAXIFS('Step 3 FOC Request'!$A:$A, 'Step 3 FOC Request'!$F:$F, $E172)</f>
        <v>0</v>
      </c>
      <c r="X172" s="135">
        <f>MAXIFS('Step 4 FOC Return'!$A:$A, 'Step 4 FOC Return'!$E:$E, $E172)</f>
        <v>0</v>
      </c>
      <c r="Y172" s="126"/>
    </row>
    <row r="173">
      <c r="A173" s="126"/>
      <c r="B173" s="142">
        <v>46076.0</v>
      </c>
      <c r="C173" s="146"/>
      <c r="D173" s="129" t="s">
        <v>31</v>
      </c>
      <c r="E173" s="143">
        <v>3.54694440010231E14</v>
      </c>
      <c r="F173" s="130" t="s">
        <v>1292</v>
      </c>
      <c r="G173" s="143" t="s">
        <v>19</v>
      </c>
      <c r="H173" s="143" t="s">
        <v>1289</v>
      </c>
      <c r="I173" s="132"/>
      <c r="J173" s="143" t="s">
        <v>51</v>
      </c>
      <c r="K173" s="143" t="s">
        <v>1258</v>
      </c>
      <c r="L173" s="148" t="s">
        <v>26</v>
      </c>
      <c r="M173" s="134" t="str">
        <f t="shared" si="1"/>
        <v>AVAILABLE</v>
      </c>
      <c r="N173" s="134" t="str">
        <f t="array" ref="N173">IF(M173="LOANED / ON KOL", INDEX('Step 3 FOC Request'!$G:$G, MATCH(1, ('Step 3 FOC Request'!$A:$A=W173) * ('Step 3 FOC Request'!$F:$F=E173), 0)), "-")</f>
        <v>-</v>
      </c>
      <c r="O173" s="126"/>
      <c r="P173" s="126"/>
      <c r="Q173" s="126"/>
      <c r="R173" s="126"/>
      <c r="U173" s="126"/>
      <c r="V173" s="126"/>
      <c r="W173" s="135">
        <f>MAXIFS('Step 3 FOC Request'!$A:$A, 'Step 3 FOC Request'!$F:$F, $E173)</f>
        <v>0</v>
      </c>
      <c r="X173" s="135">
        <f>MAXIFS('Step 4 FOC Return'!$A:$A, 'Step 4 FOC Return'!$E:$E, $E173)</f>
        <v>0</v>
      </c>
      <c r="Y173" s="126"/>
    </row>
    <row r="174">
      <c r="A174" s="126"/>
      <c r="B174" s="142">
        <v>46076.0</v>
      </c>
      <c r="C174" s="146"/>
      <c r="D174" s="129" t="s">
        <v>31</v>
      </c>
      <c r="E174" s="143">
        <v>3.53829360027572E14</v>
      </c>
      <c r="F174" s="130" t="s">
        <v>1293</v>
      </c>
      <c r="G174" s="143" t="s">
        <v>19</v>
      </c>
      <c r="H174" s="143" t="s">
        <v>1289</v>
      </c>
      <c r="I174" s="132"/>
      <c r="J174" s="143" t="s">
        <v>51</v>
      </c>
      <c r="K174" s="143" t="s">
        <v>1258</v>
      </c>
      <c r="L174" s="148" t="s">
        <v>26</v>
      </c>
      <c r="M174" s="134" t="str">
        <f t="shared" si="1"/>
        <v>AVAILABLE</v>
      </c>
      <c r="N174" s="134" t="str">
        <f t="array" ref="N174">IF(M174="LOANED / ON KOL", INDEX('Step 3 FOC Request'!$G:$G, MATCH(1, ('Step 3 FOC Request'!$A:$A=W174) * ('Step 3 FOC Request'!$F:$F=E174), 0)), "-")</f>
        <v>-</v>
      </c>
      <c r="O174" s="126"/>
      <c r="P174" s="126"/>
      <c r="Q174" s="126"/>
      <c r="R174" s="126"/>
      <c r="U174" s="126"/>
      <c r="V174" s="126"/>
      <c r="W174" s="135">
        <f>MAXIFS('Step 3 FOC Request'!$A:$A, 'Step 3 FOC Request'!$F:$F, $E174)</f>
        <v>0</v>
      </c>
      <c r="X174" s="135">
        <f>MAXIFS('Step 4 FOC Return'!$A:$A, 'Step 4 FOC Return'!$E:$E, $E174)</f>
        <v>0</v>
      </c>
      <c r="Y174" s="126"/>
    </row>
    <row r="175">
      <c r="A175" s="126"/>
      <c r="B175" s="142">
        <v>46076.0</v>
      </c>
      <c r="C175" s="146"/>
      <c r="D175" s="129" t="s">
        <v>31</v>
      </c>
      <c r="E175" s="143">
        <v>3.54694440022608E14</v>
      </c>
      <c r="F175" s="130" t="s">
        <v>1294</v>
      </c>
      <c r="G175" s="143" t="s">
        <v>19</v>
      </c>
      <c r="H175" s="143" t="s">
        <v>1289</v>
      </c>
      <c r="I175" s="132"/>
      <c r="J175" s="143" t="s">
        <v>51</v>
      </c>
      <c r="K175" s="143" t="s">
        <v>1258</v>
      </c>
      <c r="L175" s="148" t="s">
        <v>26</v>
      </c>
      <c r="M175" s="134" t="str">
        <f t="shared" si="1"/>
        <v>AVAILABLE</v>
      </c>
      <c r="N175" s="134" t="str">
        <f t="array" ref="N175">IF(M175="LOANED / ON KOL", INDEX('Step 3 FOC Request'!$G:$G, MATCH(1, ('Step 3 FOC Request'!$A:$A=W175) * ('Step 3 FOC Request'!$F:$F=E175), 0)), "-")</f>
        <v>-</v>
      </c>
      <c r="O175" s="126"/>
      <c r="P175" s="126"/>
      <c r="Q175" s="126"/>
      <c r="R175" s="126"/>
      <c r="U175" s="126"/>
      <c r="V175" s="126"/>
      <c r="W175" s="135">
        <f>MAXIFS('Step 3 FOC Request'!$A:$A, 'Step 3 FOC Request'!$F:$F, $E175)</f>
        <v>0</v>
      </c>
      <c r="X175" s="135">
        <f>MAXIFS('Step 4 FOC Return'!$A:$A, 'Step 4 FOC Return'!$E:$E, $E175)</f>
        <v>0</v>
      </c>
      <c r="Y175" s="126"/>
    </row>
    <row r="176">
      <c r="A176" s="126"/>
      <c r="B176" s="142">
        <v>46076.0</v>
      </c>
      <c r="C176" s="146"/>
      <c r="D176" s="129" t="s">
        <v>31</v>
      </c>
      <c r="E176" s="143">
        <v>3.51690530025538E14</v>
      </c>
      <c r="F176" s="130" t="s">
        <v>1295</v>
      </c>
      <c r="G176" s="143" t="s">
        <v>19</v>
      </c>
      <c r="H176" s="143" t="s">
        <v>1289</v>
      </c>
      <c r="I176" s="132"/>
      <c r="J176" s="143" t="s">
        <v>51</v>
      </c>
      <c r="K176" s="143" t="s">
        <v>1258</v>
      </c>
      <c r="L176" s="148" t="s">
        <v>26</v>
      </c>
      <c r="M176" s="134" t="str">
        <f t="shared" si="1"/>
        <v>AVAILABLE</v>
      </c>
      <c r="N176" s="134" t="str">
        <f t="array" ref="N176">IF(M176="LOANED / ON KOL", INDEX('Step 3 FOC Request'!$G:$G, MATCH(1, ('Step 3 FOC Request'!$A:$A=W176) * ('Step 3 FOC Request'!$F:$F=E176), 0)), "-")</f>
        <v>-</v>
      </c>
      <c r="O176" s="126"/>
      <c r="P176" s="126"/>
      <c r="Q176" s="126"/>
      <c r="R176" s="126"/>
      <c r="U176" s="126"/>
      <c r="V176" s="126"/>
      <c r="W176" s="135">
        <f>MAXIFS('Step 3 FOC Request'!$A:$A, 'Step 3 FOC Request'!$F:$F, $E176)</f>
        <v>0</v>
      </c>
      <c r="X176" s="135">
        <f>MAXIFS('Step 4 FOC Return'!$A:$A, 'Step 4 FOC Return'!$E:$E, $E176)</f>
        <v>0</v>
      </c>
      <c r="Y176" s="126"/>
    </row>
    <row r="177">
      <c r="A177" s="126"/>
      <c r="B177" s="142">
        <v>46076.0</v>
      </c>
      <c r="C177" s="146"/>
      <c r="D177" s="129" t="s">
        <v>31</v>
      </c>
      <c r="E177" s="143">
        <v>3.52954990058374E14</v>
      </c>
      <c r="F177" s="130" t="s">
        <v>1296</v>
      </c>
      <c r="G177" s="143" t="s">
        <v>19</v>
      </c>
      <c r="H177" s="143" t="s">
        <v>1289</v>
      </c>
      <c r="I177" s="132"/>
      <c r="J177" s="143" t="s">
        <v>51</v>
      </c>
      <c r="K177" s="143" t="s">
        <v>1258</v>
      </c>
      <c r="L177" s="148" t="s">
        <v>26</v>
      </c>
      <c r="M177" s="134" t="str">
        <f t="shared" si="1"/>
        <v>AVAILABLE</v>
      </c>
      <c r="N177" s="134" t="str">
        <f t="array" ref="N177">IF(M177="LOANED / ON KOL", INDEX('Step 3 FOC Request'!$G:$G, MATCH(1, ('Step 3 FOC Request'!$A:$A=W177) * ('Step 3 FOC Request'!$F:$F=E177), 0)), "-")</f>
        <v>-</v>
      </c>
      <c r="O177" s="126"/>
      <c r="P177" s="126"/>
      <c r="Q177" s="126"/>
      <c r="R177" s="126"/>
      <c r="U177" s="126"/>
      <c r="V177" s="126"/>
      <c r="W177" s="135">
        <f>MAXIFS('Step 3 FOC Request'!$A:$A, 'Step 3 FOC Request'!$F:$F, $E177)</f>
        <v>0</v>
      </c>
      <c r="X177" s="135">
        <f>MAXIFS('Step 4 FOC Return'!$A:$A, 'Step 4 FOC Return'!$E:$E, $E177)</f>
        <v>0</v>
      </c>
      <c r="Y177" s="126"/>
    </row>
    <row r="178">
      <c r="A178" s="126"/>
      <c r="B178" s="142">
        <v>46076.0</v>
      </c>
      <c r="C178" s="146"/>
      <c r="D178" s="129" t="s">
        <v>31</v>
      </c>
      <c r="E178" s="143">
        <v>3.52954990079404E14</v>
      </c>
      <c r="F178" s="130" t="s">
        <v>1297</v>
      </c>
      <c r="G178" s="143" t="s">
        <v>19</v>
      </c>
      <c r="H178" s="143" t="s">
        <v>1289</v>
      </c>
      <c r="I178" s="132"/>
      <c r="J178" s="143" t="s">
        <v>51</v>
      </c>
      <c r="K178" s="143" t="s">
        <v>1258</v>
      </c>
      <c r="L178" s="148" t="s">
        <v>26</v>
      </c>
      <c r="M178" s="134" t="str">
        <f t="shared" si="1"/>
        <v>AVAILABLE</v>
      </c>
      <c r="N178" s="134" t="str">
        <f t="array" ref="N178">IF(M178="LOANED / ON KOL", INDEX('Step 3 FOC Request'!$G:$G, MATCH(1, ('Step 3 FOC Request'!$A:$A=W178) * ('Step 3 FOC Request'!$F:$F=E178), 0)), "-")</f>
        <v>-</v>
      </c>
      <c r="O178" s="126"/>
      <c r="P178" s="126"/>
      <c r="Q178" s="126"/>
      <c r="R178" s="126"/>
      <c r="U178" s="126"/>
      <c r="V178" s="126"/>
      <c r="W178" s="135">
        <f>MAXIFS('Step 3 FOC Request'!$A:$A, 'Step 3 FOC Request'!$F:$F, $E178)</f>
        <v>0</v>
      </c>
      <c r="X178" s="135">
        <f>MAXIFS('Step 4 FOC Return'!$A:$A, 'Step 4 FOC Return'!$E:$E, $E178)</f>
        <v>0</v>
      </c>
      <c r="Y178" s="126"/>
    </row>
    <row r="179">
      <c r="A179" s="126"/>
      <c r="B179" s="142">
        <v>46076.0</v>
      </c>
      <c r="C179" s="146"/>
      <c r="D179" s="129" t="s">
        <v>31</v>
      </c>
      <c r="E179" s="143">
        <v>3.58780495010311E14</v>
      </c>
      <c r="F179" s="130" t="s">
        <v>1298</v>
      </c>
      <c r="G179" s="143" t="s">
        <v>19</v>
      </c>
      <c r="H179" s="143" t="s">
        <v>1289</v>
      </c>
      <c r="I179" s="132"/>
      <c r="J179" s="143" t="s">
        <v>51</v>
      </c>
      <c r="K179" s="143" t="s">
        <v>1258</v>
      </c>
      <c r="L179" s="148" t="s">
        <v>26</v>
      </c>
      <c r="M179" s="134" t="str">
        <f t="shared" si="1"/>
        <v>LOANED / ON KOL</v>
      </c>
      <c r="N179" s="134" t="str">
        <f t="array" ref="N179">IF(M179="LOANED / ON KOL", INDEX('Step 3 FOC Request'!$G:$G, MATCH(1, ('Step 3 FOC Request'!$A:$A=W179) * ('Step 3 FOC Request'!$F:$F=E179), 0)), "-")</f>
        <v>Taufanos</v>
      </c>
      <c r="O179" s="126"/>
      <c r="P179" s="126"/>
      <c r="Q179" s="126"/>
      <c r="R179" s="126"/>
      <c r="U179" s="126"/>
      <c r="V179" s="126"/>
      <c r="W179" s="135">
        <f>MAXIFS('Step 3 FOC Request'!$A:$A, 'Step 3 FOC Request'!$F:$F, $E179)</f>
        <v>46076.8125</v>
      </c>
      <c r="X179" s="135">
        <f>MAXIFS('Step 4 FOC Return'!$A:$A, 'Step 4 FOC Return'!$E:$E, $E179)</f>
        <v>0</v>
      </c>
      <c r="Y179" s="126"/>
    </row>
    <row r="180">
      <c r="A180" s="126"/>
      <c r="B180" s="142">
        <v>46076.0</v>
      </c>
      <c r="C180" s="146"/>
      <c r="D180" s="129" t="s">
        <v>31</v>
      </c>
      <c r="E180" s="143">
        <v>3.58780495012689E14</v>
      </c>
      <c r="F180" s="130" t="s">
        <v>1298</v>
      </c>
      <c r="G180" s="143" t="s">
        <v>19</v>
      </c>
      <c r="H180" s="143" t="s">
        <v>1289</v>
      </c>
      <c r="I180" s="132"/>
      <c r="J180" s="143" t="s">
        <v>51</v>
      </c>
      <c r="K180" s="143" t="s">
        <v>1258</v>
      </c>
      <c r="L180" s="148" t="s">
        <v>26</v>
      </c>
      <c r="M180" s="134" t="str">
        <f t="shared" si="1"/>
        <v>LOANED / ON KOL</v>
      </c>
      <c r="N180" s="134" t="str">
        <f t="array" ref="N180">IF(M180="LOANED / ON KOL", INDEX('Step 3 FOC Request'!$G:$G, MATCH(1, ('Step 3 FOC Request'!$A:$A=W180) * ('Step 3 FOC Request'!$F:$F=E180), 0)), "-")</f>
        <v>Syifa Hadju</v>
      </c>
      <c r="O180" s="126"/>
      <c r="P180" s="126"/>
      <c r="Q180" s="126"/>
      <c r="R180" s="126"/>
      <c r="U180" s="126"/>
      <c r="V180" s="126"/>
      <c r="W180" s="135">
        <f>MAXIFS('Step 3 FOC Request'!$A:$A, 'Step 3 FOC Request'!$F:$F, $E180)</f>
        <v>46076.8125</v>
      </c>
      <c r="X180" s="135">
        <f>MAXIFS('Step 4 FOC Return'!$A:$A, 'Step 4 FOC Return'!$E:$E, $E180)</f>
        <v>0</v>
      </c>
      <c r="Y180" s="126"/>
    </row>
    <row r="181">
      <c r="A181" s="126"/>
      <c r="B181" s="142">
        <v>46076.0</v>
      </c>
      <c r="C181" s="146"/>
      <c r="D181" s="129" t="s">
        <v>31</v>
      </c>
      <c r="E181" s="143">
        <v>3.58780495019643E14</v>
      </c>
      <c r="F181" s="130" t="s">
        <v>1298</v>
      </c>
      <c r="G181" s="143" t="s">
        <v>19</v>
      </c>
      <c r="H181" s="143" t="s">
        <v>1289</v>
      </c>
      <c r="I181" s="132"/>
      <c r="J181" s="143" t="s">
        <v>51</v>
      </c>
      <c r="K181" s="143" t="s">
        <v>1258</v>
      </c>
      <c r="L181" s="148" t="s">
        <v>26</v>
      </c>
      <c r="M181" s="134" t="str">
        <f t="shared" si="1"/>
        <v>LOANED / ON KOL</v>
      </c>
      <c r="N181" s="134" t="str">
        <f t="array" ref="N181">IF(M181="LOANED / ON KOL", INDEX('Step 3 FOC Request'!$G:$G, MATCH(1, ('Step 3 FOC Request'!$A:$A=W181) * ('Step 3 FOC Request'!$F:$F=E181), 0)), "-")</f>
        <v>Sena Farids</v>
      </c>
      <c r="O181" s="126"/>
      <c r="P181" s="126"/>
      <c r="Q181" s="126"/>
      <c r="R181" s="126"/>
      <c r="U181" s="126"/>
      <c r="V181" s="126"/>
      <c r="W181" s="135">
        <f>MAXIFS('Step 3 FOC Request'!$A:$A, 'Step 3 FOC Request'!$F:$F, $E181)</f>
        <v>46076.8125</v>
      </c>
      <c r="X181" s="135">
        <f>MAXIFS('Step 4 FOC Return'!$A:$A, 'Step 4 FOC Return'!$E:$E, $E181)</f>
        <v>0</v>
      </c>
      <c r="Y181" s="126"/>
    </row>
    <row r="182">
      <c r="A182" s="126"/>
      <c r="B182" s="142">
        <v>46076.0</v>
      </c>
      <c r="C182" s="146"/>
      <c r="D182" s="129" t="s">
        <v>31</v>
      </c>
      <c r="E182" s="143">
        <v>3.58780495002888E14</v>
      </c>
      <c r="F182" s="130" t="s">
        <v>1299</v>
      </c>
      <c r="G182" s="143" t="s">
        <v>19</v>
      </c>
      <c r="H182" s="143" t="s">
        <v>1289</v>
      </c>
      <c r="I182" s="132"/>
      <c r="J182" s="143" t="s">
        <v>51</v>
      </c>
      <c r="K182" s="143" t="s">
        <v>1258</v>
      </c>
      <c r="L182" s="148" t="s">
        <v>26</v>
      </c>
      <c r="M182" s="134" t="str">
        <f t="shared" si="1"/>
        <v>LOANED / ON KOL</v>
      </c>
      <c r="N182" s="134" t="str">
        <f t="array" ref="N182">IF(M182="LOANED / ON KOL", INDEX('Step 3 FOC Request'!$G:$G, MATCH(1, ('Step 3 FOC Request'!$A:$A=W182) * ('Step 3 FOC Request'!$F:$F=E182), 0)), "-")</f>
        <v>Amha</v>
      </c>
      <c r="O182" s="126"/>
      <c r="P182" s="126"/>
      <c r="Q182" s="126"/>
      <c r="R182" s="126"/>
      <c r="U182" s="126"/>
      <c r="V182" s="126"/>
      <c r="W182" s="135">
        <f>MAXIFS('Step 3 FOC Request'!$A:$A, 'Step 3 FOC Request'!$F:$F, $E182)</f>
        <v>46076.8125</v>
      </c>
      <c r="X182" s="135">
        <f>MAXIFS('Step 4 FOC Return'!$A:$A, 'Step 4 FOC Return'!$E:$E, $E182)</f>
        <v>0</v>
      </c>
      <c r="Y182" s="126"/>
    </row>
    <row r="183">
      <c r="A183" s="126"/>
      <c r="B183" s="142">
        <v>46076.0</v>
      </c>
      <c r="C183" s="146"/>
      <c r="D183" s="129" t="s">
        <v>31</v>
      </c>
      <c r="E183" s="143">
        <v>3.58780495002516E14</v>
      </c>
      <c r="F183" s="130" t="s">
        <v>1299</v>
      </c>
      <c r="G183" s="143" t="s">
        <v>19</v>
      </c>
      <c r="H183" s="143" t="s">
        <v>1289</v>
      </c>
      <c r="I183" s="132"/>
      <c r="J183" s="143" t="s">
        <v>51</v>
      </c>
      <c r="K183" s="143" t="s">
        <v>1258</v>
      </c>
      <c r="L183" s="148" t="s">
        <v>26</v>
      </c>
      <c r="M183" s="134" t="str">
        <f t="shared" si="1"/>
        <v>LOANED / ON KOL</v>
      </c>
      <c r="N183" s="134" t="str">
        <f t="array" ref="N183">IF(M183="LOANED / ON KOL", INDEX('Step 3 FOC Request'!$G:$G, MATCH(1, ('Step 3 FOC Request'!$A:$A=W183) * ('Step 3 FOC Request'!$F:$F=E183), 0)), "-")</f>
        <v>Dian Sastro</v>
      </c>
      <c r="O183" s="126"/>
      <c r="P183" s="126"/>
      <c r="Q183" s="126"/>
      <c r="R183" s="126"/>
      <c r="U183" s="126"/>
      <c r="V183" s="126"/>
      <c r="W183" s="135">
        <f>MAXIFS('Step 3 FOC Request'!$A:$A, 'Step 3 FOC Request'!$F:$F, $E183)</f>
        <v>46076.8125</v>
      </c>
      <c r="X183" s="135">
        <f>MAXIFS('Step 4 FOC Return'!$A:$A, 'Step 4 FOC Return'!$E:$E, $E183)</f>
        <v>0</v>
      </c>
      <c r="Y183" s="126"/>
    </row>
    <row r="184">
      <c r="A184" s="126"/>
      <c r="B184" s="142">
        <v>46076.0</v>
      </c>
      <c r="C184" s="146"/>
      <c r="D184" s="129" t="s">
        <v>31</v>
      </c>
      <c r="E184" s="143">
        <v>3.58780495027733E14</v>
      </c>
      <c r="F184" s="130" t="s">
        <v>1300</v>
      </c>
      <c r="G184" s="143" t="s">
        <v>19</v>
      </c>
      <c r="H184" s="143" t="s">
        <v>1289</v>
      </c>
      <c r="I184" s="132"/>
      <c r="J184" s="143" t="s">
        <v>51</v>
      </c>
      <c r="K184" s="143" t="s">
        <v>1258</v>
      </c>
      <c r="L184" s="148" t="s">
        <v>26</v>
      </c>
      <c r="M184" s="134" t="str">
        <f t="shared" si="1"/>
        <v>LOANED / ON KOL</v>
      </c>
      <c r="N184" s="134" t="str">
        <f t="array" ref="N184">IF(M184="LOANED / ON KOL", INDEX('Step 3 FOC Request'!$G:$G, MATCH(1, ('Step 3 FOC Request'!$A:$A=W184) * ('Step 3 FOC Request'!$F:$F=E184), 0)), "-")</f>
        <v>Jejakiki</v>
      </c>
      <c r="O184" s="126"/>
      <c r="P184" s="126"/>
      <c r="Q184" s="126"/>
      <c r="R184" s="126"/>
      <c r="U184" s="126"/>
      <c r="V184" s="126"/>
      <c r="W184" s="135">
        <f>MAXIFS('Step 3 FOC Request'!$A:$A, 'Step 3 FOC Request'!$F:$F, $E184)</f>
        <v>46076.8125</v>
      </c>
      <c r="X184" s="135">
        <f>MAXIFS('Step 4 FOC Return'!$A:$A, 'Step 4 FOC Return'!$E:$E, $E184)</f>
        <v>0</v>
      </c>
      <c r="Y184" s="126"/>
    </row>
    <row r="185">
      <c r="A185" s="126"/>
      <c r="B185" s="142">
        <v>46076.0</v>
      </c>
      <c r="C185" s="146"/>
      <c r="D185" s="129" t="s">
        <v>31</v>
      </c>
      <c r="E185" s="143">
        <v>3.58780495027166E14</v>
      </c>
      <c r="F185" s="130" t="s">
        <v>1300</v>
      </c>
      <c r="G185" s="143" t="s">
        <v>19</v>
      </c>
      <c r="H185" s="143" t="s">
        <v>1289</v>
      </c>
      <c r="I185" s="132"/>
      <c r="J185" s="143" t="s">
        <v>51</v>
      </c>
      <c r="K185" s="143" t="s">
        <v>1258</v>
      </c>
      <c r="L185" s="148" t="s">
        <v>26</v>
      </c>
      <c r="M185" s="134" t="str">
        <f t="shared" si="1"/>
        <v>LOANED / ON KOL</v>
      </c>
      <c r="N185" s="134" t="str">
        <f t="array" ref="N185">IF(M185="LOANED / ON KOL", INDEX('Step 3 FOC Request'!$G:$G, MATCH(1, ('Step 3 FOC Request'!$A:$A=W185) * ('Step 3 FOC Request'!$F:$F=E185), 0)), "-")</f>
        <v>Kevin Pramudya</v>
      </c>
      <c r="O185" s="126"/>
      <c r="P185" s="126"/>
      <c r="Q185" s="126"/>
      <c r="R185" s="126"/>
      <c r="U185" s="126"/>
      <c r="V185" s="126"/>
      <c r="W185" s="135">
        <f>MAXIFS('Step 3 FOC Request'!$A:$A, 'Step 3 FOC Request'!$F:$F, $E185)</f>
        <v>46076.8125</v>
      </c>
      <c r="X185" s="135">
        <f>MAXIFS('Step 4 FOC Return'!$A:$A, 'Step 4 FOC Return'!$E:$E, $E185)</f>
        <v>0</v>
      </c>
      <c r="Y185" s="126"/>
    </row>
    <row r="186">
      <c r="A186" s="126"/>
      <c r="B186" s="142">
        <v>46076.0</v>
      </c>
      <c r="C186" s="146"/>
      <c r="D186" s="129" t="s">
        <v>31</v>
      </c>
      <c r="E186" s="143">
        <v>3.58780495027596E14</v>
      </c>
      <c r="F186" s="130" t="s">
        <v>1300</v>
      </c>
      <c r="G186" s="143" t="s">
        <v>19</v>
      </c>
      <c r="H186" s="143" t="s">
        <v>1289</v>
      </c>
      <c r="I186" s="132"/>
      <c r="J186" s="143" t="s">
        <v>51</v>
      </c>
      <c r="K186" s="143" t="s">
        <v>1258</v>
      </c>
      <c r="L186" s="148" t="s">
        <v>26</v>
      </c>
      <c r="M186" s="134" t="str">
        <f t="shared" si="1"/>
        <v>LOANED / ON KOL</v>
      </c>
      <c r="N186" s="134" t="str">
        <f t="array" ref="N186">IF(M186="LOANED / ON KOL", INDEX('Step 3 FOC Request'!$G:$G, MATCH(1, ('Step 3 FOC Request'!$A:$A=W186) * ('Step 3 FOC Request'!$F:$F=E186), 0)), "-")</f>
        <v>Joshua Ariel</v>
      </c>
      <c r="O186" s="126"/>
      <c r="P186" s="126"/>
      <c r="Q186" s="126"/>
      <c r="R186" s="126"/>
      <c r="U186" s="126"/>
      <c r="V186" s="126"/>
      <c r="W186" s="135">
        <f>MAXIFS('Step 3 FOC Request'!$A:$A, 'Step 3 FOC Request'!$F:$F, $E186)</f>
        <v>46076.8125</v>
      </c>
      <c r="X186" s="135">
        <f>MAXIFS('Step 4 FOC Return'!$A:$A, 'Step 4 FOC Return'!$E:$E, $E186)</f>
        <v>0</v>
      </c>
      <c r="Y186" s="126"/>
    </row>
    <row r="187">
      <c r="A187" s="126"/>
      <c r="B187" s="142">
        <v>46076.0</v>
      </c>
      <c r="C187" s="146"/>
      <c r="D187" s="129" t="s">
        <v>31</v>
      </c>
      <c r="E187" s="143">
        <v>3.58780495028719E14</v>
      </c>
      <c r="F187" s="130" t="s">
        <v>1300</v>
      </c>
      <c r="G187" s="143" t="s">
        <v>19</v>
      </c>
      <c r="H187" s="143" t="s">
        <v>1289</v>
      </c>
      <c r="I187" s="132"/>
      <c r="J187" s="143" t="s">
        <v>51</v>
      </c>
      <c r="K187" s="143" t="s">
        <v>1258</v>
      </c>
      <c r="L187" s="148" t="s">
        <v>26</v>
      </c>
      <c r="M187" s="134" t="str">
        <f t="shared" si="1"/>
        <v>LOANED / ON KOL</v>
      </c>
      <c r="N187" s="134" t="str">
        <f t="array" ref="N187">IF(M187="LOANED / ON KOL", INDEX('Step 3 FOC Request'!$G:$G, MATCH(1, ('Step 3 FOC Request'!$A:$A=W187) * ('Step 3 FOC Request'!$F:$F=E187), 0)), "-")</f>
        <v>Reza Dharmawangsa</v>
      </c>
      <c r="O187" s="126"/>
      <c r="P187" s="126"/>
      <c r="Q187" s="126"/>
      <c r="R187" s="126"/>
      <c r="U187" s="126"/>
      <c r="V187" s="126"/>
      <c r="W187" s="135">
        <f>MAXIFS('Step 3 FOC Request'!$A:$A, 'Step 3 FOC Request'!$F:$F, $E187)</f>
        <v>46076.8125</v>
      </c>
      <c r="X187" s="135">
        <f>MAXIFS('Step 4 FOC Return'!$A:$A, 'Step 4 FOC Return'!$E:$E, $E187)</f>
        <v>0</v>
      </c>
      <c r="Y187" s="126"/>
    </row>
    <row r="188">
      <c r="A188" s="126"/>
      <c r="B188" s="142">
        <v>46076.0</v>
      </c>
      <c r="C188" s="146"/>
      <c r="D188" s="129" t="s">
        <v>31</v>
      </c>
      <c r="E188" s="143">
        <v>3.52425615000141E14</v>
      </c>
      <c r="F188" s="130" t="s">
        <v>1259</v>
      </c>
      <c r="G188" s="143" t="s">
        <v>19</v>
      </c>
      <c r="H188" s="143" t="s">
        <v>1289</v>
      </c>
      <c r="I188" s="132"/>
      <c r="J188" s="143" t="s">
        <v>51</v>
      </c>
      <c r="K188" s="143" t="s">
        <v>1258</v>
      </c>
      <c r="L188" s="148" t="s">
        <v>26</v>
      </c>
      <c r="M188" s="134" t="str">
        <f t="shared" si="1"/>
        <v>LOANED / ON KOL</v>
      </c>
      <c r="N188" s="134" t="str">
        <f t="array" ref="N188">IF(M188="LOANED / ON KOL", INDEX('Step 3 FOC Request'!$G:$G, MATCH(1, ('Step 3 FOC Request'!$A:$A=W188) * ('Step 3 FOC Request'!$F:$F=E188), 0)), "-")</f>
        <v>Vonzy</v>
      </c>
      <c r="O188" s="126"/>
      <c r="P188" s="126"/>
      <c r="Q188" s="126"/>
      <c r="R188" s="126"/>
      <c r="U188" s="126"/>
      <c r="V188" s="126"/>
      <c r="W188" s="135">
        <f>MAXIFS('Step 3 FOC Request'!$A:$A, 'Step 3 FOC Request'!$F:$F, $E188)</f>
        <v>46076.8125</v>
      </c>
      <c r="X188" s="135">
        <f>MAXIFS('Step 4 FOC Return'!$A:$A, 'Step 4 FOC Return'!$E:$E, $E188)</f>
        <v>0</v>
      </c>
      <c r="Y188" s="126"/>
    </row>
    <row r="189">
      <c r="A189" s="126"/>
      <c r="B189" s="142">
        <v>46076.0</v>
      </c>
      <c r="C189" s="146"/>
      <c r="D189" s="129" t="s">
        <v>31</v>
      </c>
      <c r="E189" s="143">
        <v>3.52425615160531E14</v>
      </c>
      <c r="F189" s="130" t="s">
        <v>1259</v>
      </c>
      <c r="G189" s="143" t="s">
        <v>19</v>
      </c>
      <c r="H189" s="143" t="s">
        <v>1289</v>
      </c>
      <c r="I189" s="132"/>
      <c r="J189" s="143" t="s">
        <v>51</v>
      </c>
      <c r="K189" s="143" t="s">
        <v>1258</v>
      </c>
      <c r="L189" s="148" t="s">
        <v>26</v>
      </c>
      <c r="M189" s="134" t="str">
        <f t="shared" si="1"/>
        <v>LOANED / ON KOL</v>
      </c>
      <c r="N189" s="134" t="str">
        <f t="array" ref="N189">IF(M189="LOANED / ON KOL", INDEX('Step 3 FOC Request'!$G:$G, MATCH(1, ('Step 3 FOC Request'!$A:$A=W189) * ('Step 3 FOC Request'!$F:$F=E189), 0)), "-")</f>
        <v>Agung</v>
      </c>
      <c r="O189" s="126"/>
      <c r="P189" s="126"/>
      <c r="Q189" s="126"/>
      <c r="R189" s="126"/>
      <c r="U189" s="126"/>
      <c r="V189" s="126"/>
      <c r="W189" s="135">
        <f>MAXIFS('Step 3 FOC Request'!$A:$A, 'Step 3 FOC Request'!$F:$F, $E189)</f>
        <v>46076.8125</v>
      </c>
      <c r="X189" s="135">
        <f>MAXIFS('Step 4 FOC Return'!$A:$A, 'Step 4 FOC Return'!$E:$E, $E189)</f>
        <v>0</v>
      </c>
      <c r="Y189" s="126"/>
    </row>
    <row r="190">
      <c r="A190" s="126"/>
      <c r="B190" s="142">
        <v>46076.0</v>
      </c>
      <c r="C190" s="146"/>
      <c r="D190" s="129" t="s">
        <v>31</v>
      </c>
      <c r="E190" s="143">
        <v>3.53829360020585E14</v>
      </c>
      <c r="F190" s="130" t="s">
        <v>1301</v>
      </c>
      <c r="G190" s="143" t="s">
        <v>19</v>
      </c>
      <c r="H190" s="143" t="s">
        <v>1289</v>
      </c>
      <c r="I190" s="132"/>
      <c r="J190" s="143" t="s">
        <v>51</v>
      </c>
      <c r="K190" s="143" t="s">
        <v>1258</v>
      </c>
      <c r="L190" s="148" t="s">
        <v>26</v>
      </c>
      <c r="M190" s="134" t="str">
        <f t="shared" si="1"/>
        <v>AVAILABLE</v>
      </c>
      <c r="N190" s="134" t="str">
        <f t="array" ref="N190">IF(M190="LOANED / ON KOL", INDEX('Step 3 FOC Request'!$G:$G, MATCH(1, ('Step 3 FOC Request'!$A:$A=W190) * ('Step 3 FOC Request'!$F:$F=E190), 0)), "-")</f>
        <v>-</v>
      </c>
      <c r="O190" s="126"/>
      <c r="P190" s="126"/>
      <c r="Q190" s="126"/>
      <c r="R190" s="126"/>
      <c r="U190" s="126"/>
      <c r="V190" s="126"/>
      <c r="W190" s="135">
        <f>MAXIFS('Step 3 FOC Request'!$A:$A, 'Step 3 FOC Request'!$F:$F, $E190)</f>
        <v>0</v>
      </c>
      <c r="X190" s="135">
        <f>MAXIFS('Step 4 FOC Return'!$A:$A, 'Step 4 FOC Return'!$E:$E, $E190)</f>
        <v>0</v>
      </c>
      <c r="Y190" s="126"/>
    </row>
    <row r="191">
      <c r="A191" s="126"/>
      <c r="B191" s="142">
        <v>46076.0</v>
      </c>
      <c r="C191" s="146"/>
      <c r="D191" s="129" t="s">
        <v>31</v>
      </c>
      <c r="E191" s="143">
        <v>3.53829360015072E14</v>
      </c>
      <c r="F191" s="130" t="s">
        <v>1301</v>
      </c>
      <c r="G191" s="143" t="s">
        <v>19</v>
      </c>
      <c r="H191" s="143" t="s">
        <v>1289</v>
      </c>
      <c r="I191" s="132"/>
      <c r="J191" s="143" t="s">
        <v>51</v>
      </c>
      <c r="K191" s="143" t="s">
        <v>1258</v>
      </c>
      <c r="L191" s="148" t="s">
        <v>26</v>
      </c>
      <c r="M191" s="134" t="str">
        <f t="shared" si="1"/>
        <v>AVAILABLE</v>
      </c>
      <c r="N191" s="134" t="str">
        <f t="array" ref="N191">IF(M191="LOANED / ON KOL", INDEX('Step 3 FOC Request'!$G:$G, MATCH(1, ('Step 3 FOC Request'!$A:$A=W191) * ('Step 3 FOC Request'!$F:$F=E191), 0)), "-")</f>
        <v>-</v>
      </c>
      <c r="O191" s="126"/>
      <c r="P191" s="126"/>
      <c r="Q191" s="126"/>
      <c r="R191" s="126"/>
      <c r="U191" s="126"/>
      <c r="V191" s="126"/>
      <c r="W191" s="135">
        <f>MAXIFS('Step 3 FOC Request'!$A:$A, 'Step 3 FOC Request'!$F:$F, $E191)</f>
        <v>0</v>
      </c>
      <c r="X191" s="135">
        <f>MAXIFS('Step 4 FOC Return'!$A:$A, 'Step 4 FOC Return'!$E:$E, $E191)</f>
        <v>0</v>
      </c>
      <c r="Y191" s="126"/>
    </row>
    <row r="192">
      <c r="A192" s="126"/>
      <c r="B192" s="142">
        <v>46076.0</v>
      </c>
      <c r="C192" s="146"/>
      <c r="D192" s="129" t="s">
        <v>31</v>
      </c>
      <c r="E192" s="143">
        <v>3.54922130009894E14</v>
      </c>
      <c r="F192" s="130" t="s">
        <v>1202</v>
      </c>
      <c r="G192" s="143" t="s">
        <v>11</v>
      </c>
      <c r="H192" s="143" t="s">
        <v>1289</v>
      </c>
      <c r="I192" s="132"/>
      <c r="J192" s="143" t="s">
        <v>52</v>
      </c>
      <c r="K192" s="126"/>
      <c r="L192" s="148" t="s">
        <v>10</v>
      </c>
      <c r="M192" s="134" t="str">
        <f t="shared" si="1"/>
        <v>AVAILABLE</v>
      </c>
      <c r="N192" s="134" t="str">
        <f t="array" ref="N192">IF(M192="LOANED / ON KOL", INDEX('Step 3 FOC Request'!$G:$G, MATCH(1, ('Step 3 FOC Request'!$A:$A=W192) * ('Step 3 FOC Request'!$F:$F=E192), 0)), "-")</f>
        <v>-</v>
      </c>
      <c r="O192" s="126"/>
      <c r="P192" s="148" t="s">
        <v>1302</v>
      </c>
      <c r="Q192" s="126"/>
      <c r="R192" s="126"/>
      <c r="U192" s="126"/>
      <c r="V192" s="126"/>
      <c r="W192" s="135">
        <f>MAXIFS('Step 3 FOC Request'!$A:$A, 'Step 3 FOC Request'!$F:$F, $E192)</f>
        <v>0</v>
      </c>
      <c r="X192" s="135">
        <f>MAXIFS('Step 4 FOC Return'!$A:$A, 'Step 4 FOC Return'!$E:$E, $E192)</f>
        <v>0</v>
      </c>
      <c r="Y192" s="126"/>
    </row>
    <row r="193">
      <c r="A193" s="126"/>
      <c r="B193" s="142">
        <v>46076.0</v>
      </c>
      <c r="C193" s="146"/>
      <c r="D193" s="143" t="s">
        <v>44</v>
      </c>
      <c r="E193" s="143" t="s">
        <v>833</v>
      </c>
      <c r="F193" s="130" t="s">
        <v>1282</v>
      </c>
      <c r="G193" s="143" t="s">
        <v>11</v>
      </c>
      <c r="H193" s="126"/>
      <c r="I193" s="132"/>
      <c r="J193" s="143" t="s">
        <v>8</v>
      </c>
      <c r="K193" s="126"/>
      <c r="L193" s="148" t="s">
        <v>10</v>
      </c>
      <c r="M193" s="134" t="str">
        <f t="shared" si="1"/>
        <v>LOANED / ON KOL</v>
      </c>
      <c r="N193" s="134" t="str">
        <f t="array" ref="N193">IF(M193="LOANED / ON KOL", INDEX('Step 3 FOC Request'!$G:$G, MATCH(1, ('Step 3 FOC Request'!$A:$A=W193) * ('Step 3 FOC Request'!$F:$F=E193), 0)), "-")</f>
        <v>Don (Ambil Hati Agency_</v>
      </c>
      <c r="O193" s="126"/>
      <c r="P193" s="126"/>
      <c r="Q193" s="126"/>
      <c r="R193" s="126"/>
      <c r="U193" s="126"/>
      <c r="V193" s="126"/>
      <c r="W193" s="135">
        <f>MAXIFS('Step 3 FOC Request'!$A:$A, 'Step 3 FOC Request'!$F:$F, $E193)</f>
        <v>46078.68616</v>
      </c>
      <c r="X193" s="135">
        <f>MAXIFS('Step 4 FOC Return'!$A:$A, 'Step 4 FOC Return'!$E:$E, $E193)</f>
        <v>0</v>
      </c>
      <c r="Y193" s="126"/>
    </row>
    <row r="194">
      <c r="A194" s="126"/>
      <c r="B194" s="142">
        <v>46076.0</v>
      </c>
      <c r="C194" s="146"/>
      <c r="D194" s="143" t="s">
        <v>25</v>
      </c>
      <c r="E194" s="143" t="s">
        <v>926</v>
      </c>
      <c r="F194" s="130" t="s">
        <v>1303</v>
      </c>
      <c r="G194" s="143" t="s">
        <v>19</v>
      </c>
      <c r="H194" s="126"/>
      <c r="I194" s="132"/>
      <c r="J194" s="143" t="s">
        <v>8</v>
      </c>
      <c r="K194" s="146"/>
      <c r="L194" s="148" t="s">
        <v>10</v>
      </c>
      <c r="M194" s="134" t="str">
        <f t="shared" si="1"/>
        <v>AVAILABLE</v>
      </c>
      <c r="N194" s="134" t="str">
        <f t="array" ref="N194">IF(M194="LOANED / ON KOL", INDEX('Step 3 FOC Request'!$G:$G, MATCH(1, ('Step 3 FOC Request'!$A:$A=W194) * ('Step 3 FOC Request'!$F:$F=E194), 0)), "-")</f>
        <v>-</v>
      </c>
      <c r="O194" s="126"/>
      <c r="P194" s="148" t="s">
        <v>1304</v>
      </c>
      <c r="Q194" s="126"/>
      <c r="R194" s="126"/>
      <c r="U194" s="126"/>
      <c r="V194" s="126"/>
      <c r="W194" s="135">
        <f>MAXIFS('Step 3 FOC Request'!$A:$A, 'Step 3 FOC Request'!$F:$F, $E194)</f>
        <v>0</v>
      </c>
      <c r="X194" s="135">
        <f>MAXIFS('Step 4 FOC Return'!$A:$A, 'Step 4 FOC Return'!$E:$E, $E194)</f>
        <v>0</v>
      </c>
      <c r="Y194" s="126"/>
    </row>
    <row r="195">
      <c r="A195" s="126"/>
      <c r="B195" s="142">
        <v>46076.0</v>
      </c>
      <c r="C195" s="146"/>
      <c r="D195" s="143" t="s">
        <v>25</v>
      </c>
      <c r="E195" s="143" t="s">
        <v>922</v>
      </c>
      <c r="F195" s="130" t="s">
        <v>1303</v>
      </c>
      <c r="G195" s="143" t="s">
        <v>19</v>
      </c>
      <c r="H195" s="126"/>
      <c r="I195" s="132"/>
      <c r="J195" s="143" t="s">
        <v>8</v>
      </c>
      <c r="K195" s="146"/>
      <c r="L195" s="148" t="s">
        <v>10</v>
      </c>
      <c r="M195" s="134" t="str">
        <f t="shared" si="1"/>
        <v>AVAILABLE</v>
      </c>
      <c r="N195" s="134" t="str">
        <f t="array" ref="N195">IF(M195="LOANED / ON KOL", INDEX('Step 3 FOC Request'!$G:$G, MATCH(1, ('Step 3 FOC Request'!$A:$A=W195) * ('Step 3 FOC Request'!$F:$F=E195), 0)), "-")</f>
        <v>-</v>
      </c>
      <c r="O195" s="126"/>
      <c r="P195" s="126"/>
      <c r="Q195" s="126"/>
      <c r="R195" s="126"/>
      <c r="U195" s="126"/>
      <c r="V195" s="126"/>
      <c r="W195" s="135">
        <f>MAXIFS('Step 3 FOC Request'!$A:$A, 'Step 3 FOC Request'!$F:$F, $E195)</f>
        <v>0</v>
      </c>
      <c r="X195" s="135">
        <f>MAXIFS('Step 4 FOC Return'!$A:$A, 'Step 4 FOC Return'!$E:$E, $E195)</f>
        <v>0</v>
      </c>
      <c r="Y195" s="126"/>
    </row>
    <row r="196">
      <c r="A196" s="126"/>
      <c r="B196" s="142">
        <v>46076.0</v>
      </c>
      <c r="C196" s="146"/>
      <c r="D196" s="143" t="s">
        <v>25</v>
      </c>
      <c r="E196" s="143" t="s">
        <v>923</v>
      </c>
      <c r="F196" s="130" t="s">
        <v>1303</v>
      </c>
      <c r="G196" s="143" t="s">
        <v>19</v>
      </c>
      <c r="H196" s="126"/>
      <c r="I196" s="132"/>
      <c r="J196" s="143" t="s">
        <v>8</v>
      </c>
      <c r="K196" s="146"/>
      <c r="L196" s="148" t="s">
        <v>10</v>
      </c>
      <c r="M196" s="134" t="str">
        <f t="shared" si="1"/>
        <v>LOANED / ON KOL</v>
      </c>
      <c r="N196" s="134" t="str">
        <f t="array" ref="N196">IF(M196="LOANED / ON KOL", INDEX('Step 3 FOC Request'!$G:$G, MATCH(1, ('Step 3 FOC Request'!$A:$A=W196) * ('Step 3 FOC Request'!$F:$F=E196), 0)), "-")</f>
        <v>Putu Aditya (Govinda Rumi)</v>
      </c>
      <c r="O196" s="126"/>
      <c r="P196" s="126"/>
      <c r="Q196" s="126"/>
      <c r="R196" s="126"/>
      <c r="U196" s="126"/>
      <c r="V196" s="126"/>
      <c r="W196" s="135">
        <f>MAXIFS('Step 3 FOC Request'!$A:$A, 'Step 3 FOC Request'!$F:$F, $E196)</f>
        <v>46091.45064</v>
      </c>
      <c r="X196" s="135">
        <f>MAXIFS('Step 4 FOC Return'!$A:$A, 'Step 4 FOC Return'!$E:$E, $E196)</f>
        <v>0</v>
      </c>
      <c r="Y196" s="126"/>
    </row>
    <row r="197">
      <c r="A197" s="126"/>
      <c r="B197" s="142">
        <v>46076.0</v>
      </c>
      <c r="C197" s="146"/>
      <c r="D197" s="143" t="s">
        <v>25</v>
      </c>
      <c r="E197" s="143" t="s">
        <v>897</v>
      </c>
      <c r="F197" s="130" t="s">
        <v>1305</v>
      </c>
      <c r="G197" s="143" t="s">
        <v>11</v>
      </c>
      <c r="H197" s="126"/>
      <c r="I197" s="132"/>
      <c r="J197" s="143" t="s">
        <v>8</v>
      </c>
      <c r="K197" s="146"/>
      <c r="L197" s="148" t="s">
        <v>10</v>
      </c>
      <c r="M197" s="134" t="str">
        <f t="shared" si="1"/>
        <v>AVAILABLE</v>
      </c>
      <c r="N197" s="134" t="str">
        <f t="array" ref="N197">IF(M197="LOANED / ON KOL", INDEX('Step 3 FOC Request'!$G:$G, MATCH(1, ('Step 3 FOC Request'!$A:$A=W197) * ('Step 3 FOC Request'!$F:$F=E197), 0)), "-")</f>
        <v>-</v>
      </c>
      <c r="O197" s="126"/>
      <c r="P197" s="148" t="s">
        <v>1304</v>
      </c>
      <c r="Q197" s="126"/>
      <c r="R197" s="126"/>
      <c r="U197" s="126"/>
      <c r="V197" s="126"/>
      <c r="W197" s="135">
        <f>MAXIFS('Step 3 FOC Request'!$A:$A, 'Step 3 FOC Request'!$F:$F, $E197)</f>
        <v>0</v>
      </c>
      <c r="X197" s="135">
        <f>MAXIFS('Step 4 FOC Return'!$A:$A, 'Step 4 FOC Return'!$E:$E, $E197)</f>
        <v>0</v>
      </c>
      <c r="Y197" s="126"/>
    </row>
    <row r="198">
      <c r="A198" s="126"/>
      <c r="B198" s="142">
        <v>46076.0</v>
      </c>
      <c r="C198" s="146"/>
      <c r="D198" s="143" t="s">
        <v>44</v>
      </c>
      <c r="E198" s="143" t="s">
        <v>1306</v>
      </c>
      <c r="F198" s="130" t="s">
        <v>1307</v>
      </c>
      <c r="G198" s="146"/>
      <c r="H198" s="126"/>
      <c r="I198" s="132"/>
      <c r="J198" s="143" t="s">
        <v>8</v>
      </c>
      <c r="K198" s="126"/>
      <c r="L198" s="148" t="s">
        <v>10</v>
      </c>
      <c r="M198" s="134" t="str">
        <f t="shared" si="1"/>
        <v>AVAILABLE</v>
      </c>
      <c r="N198" s="134" t="str">
        <f t="array" ref="N198">IF(M198="LOANED / ON KOL", INDEX('Step 3 FOC Request'!$G:$G, MATCH(1, ('Step 3 FOC Request'!$A:$A=W198) * ('Step 3 FOC Request'!$F:$F=E198), 0)), "-")</f>
        <v>-</v>
      </c>
      <c r="O198" s="126"/>
      <c r="P198" s="126"/>
      <c r="Q198" s="126"/>
      <c r="R198" s="126"/>
      <c r="U198" s="126"/>
      <c r="V198" s="126"/>
      <c r="W198" s="135">
        <f>MAXIFS('Step 3 FOC Request'!$A:$A, 'Step 3 FOC Request'!$F:$F, $E198)</f>
        <v>0</v>
      </c>
      <c r="X198" s="135">
        <f>MAXIFS('Step 4 FOC Return'!$A:$A, 'Step 4 FOC Return'!$E:$E, $E198)</f>
        <v>0</v>
      </c>
      <c r="Y198" s="126"/>
    </row>
    <row r="199">
      <c r="A199" s="126"/>
      <c r="B199" s="142">
        <v>46076.0</v>
      </c>
      <c r="C199" s="146"/>
      <c r="D199" s="143" t="s">
        <v>44</v>
      </c>
      <c r="E199" s="143" t="s">
        <v>1308</v>
      </c>
      <c r="F199" s="130" t="s">
        <v>1309</v>
      </c>
      <c r="G199" s="146"/>
      <c r="H199" s="126"/>
      <c r="I199" s="132"/>
      <c r="J199" s="143" t="s">
        <v>8</v>
      </c>
      <c r="K199" s="126"/>
      <c r="L199" s="148" t="s">
        <v>10</v>
      </c>
      <c r="M199" s="134" t="str">
        <f t="shared" si="1"/>
        <v>AVAILABLE</v>
      </c>
      <c r="N199" s="134" t="str">
        <f t="array" ref="N199">IF(M199="LOANED / ON KOL", INDEX('Step 3 FOC Request'!$G:$G, MATCH(1, ('Step 3 FOC Request'!$A:$A=W199) * ('Step 3 FOC Request'!$F:$F=E199), 0)), "-")</f>
        <v>-</v>
      </c>
      <c r="O199" s="126"/>
      <c r="P199" s="148" t="s">
        <v>1304</v>
      </c>
      <c r="Q199" s="126"/>
      <c r="R199" s="126"/>
      <c r="U199" s="126"/>
      <c r="V199" s="126"/>
      <c r="W199" s="135">
        <f>MAXIFS('Step 3 FOC Request'!$A:$A, 'Step 3 FOC Request'!$F:$F, $E199)</f>
        <v>0</v>
      </c>
      <c r="X199" s="135">
        <f>MAXIFS('Step 4 FOC Return'!$A:$A, 'Step 4 FOC Return'!$E:$E, $E199)</f>
        <v>0</v>
      </c>
      <c r="Y199" s="126"/>
    </row>
    <row r="200">
      <c r="A200" s="126"/>
      <c r="B200" s="142">
        <v>46076.0</v>
      </c>
      <c r="C200" s="146"/>
      <c r="D200" s="143" t="s">
        <v>44</v>
      </c>
      <c r="E200" s="143" t="s">
        <v>836</v>
      </c>
      <c r="F200" s="130" t="s">
        <v>1309</v>
      </c>
      <c r="G200" s="143" t="s">
        <v>11</v>
      </c>
      <c r="H200" s="126"/>
      <c r="I200" s="132"/>
      <c r="J200" s="143" t="s">
        <v>8</v>
      </c>
      <c r="K200" s="126"/>
      <c r="L200" s="148" t="s">
        <v>10</v>
      </c>
      <c r="M200" s="134" t="str">
        <f t="shared" si="1"/>
        <v>AVAILABLE</v>
      </c>
      <c r="N200" s="134" t="str">
        <f t="array" ref="N200">IF(M200="LOANED / ON KOL", INDEX('Step 3 FOC Request'!$G:$G, MATCH(1, ('Step 3 FOC Request'!$A:$A=W200) * ('Step 3 FOC Request'!$F:$F=E200), 0)), "-")</f>
        <v>-</v>
      </c>
      <c r="O200" s="126"/>
      <c r="P200" s="126"/>
      <c r="Q200" s="126"/>
      <c r="R200" s="126"/>
      <c r="U200" s="126"/>
      <c r="V200" s="126"/>
      <c r="W200" s="135">
        <f>MAXIFS('Step 3 FOC Request'!$A:$A, 'Step 3 FOC Request'!$F:$F, $E200)</f>
        <v>0</v>
      </c>
      <c r="X200" s="135">
        <f>MAXIFS('Step 4 FOC Return'!$A:$A, 'Step 4 FOC Return'!$E:$E, $E200)</f>
        <v>0</v>
      </c>
      <c r="Y200" s="126"/>
    </row>
    <row r="201">
      <c r="A201" s="126"/>
      <c r="B201" s="142">
        <v>46076.0</v>
      </c>
      <c r="C201" s="146"/>
      <c r="D201" s="143" t="s">
        <v>42</v>
      </c>
      <c r="E201" s="143">
        <v>3.5137168012134E14</v>
      </c>
      <c r="F201" s="130" t="s">
        <v>1310</v>
      </c>
      <c r="G201" s="146"/>
      <c r="H201" s="126"/>
      <c r="I201" s="132"/>
      <c r="J201" s="143" t="s">
        <v>8</v>
      </c>
      <c r="K201" s="126"/>
      <c r="L201" s="148" t="s">
        <v>10</v>
      </c>
      <c r="M201" s="134" t="str">
        <f t="shared" si="1"/>
        <v>AVAILABLE</v>
      </c>
      <c r="N201" s="134" t="str">
        <f t="array" ref="N201">IF(M201="LOANED / ON KOL", INDEX('Step 3 FOC Request'!$G:$G, MATCH(1, ('Step 3 FOC Request'!$A:$A=W201) * ('Step 3 FOC Request'!$F:$F=E201), 0)), "-")</f>
        <v>-</v>
      </c>
      <c r="O201" s="126"/>
      <c r="P201" s="126"/>
      <c r="Q201" s="126"/>
      <c r="R201" s="126"/>
      <c r="U201" s="126"/>
      <c r="V201" s="126"/>
      <c r="W201" s="135">
        <f>MAXIFS('Step 3 FOC Request'!$A:$A, 'Step 3 FOC Request'!$F:$F, $E201)</f>
        <v>0</v>
      </c>
      <c r="X201" s="135">
        <f>MAXIFS('Step 4 FOC Return'!$A:$A, 'Step 4 FOC Return'!$E:$E, $E201)</f>
        <v>0</v>
      </c>
      <c r="Y201" s="126"/>
    </row>
    <row r="202">
      <c r="A202" s="126"/>
      <c r="B202" s="142">
        <v>46076.0</v>
      </c>
      <c r="C202" s="146"/>
      <c r="D202" s="143" t="s">
        <v>44</v>
      </c>
      <c r="E202" s="143" t="s">
        <v>824</v>
      </c>
      <c r="F202" s="130" t="s">
        <v>1309</v>
      </c>
      <c r="G202" s="143" t="s">
        <v>11</v>
      </c>
      <c r="H202" s="126"/>
      <c r="I202" s="132"/>
      <c r="J202" s="143" t="s">
        <v>8</v>
      </c>
      <c r="K202" s="126"/>
      <c r="L202" s="148" t="s">
        <v>10</v>
      </c>
      <c r="M202" s="134" t="str">
        <f t="shared" si="1"/>
        <v>AVAILABLE</v>
      </c>
      <c r="N202" s="134" t="str">
        <f t="array" ref="N202">IF(M202="LOANED / ON KOL", INDEX('Step 3 FOC Request'!$G:$G, MATCH(1, ('Step 3 FOC Request'!$A:$A=W202) * ('Step 3 FOC Request'!$F:$F=E202), 0)), "-")</f>
        <v>-</v>
      </c>
      <c r="O202" s="126"/>
      <c r="P202" s="126"/>
      <c r="Q202" s="126"/>
      <c r="R202" s="126"/>
      <c r="U202" s="126"/>
      <c r="V202" s="126"/>
      <c r="W202" s="135">
        <f>MAXIFS('Step 3 FOC Request'!$A:$A, 'Step 3 FOC Request'!$F:$F, $E202)</f>
        <v>0</v>
      </c>
      <c r="X202" s="135">
        <f>MAXIFS('Step 4 FOC Return'!$A:$A, 'Step 4 FOC Return'!$E:$E, $E202)</f>
        <v>0</v>
      </c>
      <c r="Y202" s="126"/>
    </row>
    <row r="203">
      <c r="A203" s="126"/>
      <c r="B203" s="142">
        <v>46076.0</v>
      </c>
      <c r="C203" s="146"/>
      <c r="D203" s="143" t="s">
        <v>44</v>
      </c>
      <c r="E203" s="143" t="s">
        <v>1311</v>
      </c>
      <c r="F203" s="130" t="s">
        <v>1309</v>
      </c>
      <c r="G203" s="143" t="s">
        <v>11</v>
      </c>
      <c r="H203" s="126"/>
      <c r="I203" s="132"/>
      <c r="J203" s="143" t="s">
        <v>8</v>
      </c>
      <c r="K203" s="126"/>
      <c r="L203" s="148" t="s">
        <v>10</v>
      </c>
      <c r="M203" s="134" t="str">
        <f t="shared" si="1"/>
        <v>LOANED / ON KOL</v>
      </c>
      <c r="N203" s="134" t="str">
        <f t="array" ref="N203">IF(M203="LOANED / ON KOL", INDEX('Step 3 FOC Request'!$G:$G, MATCH(1, ('Step 3 FOC Request'!$A:$A=W203) * ('Step 3 FOC Request'!$F:$F=E203), 0)), "-")</f>
        <v>Putu Aditya (Govinda Rumi)</v>
      </c>
      <c r="O203" s="126"/>
      <c r="P203" s="126"/>
      <c r="Q203" s="126"/>
      <c r="R203" s="126"/>
      <c r="U203" s="126"/>
      <c r="V203" s="126"/>
      <c r="W203" s="135">
        <f>MAXIFS('Step 3 FOC Request'!$A:$A, 'Step 3 FOC Request'!$F:$F, $E203)</f>
        <v>46091.45064</v>
      </c>
      <c r="X203" s="135">
        <f>MAXIFS('Step 4 FOC Return'!$A:$A, 'Step 4 FOC Return'!$E:$E, $E203)</f>
        <v>0</v>
      </c>
      <c r="Y203" s="126"/>
    </row>
    <row r="204">
      <c r="A204" s="126"/>
      <c r="B204" s="142">
        <v>46077.0</v>
      </c>
      <c r="C204" s="143" t="s">
        <v>15</v>
      </c>
      <c r="D204" s="129" t="s">
        <v>31</v>
      </c>
      <c r="E204" s="143">
        <v>3.58780495000767E14</v>
      </c>
      <c r="F204" s="130" t="s">
        <v>1312</v>
      </c>
      <c r="G204" s="143" t="s">
        <v>11</v>
      </c>
      <c r="H204" s="151">
        <v>46265.0</v>
      </c>
      <c r="I204" s="132"/>
      <c r="J204" s="143" t="s">
        <v>24</v>
      </c>
      <c r="K204" s="143" t="s">
        <v>1258</v>
      </c>
      <c r="L204" s="148" t="s">
        <v>10</v>
      </c>
      <c r="M204" s="134" t="str">
        <f t="shared" si="1"/>
        <v>LOANED / ON KOL</v>
      </c>
      <c r="N204" s="134" t="str">
        <f t="array" ref="N204">IF(M204="LOANED / ON KOL", INDEX('Step 3 FOC Request'!$G:$G, MATCH(1, ('Step 3 FOC Request'!$A:$A=W204) * ('Step 3 FOC Request'!$F:$F=E204), 0)), "-")</f>
        <v>Nona</v>
      </c>
      <c r="O204" s="126"/>
      <c r="P204" s="126"/>
      <c r="Q204" s="126"/>
      <c r="R204" s="126"/>
      <c r="U204" s="126"/>
      <c r="V204" s="126"/>
      <c r="W204" s="135">
        <f>MAXIFS('Step 3 FOC Request'!$A:$A, 'Step 3 FOC Request'!$F:$F, $E204)</f>
        <v>46097</v>
      </c>
      <c r="X204" s="135">
        <f>MAXIFS('Step 4 FOC Return'!$A:$A, 'Step 4 FOC Return'!$E:$E, $E204)</f>
        <v>0</v>
      </c>
      <c r="Y204" s="126"/>
    </row>
    <row r="205">
      <c r="A205" s="126"/>
      <c r="B205" s="142">
        <v>46077.0</v>
      </c>
      <c r="C205" s="143" t="s">
        <v>15</v>
      </c>
      <c r="D205" s="129" t="s">
        <v>31</v>
      </c>
      <c r="E205" s="143">
        <v>3.58780495015658E14</v>
      </c>
      <c r="F205" s="130" t="s">
        <v>1298</v>
      </c>
      <c r="G205" s="143" t="s">
        <v>11</v>
      </c>
      <c r="H205" s="151">
        <v>46265.0</v>
      </c>
      <c r="I205" s="132"/>
      <c r="J205" s="143" t="s">
        <v>24</v>
      </c>
      <c r="K205" s="143" t="s">
        <v>1258</v>
      </c>
      <c r="L205" s="148" t="s">
        <v>10</v>
      </c>
      <c r="M205" s="134" t="str">
        <f t="shared" si="1"/>
        <v>LOANED / ON KOL</v>
      </c>
      <c r="N205" s="134" t="str">
        <f t="array" ref="N205">IF(M205="LOANED / ON KOL", INDEX('Step 3 FOC Request'!$G:$G, MATCH(1, ('Step 3 FOC Request'!$A:$A=W205) * ('Step 3 FOC Request'!$F:$F=E205), 0)), "-")</f>
        <v>Jeffry Reksa</v>
      </c>
      <c r="O205" s="126"/>
      <c r="P205" s="126"/>
      <c r="Q205" s="126"/>
      <c r="R205" s="126"/>
      <c r="U205" s="126"/>
      <c r="V205" s="126"/>
      <c r="W205" s="135">
        <f>MAXIFS('Step 3 FOC Request'!$A:$A, 'Step 3 FOC Request'!$F:$F, $E205)</f>
        <v>46087.5208</v>
      </c>
      <c r="X205" s="135">
        <f>MAXIFS('Step 4 FOC Return'!$A:$A, 'Step 4 FOC Return'!$E:$E, $E205)</f>
        <v>0</v>
      </c>
      <c r="Y205" s="126"/>
    </row>
    <row r="206">
      <c r="A206" s="126"/>
      <c r="B206" s="142">
        <v>46077.0</v>
      </c>
      <c r="C206" s="143" t="s">
        <v>15</v>
      </c>
      <c r="D206" s="129" t="s">
        <v>31</v>
      </c>
      <c r="E206" s="143">
        <v>3.52425615134999E14</v>
      </c>
      <c r="F206" s="130" t="s">
        <v>1259</v>
      </c>
      <c r="G206" s="143" t="s">
        <v>11</v>
      </c>
      <c r="H206" s="151">
        <v>46265.0</v>
      </c>
      <c r="I206" s="132"/>
      <c r="J206" s="143" t="s">
        <v>24</v>
      </c>
      <c r="K206" s="143" t="s">
        <v>1258</v>
      </c>
      <c r="L206" s="148" t="s">
        <v>10</v>
      </c>
      <c r="M206" s="134" t="str">
        <f t="shared" si="1"/>
        <v>AVAILABLE</v>
      </c>
      <c r="N206" s="134" t="str">
        <f t="array" ref="N206">IF(M206="LOANED / ON KOL", INDEX('Step 3 FOC Request'!$G:$G, MATCH(1, ('Step 3 FOC Request'!$A:$A=W206) * ('Step 3 FOC Request'!$F:$F=E206), 0)), "-")</f>
        <v>-</v>
      </c>
      <c r="O206" s="126"/>
      <c r="P206" s="126"/>
      <c r="Q206" s="126"/>
      <c r="R206" s="126"/>
      <c r="U206" s="126"/>
      <c r="V206" s="126"/>
      <c r="W206" s="135">
        <f>MAXIFS('Step 3 FOC Request'!$A:$A, 'Step 3 FOC Request'!$F:$F, $E206)</f>
        <v>0</v>
      </c>
      <c r="X206" s="135">
        <f>MAXIFS('Step 4 FOC Return'!$A:$A, 'Step 4 FOC Return'!$E:$E, $E206)</f>
        <v>0</v>
      </c>
      <c r="Y206" s="126"/>
    </row>
    <row r="207">
      <c r="A207" s="126"/>
      <c r="B207" s="142">
        <v>46077.0</v>
      </c>
      <c r="C207" s="143" t="s">
        <v>15</v>
      </c>
      <c r="D207" s="129" t="s">
        <v>31</v>
      </c>
      <c r="E207" s="143">
        <v>3.58780495000254E14</v>
      </c>
      <c r="F207" s="130" t="s">
        <v>1313</v>
      </c>
      <c r="G207" s="143" t="s">
        <v>11</v>
      </c>
      <c r="H207" s="151">
        <v>46265.0</v>
      </c>
      <c r="I207" s="132"/>
      <c r="J207" s="143" t="s">
        <v>24</v>
      </c>
      <c r="K207" s="143" t="s">
        <v>1258</v>
      </c>
      <c r="L207" s="148" t="s">
        <v>10</v>
      </c>
      <c r="M207" s="134" t="str">
        <f t="shared" si="1"/>
        <v>LOANED / ON KOL</v>
      </c>
      <c r="N207" s="134" t="str">
        <f t="array" ref="N207">IF(M207="LOANED / ON KOL", INDEX('Step 3 FOC Request'!$G:$G, MATCH(1, ('Step 3 FOC Request'!$A:$A=W207) * ('Step 3 FOC Request'!$F:$F=E207), 0)), "-")</f>
        <v>Pevent </v>
      </c>
      <c r="O207" s="126"/>
      <c r="P207" s="126"/>
      <c r="Q207" s="126"/>
      <c r="R207" s="126"/>
      <c r="U207" s="126"/>
      <c r="V207" s="126"/>
      <c r="W207" s="135">
        <f>MAXIFS('Step 3 FOC Request'!$A:$A, 'Step 3 FOC Request'!$F:$F, $E207)</f>
        <v>46079.51256</v>
      </c>
      <c r="X207" s="135">
        <f>MAXIFS('Step 4 FOC Return'!$A:$A, 'Step 4 FOC Return'!$E:$E, $E207)</f>
        <v>0</v>
      </c>
      <c r="Y207" s="126"/>
    </row>
    <row r="208">
      <c r="A208" s="126"/>
      <c r="B208" s="142">
        <v>46077.0</v>
      </c>
      <c r="C208" s="143" t="s">
        <v>15</v>
      </c>
      <c r="D208" s="143" t="s">
        <v>31</v>
      </c>
      <c r="E208" s="143">
        <v>3.58780495001591E14</v>
      </c>
      <c r="F208" s="130" t="s">
        <v>1299</v>
      </c>
      <c r="G208" s="143" t="s">
        <v>11</v>
      </c>
      <c r="H208" s="151">
        <v>46265.0</v>
      </c>
      <c r="I208" s="132"/>
      <c r="J208" s="143" t="s">
        <v>24</v>
      </c>
      <c r="K208" s="143" t="s">
        <v>1258</v>
      </c>
      <c r="L208" s="148" t="s">
        <v>10</v>
      </c>
      <c r="M208" s="134" t="str">
        <f t="shared" si="1"/>
        <v>LOANED / ON KOL</v>
      </c>
      <c r="N208" s="134" t="str">
        <f t="array" ref="N208">IF(M208="LOANED / ON KOL", INDEX('Step 3 FOC Request'!$G:$G, MATCH(1, ('Step 3 FOC Request'!$A:$A=W208) * ('Step 3 FOC Request'!$F:$F=E208), 0)), "-")</f>
        <v>Jordy</v>
      </c>
      <c r="O208" s="126"/>
      <c r="P208" s="126"/>
      <c r="Q208" s="126"/>
      <c r="R208" s="126"/>
      <c r="U208" s="126"/>
      <c r="V208" s="126"/>
      <c r="W208" s="135">
        <f>MAXIFS('Step 3 FOC Request'!$A:$A, 'Step 3 FOC Request'!$F:$F, $E208)</f>
        <v>46091</v>
      </c>
      <c r="X208" s="135">
        <f>MAXIFS('Step 4 FOC Return'!$A:$A, 'Step 4 FOC Return'!$E:$E, $E208)</f>
        <v>0</v>
      </c>
      <c r="Y208" s="126"/>
    </row>
    <row r="209">
      <c r="A209" s="126"/>
      <c r="B209" s="142">
        <v>46077.0</v>
      </c>
      <c r="C209" s="143" t="s">
        <v>15</v>
      </c>
      <c r="D209" s="143" t="s">
        <v>31</v>
      </c>
      <c r="E209" s="143">
        <v>3.58780495000361E14</v>
      </c>
      <c r="F209" s="130" t="s">
        <v>1312</v>
      </c>
      <c r="G209" s="143" t="s">
        <v>11</v>
      </c>
      <c r="H209" s="151">
        <v>46265.0</v>
      </c>
      <c r="I209" s="132"/>
      <c r="J209" s="143" t="s">
        <v>24</v>
      </c>
      <c r="K209" s="143" t="s">
        <v>1258</v>
      </c>
      <c r="L209" s="148" t="s">
        <v>10</v>
      </c>
      <c r="M209" s="134" t="str">
        <f t="shared" si="1"/>
        <v>LOANED / ON KOL</v>
      </c>
      <c r="N209" s="134" t="str">
        <f t="array" ref="N209">IF(M209="LOANED / ON KOL", INDEX('Step 3 FOC Request'!$G:$G, MATCH(1, ('Step 3 FOC Request'!$A:$A=W209) * ('Step 3 FOC Request'!$F:$F=E209), 0)), "-")</f>
        <v>Dhyfa</v>
      </c>
      <c r="O209" s="126"/>
      <c r="P209" s="126"/>
      <c r="Q209" s="126"/>
      <c r="R209" s="126"/>
      <c r="U209" s="126"/>
      <c r="V209" s="126"/>
      <c r="W209" s="135">
        <f>MAXIFS('Step 3 FOC Request'!$A:$A, 'Step 3 FOC Request'!$F:$F, $E209)</f>
        <v>46091</v>
      </c>
      <c r="X209" s="135">
        <f>MAXIFS('Step 4 FOC Return'!$A:$A, 'Step 4 FOC Return'!$E:$E, $E209)</f>
        <v>0</v>
      </c>
      <c r="Y209" s="126"/>
    </row>
    <row r="210">
      <c r="A210" s="126"/>
      <c r="B210" s="142">
        <v>46077.0</v>
      </c>
      <c r="C210" s="143" t="s">
        <v>15</v>
      </c>
      <c r="D210" s="143" t="s">
        <v>31</v>
      </c>
      <c r="E210" s="143">
        <v>3.5878049501381E14</v>
      </c>
      <c r="F210" s="130" t="s">
        <v>1312</v>
      </c>
      <c r="G210" s="143" t="s">
        <v>11</v>
      </c>
      <c r="H210" s="151">
        <v>46265.0</v>
      </c>
      <c r="I210" s="132"/>
      <c r="J210" s="143" t="s">
        <v>24</v>
      </c>
      <c r="K210" s="143" t="s">
        <v>1258</v>
      </c>
      <c r="L210" s="148" t="s">
        <v>10</v>
      </c>
      <c r="M210" s="134" t="str">
        <f t="shared" si="1"/>
        <v>AVAILABLE</v>
      </c>
      <c r="N210" s="134" t="str">
        <f t="array" ref="N210">IF(M210="LOANED / ON KOL", INDEX('Step 3 FOC Request'!$G:$G, MATCH(1, ('Step 3 FOC Request'!$A:$A=W210) * ('Step 3 FOC Request'!$F:$F=E210), 0)), "-")</f>
        <v>-</v>
      </c>
      <c r="O210" s="126"/>
      <c r="P210" s="126"/>
      <c r="Q210" s="126"/>
      <c r="R210" s="126"/>
      <c r="U210" s="126"/>
      <c r="V210" s="126"/>
      <c r="W210" s="135">
        <f>MAXIFS('Step 3 FOC Request'!$A:$A, 'Step 3 FOC Request'!$F:$F, $E210)</f>
        <v>0</v>
      </c>
      <c r="X210" s="135">
        <f>MAXIFS('Step 4 FOC Return'!$A:$A, 'Step 4 FOC Return'!$E:$E, $E210)</f>
        <v>0</v>
      </c>
      <c r="Y210" s="126"/>
    </row>
    <row r="211">
      <c r="A211" s="126"/>
      <c r="B211" s="142">
        <v>46077.0</v>
      </c>
      <c r="C211" s="143" t="s">
        <v>15</v>
      </c>
      <c r="D211" s="143" t="s">
        <v>31</v>
      </c>
      <c r="E211" s="143">
        <v>3.58780495014362E14</v>
      </c>
      <c r="F211" s="130" t="s">
        <v>1312</v>
      </c>
      <c r="G211" s="143" t="s">
        <v>11</v>
      </c>
      <c r="H211" s="151">
        <v>46265.0</v>
      </c>
      <c r="I211" s="132"/>
      <c r="J211" s="143" t="s">
        <v>24</v>
      </c>
      <c r="K211" s="143" t="s">
        <v>1258</v>
      </c>
      <c r="L211" s="148" t="s">
        <v>10</v>
      </c>
      <c r="M211" s="134" t="str">
        <f t="shared" si="1"/>
        <v>LOANED / ON KOL</v>
      </c>
      <c r="N211" s="134" t="str">
        <f t="array" ref="N211">IF(M211="LOANED / ON KOL", INDEX('Step 3 FOC Request'!$G:$G, MATCH(1, ('Step 3 FOC Request'!$A:$A=W211) * ('Step 3 FOC Request'!$F:$F=E211), 0)), "-")</f>
        <v>Reza Febs</v>
      </c>
      <c r="O211" s="126"/>
      <c r="P211" s="126"/>
      <c r="Q211" s="126"/>
      <c r="R211" s="126"/>
      <c r="U211" s="126"/>
      <c r="V211" s="126"/>
      <c r="W211" s="135">
        <f>MAXIFS('Step 3 FOC Request'!$A:$A, 'Step 3 FOC Request'!$F:$F, $E211)</f>
        <v>46090.74888</v>
      </c>
      <c r="X211" s="135">
        <f>MAXIFS('Step 4 FOC Return'!$A:$A, 'Step 4 FOC Return'!$E:$E, $E211)</f>
        <v>0</v>
      </c>
      <c r="Y211" s="126"/>
    </row>
    <row r="212">
      <c r="A212" s="126"/>
      <c r="B212" s="142">
        <v>46077.0</v>
      </c>
      <c r="C212" s="143" t="s">
        <v>15</v>
      </c>
      <c r="D212" s="129" t="s">
        <v>31</v>
      </c>
      <c r="E212" s="143">
        <v>3.51690530029134E14</v>
      </c>
      <c r="F212" s="130" t="s">
        <v>1262</v>
      </c>
      <c r="G212" s="143" t="s">
        <v>11</v>
      </c>
      <c r="H212" s="151">
        <v>46265.0</v>
      </c>
      <c r="I212" s="132"/>
      <c r="J212" s="143" t="s">
        <v>24</v>
      </c>
      <c r="K212" s="143" t="s">
        <v>1258</v>
      </c>
      <c r="L212" s="148" t="s">
        <v>10</v>
      </c>
      <c r="M212" s="134" t="str">
        <f t="shared" si="1"/>
        <v>AVAILABLE</v>
      </c>
      <c r="N212" s="134" t="str">
        <f t="array" ref="N212">IF(M212="LOANED / ON KOL", INDEX('Step 3 FOC Request'!$G:$G, MATCH(1, ('Step 3 FOC Request'!$A:$A=W212) * ('Step 3 FOC Request'!$F:$F=E212), 0)), "-")</f>
        <v>-</v>
      </c>
      <c r="O212" s="126"/>
      <c r="P212" s="126"/>
      <c r="Q212" s="126"/>
      <c r="R212" s="126"/>
      <c r="U212" s="126"/>
      <c r="V212" s="126"/>
      <c r="W212" s="135">
        <f>MAXIFS('Step 3 FOC Request'!$A:$A, 'Step 3 FOC Request'!$F:$F, $E212)</f>
        <v>0</v>
      </c>
      <c r="X212" s="135">
        <f>MAXIFS('Step 4 FOC Return'!$A:$A, 'Step 4 FOC Return'!$E:$E, $E212)</f>
        <v>0</v>
      </c>
      <c r="Y212" s="126"/>
    </row>
    <row r="213">
      <c r="A213" s="126"/>
      <c r="B213" s="142">
        <v>46077.0</v>
      </c>
      <c r="C213" s="143" t="s">
        <v>15</v>
      </c>
      <c r="D213" s="129" t="s">
        <v>31</v>
      </c>
      <c r="E213" s="143">
        <v>3.51690530024319E14</v>
      </c>
      <c r="F213" s="130" t="s">
        <v>1314</v>
      </c>
      <c r="G213" s="143" t="s">
        <v>11</v>
      </c>
      <c r="H213" s="151">
        <v>46265.0</v>
      </c>
      <c r="I213" s="132"/>
      <c r="J213" s="143" t="s">
        <v>24</v>
      </c>
      <c r="K213" s="143" t="s">
        <v>1258</v>
      </c>
      <c r="L213" s="148" t="s">
        <v>10</v>
      </c>
      <c r="M213" s="134" t="str">
        <f t="shared" si="1"/>
        <v>AVAILABLE</v>
      </c>
      <c r="N213" s="134" t="str">
        <f t="array" ref="N213">IF(M213="LOANED / ON KOL", INDEX('Step 3 FOC Request'!$G:$G, MATCH(1, ('Step 3 FOC Request'!$A:$A=W213) * ('Step 3 FOC Request'!$F:$F=E213), 0)), "-")</f>
        <v>-</v>
      </c>
      <c r="O213" s="126"/>
      <c r="P213" s="126"/>
      <c r="Q213" s="126"/>
      <c r="R213" s="126"/>
      <c r="U213" s="126"/>
      <c r="V213" s="126"/>
      <c r="W213" s="135">
        <f>MAXIFS('Step 3 FOC Request'!$A:$A, 'Step 3 FOC Request'!$F:$F, $E213)</f>
        <v>0</v>
      </c>
      <c r="X213" s="135">
        <f>MAXIFS('Step 4 FOC Return'!$A:$A, 'Step 4 FOC Return'!$E:$E, $E213)</f>
        <v>0</v>
      </c>
      <c r="Y213" s="126"/>
    </row>
    <row r="214">
      <c r="A214" s="126"/>
      <c r="B214" s="142">
        <v>46078.0</v>
      </c>
      <c r="C214" s="146"/>
      <c r="D214" s="129" t="s">
        <v>31</v>
      </c>
      <c r="E214" s="143">
        <v>3.58780495026945E14</v>
      </c>
      <c r="F214" s="130" t="s">
        <v>1300</v>
      </c>
      <c r="G214" s="143" t="s">
        <v>19</v>
      </c>
      <c r="H214" s="148" t="s">
        <v>1289</v>
      </c>
      <c r="I214" s="132"/>
      <c r="J214" s="143" t="s">
        <v>51</v>
      </c>
      <c r="K214" s="143" t="s">
        <v>1258</v>
      </c>
      <c r="L214" s="148" t="s">
        <v>26</v>
      </c>
      <c r="M214" s="134" t="str">
        <f t="shared" si="1"/>
        <v>LOANED / ON KOL</v>
      </c>
      <c r="N214" s="134" t="str">
        <f t="array" ref="N214">IF(M214="LOANED / ON KOL", INDEX('Step 3 FOC Request'!$G:$G, MATCH(1, ('Step 3 FOC Request'!$A:$A=W214) * ('Step 3 FOC Request'!$F:$F=E214), 0)), "-")</f>
        <v>Jerome/Jehian</v>
      </c>
      <c r="O214" s="126"/>
      <c r="P214" s="126"/>
      <c r="Q214" s="126"/>
      <c r="R214" s="126"/>
      <c r="U214" s="126"/>
      <c r="V214" s="126"/>
      <c r="W214" s="135">
        <f>MAXIFS('Step 3 FOC Request'!$A:$A, 'Step 3 FOC Request'!$F:$F, $E214)</f>
        <v>46076.8125</v>
      </c>
      <c r="X214" s="135">
        <f>MAXIFS('Step 4 FOC Return'!$A:$A, 'Step 4 FOC Return'!$E:$E, $E214)</f>
        <v>0</v>
      </c>
      <c r="Y214" s="126"/>
    </row>
    <row r="215">
      <c r="A215" s="126"/>
      <c r="B215" s="142">
        <v>46078.0</v>
      </c>
      <c r="C215" s="146"/>
      <c r="D215" s="129" t="s">
        <v>31</v>
      </c>
      <c r="E215" s="143">
        <v>3.58780495026978E14</v>
      </c>
      <c r="F215" s="130" t="s">
        <v>1300</v>
      </c>
      <c r="G215" s="143" t="s">
        <v>19</v>
      </c>
      <c r="H215" s="148" t="s">
        <v>1289</v>
      </c>
      <c r="I215" s="132"/>
      <c r="J215" s="143" t="s">
        <v>51</v>
      </c>
      <c r="K215" s="143" t="s">
        <v>1258</v>
      </c>
      <c r="L215" s="148" t="s">
        <v>26</v>
      </c>
      <c r="M215" s="134" t="str">
        <f t="shared" si="1"/>
        <v>LOANED / ON KOL</v>
      </c>
      <c r="N215" s="134" t="str">
        <f t="array" ref="N215">IF(M215="LOANED / ON KOL", INDEX('Step 3 FOC Request'!$G:$G, MATCH(1, ('Step 3 FOC Request'!$A:$A=W215) * ('Step 3 FOC Request'!$F:$F=E215), 0)), "-")</f>
        <v>Putu Aditya (Govinda Rumi)</v>
      </c>
      <c r="O215" s="126"/>
      <c r="P215" s="126"/>
      <c r="Q215" s="126"/>
      <c r="R215" s="126"/>
      <c r="U215" s="126"/>
      <c r="V215" s="126"/>
      <c r="W215" s="135">
        <f>MAXIFS('Step 3 FOC Request'!$A:$A, 'Step 3 FOC Request'!$F:$F, $E215)</f>
        <v>46086.56892</v>
      </c>
      <c r="X215" s="135">
        <f>MAXIFS('Step 4 FOC Return'!$A:$A, 'Step 4 FOC Return'!$E:$E, $E215)</f>
        <v>0</v>
      </c>
      <c r="Y215" s="126"/>
    </row>
    <row r="216">
      <c r="A216" s="126"/>
      <c r="B216" s="142">
        <v>46078.0</v>
      </c>
      <c r="C216" s="146"/>
      <c r="D216" s="129" t="s">
        <v>31</v>
      </c>
      <c r="E216" s="143">
        <v>3.58780495002268E14</v>
      </c>
      <c r="F216" s="130" t="s">
        <v>1299</v>
      </c>
      <c r="G216" s="143" t="s">
        <v>19</v>
      </c>
      <c r="H216" s="148" t="s">
        <v>1289</v>
      </c>
      <c r="I216" s="132"/>
      <c r="J216" s="143" t="s">
        <v>51</v>
      </c>
      <c r="K216" s="143" t="s">
        <v>1258</v>
      </c>
      <c r="L216" s="148" t="s">
        <v>26</v>
      </c>
      <c r="M216" s="134" t="str">
        <f t="shared" si="1"/>
        <v>LOANED / ON KOL</v>
      </c>
      <c r="N216" s="134" t="str">
        <f t="array" ref="N216">IF(M216="LOANED / ON KOL", INDEX('Step 3 FOC Request'!$G:$G, MATCH(1, ('Step 3 FOC Request'!$A:$A=W216) * ('Step 3 FOC Request'!$F:$F=E216), 0)), "-")</f>
        <v>Habib Jafar</v>
      </c>
      <c r="O216" s="126"/>
      <c r="P216" s="126"/>
      <c r="Q216" s="126"/>
      <c r="R216" s="126"/>
      <c r="U216" s="126"/>
      <c r="V216" s="126"/>
      <c r="W216" s="135">
        <f>MAXIFS('Step 3 FOC Request'!$A:$A, 'Step 3 FOC Request'!$F:$F, $E216)</f>
        <v>46078.75</v>
      </c>
      <c r="X216" s="135">
        <f>MAXIFS('Step 4 FOC Return'!$A:$A, 'Step 4 FOC Return'!$E:$E, $E216)</f>
        <v>0</v>
      </c>
      <c r="Y216" s="126"/>
    </row>
    <row r="217">
      <c r="A217" s="126"/>
      <c r="B217" s="142">
        <v>46078.0</v>
      </c>
      <c r="C217" s="146"/>
      <c r="D217" s="129" t="s">
        <v>31</v>
      </c>
      <c r="E217" s="143">
        <v>3.58780495001757E14</v>
      </c>
      <c r="F217" s="130" t="s">
        <v>1299</v>
      </c>
      <c r="G217" s="143" t="s">
        <v>19</v>
      </c>
      <c r="H217" s="148" t="s">
        <v>1289</v>
      </c>
      <c r="I217" s="132"/>
      <c r="J217" s="143" t="s">
        <v>51</v>
      </c>
      <c r="K217" s="143" t="s">
        <v>1258</v>
      </c>
      <c r="L217" s="148" t="s">
        <v>26</v>
      </c>
      <c r="M217" s="134" t="str">
        <f t="shared" si="1"/>
        <v>LOANED / ON KOL</v>
      </c>
      <c r="N217" s="134" t="str">
        <f t="array" ref="N217">IF(M217="LOANED / ON KOL", INDEX('Step 3 FOC Request'!$G:$G, MATCH(1, ('Step 3 FOC Request'!$A:$A=W217) * ('Step 3 FOC Request'!$F:$F=E217), 0)), "-")</f>
        <v>Bram Hansel</v>
      </c>
      <c r="O217" s="126"/>
      <c r="P217" s="126"/>
      <c r="Q217" s="126"/>
      <c r="R217" s="126"/>
      <c r="U217" s="126"/>
      <c r="V217" s="126"/>
      <c r="W217" s="135">
        <f>MAXIFS('Step 3 FOC Request'!$A:$A, 'Step 3 FOC Request'!$F:$F, $E217)</f>
        <v>46085.58889</v>
      </c>
      <c r="X217" s="135">
        <f>MAXIFS('Step 4 FOC Return'!$A:$A, 'Step 4 FOC Return'!$E:$E, $E217)</f>
        <v>0</v>
      </c>
      <c r="Y217" s="126"/>
    </row>
    <row r="218">
      <c r="A218" s="126"/>
      <c r="B218" s="142">
        <v>46078.0</v>
      </c>
      <c r="C218" s="146"/>
      <c r="D218" s="129" t="s">
        <v>31</v>
      </c>
      <c r="E218" s="143">
        <v>3.58780495024254E14</v>
      </c>
      <c r="F218" s="130" t="s">
        <v>1298</v>
      </c>
      <c r="G218" s="143" t="s">
        <v>19</v>
      </c>
      <c r="H218" s="148" t="s">
        <v>1289</v>
      </c>
      <c r="I218" s="132"/>
      <c r="J218" s="143" t="s">
        <v>51</v>
      </c>
      <c r="K218" s="143" t="s">
        <v>1258</v>
      </c>
      <c r="L218" s="148" t="s">
        <v>26</v>
      </c>
      <c r="M218" s="134" t="str">
        <f t="shared" si="1"/>
        <v>LOANED / ON KOL</v>
      </c>
      <c r="N218" s="134" t="str">
        <f t="array" ref="N218">IF(M218="LOANED / ON KOL", INDEX('Step 3 FOC Request'!$G:$G, MATCH(1, ('Step 3 FOC Request'!$A:$A=W218) * ('Step 3 FOC Request'!$F:$F=E218), 0)), "-")</f>
        <v>Reza Febs</v>
      </c>
      <c r="O218" s="126"/>
      <c r="P218" s="126"/>
      <c r="Q218" s="126"/>
      <c r="R218" s="126"/>
      <c r="U218" s="126"/>
      <c r="V218" s="126"/>
      <c r="W218" s="135">
        <f>MAXIFS('Step 3 FOC Request'!$A:$A, 'Step 3 FOC Request'!$F:$F, $E218)</f>
        <v>46090</v>
      </c>
      <c r="X218" s="135">
        <f>MAXIFS('Step 4 FOC Return'!$A:$A, 'Step 4 FOC Return'!$E:$E, $E218)</f>
        <v>0</v>
      </c>
      <c r="Y218" s="126"/>
    </row>
    <row r="219">
      <c r="A219" s="126"/>
      <c r="B219" s="142">
        <v>46078.0</v>
      </c>
      <c r="C219" s="146"/>
      <c r="D219" s="129" t="s">
        <v>31</v>
      </c>
      <c r="E219" s="143">
        <v>3.5878049501442E14</v>
      </c>
      <c r="F219" s="130" t="s">
        <v>1298</v>
      </c>
      <c r="G219" s="143" t="s">
        <v>19</v>
      </c>
      <c r="H219" s="148" t="s">
        <v>1289</v>
      </c>
      <c r="I219" s="132"/>
      <c r="J219" s="143" t="s">
        <v>51</v>
      </c>
      <c r="K219" s="143" t="s">
        <v>1258</v>
      </c>
      <c r="L219" s="148" t="s">
        <v>26</v>
      </c>
      <c r="M219" s="134" t="str">
        <f t="shared" si="1"/>
        <v>LOANED / ON KOL</v>
      </c>
      <c r="N219" s="134" t="str">
        <f t="array" ref="N219">IF(M219="LOANED / ON KOL", INDEX('Step 3 FOC Request'!$G:$G, MATCH(1, ('Step 3 FOC Request'!$A:$A=W219) * ('Step 3 FOC Request'!$F:$F=E219), 0)), "-")</f>
        <v>Tissa</v>
      </c>
      <c r="O219" s="126"/>
      <c r="P219" s="126"/>
      <c r="Q219" s="126"/>
      <c r="R219" s="126"/>
      <c r="U219" s="126"/>
      <c r="V219" s="126"/>
      <c r="W219" s="135">
        <f>MAXIFS('Step 3 FOC Request'!$A:$A, 'Step 3 FOC Request'!$F:$F, $E219)</f>
        <v>46083.72917</v>
      </c>
      <c r="X219" s="135">
        <f>MAXIFS('Step 4 FOC Return'!$A:$A, 'Step 4 FOC Return'!$E:$E, $E219)</f>
        <v>0</v>
      </c>
      <c r="Y219" s="126"/>
    </row>
    <row r="220">
      <c r="A220" s="126"/>
      <c r="B220" s="142">
        <v>46078.0</v>
      </c>
      <c r="C220" s="146"/>
      <c r="D220" s="129" t="s">
        <v>31</v>
      </c>
      <c r="E220" s="143">
        <v>3.58780495005428E14</v>
      </c>
      <c r="F220" s="130" t="s">
        <v>1298</v>
      </c>
      <c r="G220" s="143" t="s">
        <v>19</v>
      </c>
      <c r="H220" s="148" t="s">
        <v>1289</v>
      </c>
      <c r="I220" s="132"/>
      <c r="J220" s="143" t="s">
        <v>51</v>
      </c>
      <c r="K220" s="143" t="s">
        <v>1258</v>
      </c>
      <c r="L220" s="148" t="s">
        <v>26</v>
      </c>
      <c r="M220" s="134" t="str">
        <f t="shared" si="1"/>
        <v>LOANED / ON KOL</v>
      </c>
      <c r="N220" s="134" t="str">
        <f t="array" ref="N220">IF(M220="LOANED / ON KOL", INDEX('Step 3 FOC Request'!$G:$G, MATCH(1, ('Step 3 FOC Request'!$A:$A=W220) * ('Step 3 FOC Request'!$F:$F=E220), 0)), "-")</f>
        <v>Harry Faugan</v>
      </c>
      <c r="O220" s="126"/>
      <c r="P220" s="126"/>
      <c r="Q220" s="126"/>
      <c r="R220" s="126"/>
      <c r="U220" s="126"/>
      <c r="V220" s="126"/>
      <c r="W220" s="135">
        <f>MAXIFS('Step 3 FOC Request'!$A:$A, 'Step 3 FOC Request'!$F:$F, $E220)</f>
        <v>46085.58889</v>
      </c>
      <c r="X220" s="135">
        <f>MAXIFS('Step 4 FOC Return'!$A:$A, 'Step 4 FOC Return'!$E:$E, $E220)</f>
        <v>0</v>
      </c>
      <c r="Y220" s="126"/>
    </row>
    <row r="221">
      <c r="A221" s="126"/>
      <c r="B221" s="142">
        <v>46078.0</v>
      </c>
      <c r="C221" s="146"/>
      <c r="D221" s="129" t="s">
        <v>31</v>
      </c>
      <c r="E221" s="143" t="s">
        <v>1315</v>
      </c>
      <c r="F221" s="130" t="s">
        <v>1316</v>
      </c>
      <c r="G221" s="143" t="s">
        <v>19</v>
      </c>
      <c r="H221" s="126"/>
      <c r="I221" s="132"/>
      <c r="J221" s="143" t="s">
        <v>51</v>
      </c>
      <c r="K221" s="143" t="s">
        <v>1258</v>
      </c>
      <c r="L221" s="148" t="s">
        <v>26</v>
      </c>
      <c r="M221" s="134" t="str">
        <f t="shared" si="1"/>
        <v>AVAILABLE</v>
      </c>
      <c r="N221" s="134" t="str">
        <f t="array" ref="N221">IF(M221="LOANED / ON KOL", INDEX('Step 3 FOC Request'!$G:$G, MATCH(1, ('Step 3 FOC Request'!$A:$A=W221) * ('Step 3 FOC Request'!$F:$F=E221), 0)), "-")</f>
        <v>-</v>
      </c>
      <c r="O221" s="126"/>
      <c r="P221" s="126"/>
      <c r="Q221" s="126"/>
      <c r="R221" s="126"/>
      <c r="U221" s="126"/>
      <c r="V221" s="126"/>
      <c r="W221" s="135">
        <f>MAXIFS('Step 3 FOC Request'!$A:$A, 'Step 3 FOC Request'!$F:$F, $E221)</f>
        <v>0</v>
      </c>
      <c r="X221" s="135">
        <f>MAXIFS('Step 4 FOC Return'!$A:$A, 'Step 4 FOC Return'!$E:$E, $E221)</f>
        <v>0</v>
      </c>
      <c r="Y221" s="126"/>
    </row>
    <row r="222">
      <c r="A222" s="126"/>
      <c r="B222" s="142">
        <v>46078.0</v>
      </c>
      <c r="C222" s="146"/>
      <c r="D222" s="129" t="s">
        <v>31</v>
      </c>
      <c r="E222" s="143">
        <v>3.50009210014939E14</v>
      </c>
      <c r="F222" s="130" t="s">
        <v>1200</v>
      </c>
      <c r="G222" s="143" t="s">
        <v>19</v>
      </c>
      <c r="H222" s="126"/>
      <c r="I222" s="132"/>
      <c r="J222" s="143" t="s">
        <v>8</v>
      </c>
      <c r="K222" s="126"/>
      <c r="L222" s="148" t="s">
        <v>10</v>
      </c>
      <c r="M222" s="134" t="str">
        <f t="shared" si="1"/>
        <v>LOANED / ON KOL</v>
      </c>
      <c r="N222" s="134" t="str">
        <f t="array" ref="N222">IF(M222="LOANED / ON KOL", INDEX('Step 3 FOC Request'!$G:$G, MATCH(1, ('Step 3 FOC Request'!$A:$A=W222) * ('Step 3 FOC Request'!$F:$F=E222), 0)), "-")</f>
        <v>Clara Lianis</v>
      </c>
      <c r="O222" s="126"/>
      <c r="P222" s="126"/>
      <c r="Q222" s="126"/>
      <c r="R222" s="126"/>
      <c r="U222" s="126"/>
      <c r="V222" s="126"/>
      <c r="W222" s="135">
        <f>MAXIFS('Step 3 FOC Request'!$A:$A, 'Step 3 FOC Request'!$F:$F, $E222)</f>
        <v>46079.51403</v>
      </c>
      <c r="X222" s="135">
        <f>MAXIFS('Step 4 FOC Return'!$A:$A, 'Step 4 FOC Return'!$E:$E, $E222)</f>
        <v>0</v>
      </c>
      <c r="Y222" s="126"/>
    </row>
    <row r="223">
      <c r="A223" s="126"/>
      <c r="B223" s="142">
        <v>46080.0</v>
      </c>
      <c r="C223" s="146"/>
      <c r="D223" s="152" t="s">
        <v>42</v>
      </c>
      <c r="E223" s="152" t="s">
        <v>1005</v>
      </c>
      <c r="F223" s="130" t="s">
        <v>1317</v>
      </c>
      <c r="G223" s="143" t="s">
        <v>11</v>
      </c>
      <c r="H223" s="126"/>
      <c r="I223" s="132"/>
      <c r="J223" s="143" t="s">
        <v>50</v>
      </c>
      <c r="K223" s="126"/>
      <c r="L223" s="148" t="s">
        <v>10</v>
      </c>
      <c r="M223" s="134" t="str">
        <f t="shared" si="1"/>
        <v>LOANED / ON KOL</v>
      </c>
      <c r="N223" s="134" t="str">
        <f t="array" ref="N223">IF(M223="LOANED / ON KOL", INDEX('Step 3 FOC Request'!$G:$G, MATCH(1, ('Step 3 FOC Request'!$A:$A=W223) * ('Step 3 FOC Request'!$F:$F=E223), 0)), "-")</f>
        <v>Nungky</v>
      </c>
      <c r="O223" s="126"/>
      <c r="P223" s="126"/>
      <c r="Q223" s="126"/>
      <c r="R223" s="126"/>
      <c r="U223" s="126"/>
      <c r="V223" s="126"/>
      <c r="W223" s="135">
        <f>MAXIFS('Step 3 FOC Request'!$A:$A, 'Step 3 FOC Request'!$F:$F, $E223)</f>
        <v>46080.5656</v>
      </c>
      <c r="X223" s="135">
        <f>MAXIFS('Step 4 FOC Return'!$A:$A, 'Step 4 FOC Return'!$E:$E, $E223)</f>
        <v>0</v>
      </c>
      <c r="Y223" s="126"/>
    </row>
    <row r="224">
      <c r="A224" s="126"/>
      <c r="B224" s="142">
        <v>46080.0</v>
      </c>
      <c r="C224" s="146"/>
      <c r="D224" s="143" t="s">
        <v>31</v>
      </c>
      <c r="E224" s="143">
        <v>3.55649780288663E14</v>
      </c>
      <c r="F224" s="130" t="s">
        <v>1190</v>
      </c>
      <c r="G224" s="143" t="s">
        <v>19</v>
      </c>
      <c r="H224" s="126"/>
      <c r="I224" s="132"/>
      <c r="J224" s="143" t="s">
        <v>52</v>
      </c>
      <c r="K224" s="126"/>
      <c r="L224" s="148" t="s">
        <v>10</v>
      </c>
      <c r="M224" s="134" t="str">
        <f t="shared" si="1"/>
        <v>LOANED / ON KOL</v>
      </c>
      <c r="N224" s="134" t="str">
        <f t="array" ref="N224">IF(M224="LOANED / ON KOL", INDEX('Step 3 FOC Request'!$G:$G, MATCH(1, ('Step 3 FOC Request'!$A:$A=W224) * ('Step 3 FOC Request'!$F:$F=E224), 0)), "-")</f>
        <v>Shaguffta Kaur</v>
      </c>
      <c r="O224" s="126"/>
      <c r="P224" s="126"/>
      <c r="Q224" s="126"/>
      <c r="R224" s="126"/>
      <c r="U224" s="126"/>
      <c r="V224" s="126"/>
      <c r="W224" s="135">
        <f>MAXIFS('Step 3 FOC Request'!$A:$A, 'Step 3 FOC Request'!$F:$F, $E224)</f>
        <v>46076.52926</v>
      </c>
      <c r="X224" s="135">
        <f>MAXIFS('Step 4 FOC Return'!$A:$A, 'Step 4 FOC Return'!$E:$E, $E224)</f>
        <v>0</v>
      </c>
      <c r="Y224" s="126"/>
    </row>
    <row r="225">
      <c r="A225" s="126"/>
      <c r="B225" s="142">
        <v>46080.0</v>
      </c>
      <c r="C225" s="146"/>
      <c r="D225" s="143" t="s">
        <v>31</v>
      </c>
      <c r="E225" s="143">
        <v>3.55649780286204E14</v>
      </c>
      <c r="F225" s="130" t="s">
        <v>1190</v>
      </c>
      <c r="G225" s="143" t="s">
        <v>19</v>
      </c>
      <c r="H225" s="126"/>
      <c r="I225" s="132"/>
      <c r="J225" s="143" t="s">
        <v>52</v>
      </c>
      <c r="K225" s="126"/>
      <c r="L225" s="148" t="s">
        <v>10</v>
      </c>
      <c r="M225" s="134" t="str">
        <f t="shared" si="1"/>
        <v>AVAILABLE</v>
      </c>
      <c r="N225" s="134" t="str">
        <f t="array" ref="N225">IF(M225="LOANED / ON KOL", INDEX('Step 3 FOC Request'!$G:$G, MATCH(1, ('Step 3 FOC Request'!$A:$A=W225) * ('Step 3 FOC Request'!$F:$F=E225), 0)), "-")</f>
        <v>-</v>
      </c>
      <c r="O225" s="126"/>
      <c r="P225" s="126"/>
      <c r="Q225" s="126"/>
      <c r="R225" s="126"/>
      <c r="U225" s="126"/>
      <c r="V225" s="126"/>
      <c r="W225" s="135">
        <f>MAXIFS('Step 3 FOC Request'!$A:$A, 'Step 3 FOC Request'!$F:$F, $E225)</f>
        <v>0</v>
      </c>
      <c r="X225" s="135">
        <f>MAXIFS('Step 4 FOC Return'!$A:$A, 'Step 4 FOC Return'!$E:$E, $E225)</f>
        <v>0</v>
      </c>
      <c r="Y225" s="126"/>
    </row>
    <row r="226">
      <c r="A226" s="126"/>
      <c r="B226" s="142">
        <v>46080.0</v>
      </c>
      <c r="C226" s="146"/>
      <c r="D226" s="143" t="s">
        <v>31</v>
      </c>
      <c r="E226" s="143">
        <v>3.55649780289422E14</v>
      </c>
      <c r="F226" s="130" t="s">
        <v>1190</v>
      </c>
      <c r="G226" s="143" t="s">
        <v>19</v>
      </c>
      <c r="H226" s="126"/>
      <c r="I226" s="132"/>
      <c r="J226" s="143" t="s">
        <v>52</v>
      </c>
      <c r="K226" s="126"/>
      <c r="L226" s="148" t="s">
        <v>10</v>
      </c>
      <c r="M226" s="134" t="str">
        <f t="shared" si="1"/>
        <v>AVAILABLE</v>
      </c>
      <c r="N226" s="134" t="str">
        <f t="array" ref="N226">IF(M226="LOANED / ON KOL", INDEX('Step 3 FOC Request'!$G:$G, MATCH(1, ('Step 3 FOC Request'!$A:$A=W226) * ('Step 3 FOC Request'!$F:$F=E226), 0)), "-")</f>
        <v>-</v>
      </c>
      <c r="O226" s="126"/>
      <c r="P226" s="126"/>
      <c r="Q226" s="126"/>
      <c r="R226" s="126"/>
      <c r="U226" s="126"/>
      <c r="V226" s="126"/>
      <c r="W226" s="135">
        <f>MAXIFS('Step 3 FOC Request'!$A:$A, 'Step 3 FOC Request'!$F:$F, $E226)</f>
        <v>0</v>
      </c>
      <c r="X226" s="135">
        <f>MAXIFS('Step 4 FOC Return'!$A:$A, 'Step 4 FOC Return'!$E:$E, $E226)</f>
        <v>0</v>
      </c>
      <c r="Y226" s="126"/>
    </row>
    <row r="227">
      <c r="A227" s="126"/>
      <c r="B227" s="142">
        <v>46080.0</v>
      </c>
      <c r="C227" s="146"/>
      <c r="D227" s="143" t="s">
        <v>31</v>
      </c>
      <c r="E227" s="143">
        <v>3.55649780289513E14</v>
      </c>
      <c r="F227" s="130" t="s">
        <v>1190</v>
      </c>
      <c r="G227" s="143" t="s">
        <v>19</v>
      </c>
      <c r="H227" s="126"/>
      <c r="I227" s="132"/>
      <c r="J227" s="143" t="s">
        <v>52</v>
      </c>
      <c r="K227" s="126"/>
      <c r="L227" s="148" t="s">
        <v>10</v>
      </c>
      <c r="M227" s="134" t="str">
        <f t="shared" si="1"/>
        <v>LOANED / ON KOL</v>
      </c>
      <c r="N227" s="134" t="str">
        <f t="array" ref="N227">IF(M227="LOANED / ON KOL", INDEX('Step 3 FOC Request'!$G:$G, MATCH(1, ('Step 3 FOC Request'!$A:$A=W227) * ('Step 3 FOC Request'!$F:$F=E227), 0)), "-")</f>
        <v>Ardhisekartaji</v>
      </c>
      <c r="O227" s="126"/>
      <c r="P227" s="126"/>
      <c r="Q227" s="126"/>
      <c r="R227" s="126"/>
      <c r="U227" s="126"/>
      <c r="V227" s="126"/>
      <c r="W227" s="135">
        <f>MAXIFS('Step 3 FOC Request'!$A:$A, 'Step 3 FOC Request'!$F:$F, $E227)</f>
        <v>46084.62294</v>
      </c>
      <c r="X227" s="135">
        <f>MAXIFS('Step 4 FOC Return'!$A:$A, 'Step 4 FOC Return'!$E:$E, $E227)</f>
        <v>0</v>
      </c>
      <c r="Y227" s="126"/>
    </row>
    <row r="228">
      <c r="A228" s="126"/>
      <c r="B228" s="142">
        <v>46080.0</v>
      </c>
      <c r="C228" s="146"/>
      <c r="D228" s="143" t="s">
        <v>31</v>
      </c>
      <c r="E228" s="143">
        <v>3.55649780289638E14</v>
      </c>
      <c r="F228" s="130" t="s">
        <v>1190</v>
      </c>
      <c r="G228" s="143" t="s">
        <v>19</v>
      </c>
      <c r="H228" s="126"/>
      <c r="I228" s="132"/>
      <c r="J228" s="143" t="s">
        <v>52</v>
      </c>
      <c r="K228" s="126"/>
      <c r="L228" s="148" t="s">
        <v>10</v>
      </c>
      <c r="M228" s="134" t="str">
        <f t="shared" si="1"/>
        <v>AVAILABLE</v>
      </c>
      <c r="N228" s="134" t="str">
        <f t="array" ref="N228">IF(M228="LOANED / ON KOL", INDEX('Step 3 FOC Request'!$G:$G, MATCH(1, ('Step 3 FOC Request'!$A:$A=W228) * ('Step 3 FOC Request'!$F:$F=E228), 0)), "-")</f>
        <v>-</v>
      </c>
      <c r="O228" s="126"/>
      <c r="P228" s="126"/>
      <c r="Q228" s="126"/>
      <c r="R228" s="126"/>
      <c r="U228" s="126"/>
      <c r="V228" s="126"/>
      <c r="W228" s="135">
        <f>MAXIFS('Step 3 FOC Request'!$A:$A, 'Step 3 FOC Request'!$F:$F, $E228)</f>
        <v>0</v>
      </c>
      <c r="X228" s="135">
        <f>MAXIFS('Step 4 FOC Return'!$A:$A, 'Step 4 FOC Return'!$E:$E, $E228)</f>
        <v>0</v>
      </c>
      <c r="Y228" s="126"/>
    </row>
    <row r="229">
      <c r="A229" s="126"/>
      <c r="B229" s="142">
        <v>46080.0</v>
      </c>
      <c r="C229" s="146"/>
      <c r="D229" s="143" t="s">
        <v>31</v>
      </c>
      <c r="E229" s="143">
        <v>3.55649780289521E14</v>
      </c>
      <c r="F229" s="130" t="s">
        <v>1190</v>
      </c>
      <c r="G229" s="143" t="s">
        <v>19</v>
      </c>
      <c r="H229" s="126"/>
      <c r="I229" s="132"/>
      <c r="J229" s="143" t="s">
        <v>52</v>
      </c>
      <c r="K229" s="126"/>
      <c r="L229" s="148" t="s">
        <v>10</v>
      </c>
      <c r="M229" s="134" t="str">
        <f t="shared" si="1"/>
        <v>AVAILABLE</v>
      </c>
      <c r="N229" s="134" t="str">
        <f t="array" ref="N229">IF(M229="LOANED / ON KOL", INDEX('Step 3 FOC Request'!$G:$G, MATCH(1, ('Step 3 FOC Request'!$A:$A=W229) * ('Step 3 FOC Request'!$F:$F=E229), 0)), "-")</f>
        <v>-</v>
      </c>
      <c r="O229" s="126"/>
      <c r="P229" s="126"/>
      <c r="Q229" s="126"/>
      <c r="R229" s="126"/>
      <c r="U229" s="126"/>
      <c r="V229" s="126"/>
      <c r="W229" s="135">
        <f>MAXIFS('Step 3 FOC Request'!$A:$A, 'Step 3 FOC Request'!$F:$F, $E229)</f>
        <v>0</v>
      </c>
      <c r="X229" s="135">
        <f>MAXIFS('Step 4 FOC Return'!$A:$A, 'Step 4 FOC Return'!$E:$E, $E229)</f>
        <v>0</v>
      </c>
      <c r="Y229" s="126"/>
    </row>
    <row r="230">
      <c r="A230" s="126"/>
      <c r="B230" s="142">
        <v>46080.0</v>
      </c>
      <c r="C230" s="146"/>
      <c r="D230" s="143" t="s">
        <v>31</v>
      </c>
      <c r="E230" s="143">
        <v>3.55649780289729E14</v>
      </c>
      <c r="F230" s="130" t="s">
        <v>1190</v>
      </c>
      <c r="G230" s="143" t="s">
        <v>11</v>
      </c>
      <c r="H230" s="126"/>
      <c r="I230" s="132"/>
      <c r="J230" s="143" t="s">
        <v>52</v>
      </c>
      <c r="K230" s="126"/>
      <c r="L230" s="148" t="s">
        <v>10</v>
      </c>
      <c r="M230" s="134" t="str">
        <f t="shared" si="1"/>
        <v>AVAILABLE</v>
      </c>
      <c r="N230" s="134" t="str">
        <f t="array" ref="N230">IF(M230="LOANED / ON KOL", INDEX('Step 3 FOC Request'!$G:$G, MATCH(1, ('Step 3 FOC Request'!$A:$A=W230) * ('Step 3 FOC Request'!$F:$F=E230), 0)), "-")</f>
        <v>-</v>
      </c>
      <c r="O230" s="126"/>
      <c r="P230" s="126"/>
      <c r="Q230" s="126"/>
      <c r="R230" s="126"/>
      <c r="U230" s="126"/>
      <c r="V230" s="126"/>
      <c r="W230" s="135">
        <f>MAXIFS('Step 3 FOC Request'!$A:$A, 'Step 3 FOC Request'!$F:$F, $E230)</f>
        <v>0</v>
      </c>
      <c r="X230" s="135">
        <f>MAXIFS('Step 4 FOC Return'!$A:$A, 'Step 4 FOC Return'!$E:$E, $E230)</f>
        <v>0</v>
      </c>
      <c r="Y230" s="126"/>
    </row>
    <row r="231">
      <c r="A231" s="126"/>
      <c r="B231" s="142">
        <v>46080.0</v>
      </c>
      <c r="C231" s="146"/>
      <c r="D231" s="143" t="s">
        <v>31</v>
      </c>
      <c r="E231" s="143">
        <v>3.55649780289687E14</v>
      </c>
      <c r="F231" s="130" t="s">
        <v>1190</v>
      </c>
      <c r="G231" s="143" t="s">
        <v>11</v>
      </c>
      <c r="H231" s="126"/>
      <c r="I231" s="132"/>
      <c r="J231" s="143" t="s">
        <v>52</v>
      </c>
      <c r="K231" s="126"/>
      <c r="L231" s="148" t="s">
        <v>10</v>
      </c>
      <c r="M231" s="134" t="str">
        <f t="shared" si="1"/>
        <v>LOANED / ON KOL</v>
      </c>
      <c r="N231" s="134" t="str">
        <f t="array" ref="N231">IF(M231="LOANED / ON KOL", INDEX('Step 3 FOC Request'!$G:$G, MATCH(1, ('Step 3 FOC Request'!$A:$A=W231) * ('Step 3 FOC Request'!$F:$F=E231), 0)), "-")</f>
        <v>Ibongtalk</v>
      </c>
      <c r="O231" s="126"/>
      <c r="P231" s="126"/>
      <c r="Q231" s="126"/>
      <c r="R231" s="126"/>
      <c r="U231" s="126"/>
      <c r="V231" s="126"/>
      <c r="W231" s="135">
        <f>MAXIFS('Step 3 FOC Request'!$A:$A, 'Step 3 FOC Request'!$F:$F, $E231)</f>
        <v>46072.51267</v>
      </c>
      <c r="X231" s="135">
        <f>MAXIFS('Step 4 FOC Return'!$A:$A, 'Step 4 FOC Return'!$E:$E, $E231)</f>
        <v>0</v>
      </c>
      <c r="Y231" s="126"/>
    </row>
    <row r="232">
      <c r="A232" s="126"/>
      <c r="B232" s="142">
        <v>46080.0</v>
      </c>
      <c r="C232" s="146"/>
      <c r="D232" s="143" t="s">
        <v>31</v>
      </c>
      <c r="E232" s="143">
        <v>3.55649780288341E14</v>
      </c>
      <c r="F232" s="130" t="s">
        <v>1190</v>
      </c>
      <c r="G232" s="143" t="s">
        <v>19</v>
      </c>
      <c r="H232" s="126"/>
      <c r="I232" s="132"/>
      <c r="J232" s="143" t="s">
        <v>52</v>
      </c>
      <c r="K232" s="126"/>
      <c r="L232" s="148" t="s">
        <v>10</v>
      </c>
      <c r="M232" s="134" t="str">
        <f t="shared" si="1"/>
        <v>AVAILABLE</v>
      </c>
      <c r="N232" s="134" t="str">
        <f t="array" ref="N232">IF(M232="LOANED / ON KOL", INDEX('Step 3 FOC Request'!$G:$G, MATCH(1, ('Step 3 FOC Request'!$A:$A=W232) * ('Step 3 FOC Request'!$F:$F=E232), 0)), "-")</f>
        <v>-</v>
      </c>
      <c r="O232" s="126"/>
      <c r="P232" s="126"/>
      <c r="Q232" s="126"/>
      <c r="R232" s="126"/>
      <c r="U232" s="126"/>
      <c r="V232" s="126"/>
      <c r="W232" s="135">
        <f>MAXIFS('Step 3 FOC Request'!$A:$A, 'Step 3 FOC Request'!$F:$F, $E232)</f>
        <v>0</v>
      </c>
      <c r="X232" s="135">
        <f>MAXIFS('Step 4 FOC Return'!$A:$A, 'Step 4 FOC Return'!$E:$E, $E232)</f>
        <v>0</v>
      </c>
      <c r="Y232" s="126"/>
    </row>
    <row r="233">
      <c r="A233" s="126"/>
      <c r="B233" s="142">
        <v>46080.0</v>
      </c>
      <c r="C233" s="146"/>
      <c r="D233" s="143" t="s">
        <v>31</v>
      </c>
      <c r="E233" s="143">
        <v>3.55649780289554E14</v>
      </c>
      <c r="F233" s="130" t="s">
        <v>1190</v>
      </c>
      <c r="G233" s="143" t="s">
        <v>19</v>
      </c>
      <c r="H233" s="126"/>
      <c r="I233" s="132"/>
      <c r="J233" s="143" t="s">
        <v>52</v>
      </c>
      <c r="K233" s="126"/>
      <c r="L233" s="148" t="s">
        <v>10</v>
      </c>
      <c r="M233" s="134" t="str">
        <f t="shared" si="1"/>
        <v>AVAILABLE</v>
      </c>
      <c r="N233" s="134" t="str">
        <f t="array" ref="N233">IF(M233="LOANED / ON KOL", INDEX('Step 3 FOC Request'!$G:$G, MATCH(1, ('Step 3 FOC Request'!$A:$A=W233) * ('Step 3 FOC Request'!$F:$F=E233), 0)), "-")</f>
        <v>-</v>
      </c>
      <c r="O233" s="126"/>
      <c r="P233" s="126"/>
      <c r="Q233" s="126"/>
      <c r="R233" s="126"/>
      <c r="U233" s="126"/>
      <c r="V233" s="126"/>
      <c r="W233" s="135">
        <f>MAXIFS('Step 3 FOC Request'!$A:$A, 'Step 3 FOC Request'!$F:$F, $E233)</f>
        <v>0</v>
      </c>
      <c r="X233" s="135">
        <f>MAXIFS('Step 4 FOC Return'!$A:$A, 'Step 4 FOC Return'!$E:$E, $E233)</f>
        <v>0</v>
      </c>
      <c r="Y233" s="126"/>
    </row>
    <row r="234">
      <c r="A234" s="126"/>
      <c r="B234" s="142">
        <v>46080.0</v>
      </c>
      <c r="C234" s="146"/>
      <c r="D234" s="143" t="s">
        <v>31</v>
      </c>
      <c r="E234" s="143">
        <v>3.55649780289018E14</v>
      </c>
      <c r="F234" s="130" t="s">
        <v>1190</v>
      </c>
      <c r="G234" s="143" t="s">
        <v>19</v>
      </c>
      <c r="H234" s="126"/>
      <c r="I234" s="132"/>
      <c r="J234" s="143" t="s">
        <v>52</v>
      </c>
      <c r="K234" s="126"/>
      <c r="L234" s="148" t="s">
        <v>10</v>
      </c>
      <c r="M234" s="134" t="str">
        <f t="shared" si="1"/>
        <v>LOANED / ON KOL</v>
      </c>
      <c r="N234" s="134" t="str">
        <f t="array" ref="N234">IF(M234="LOANED / ON KOL", INDEX('Step 3 FOC Request'!$G:$G, MATCH(1, ('Step 3 FOC Request'!$A:$A=W234) * ('Step 3 FOC Request'!$F:$F=E234), 0)), "-")</f>
        <v>ADISSA MUTIARA BERNICKA </v>
      </c>
      <c r="O234" s="126"/>
      <c r="P234" s="126"/>
      <c r="Q234" s="126"/>
      <c r="R234" s="126"/>
      <c r="U234" s="126"/>
      <c r="V234" s="126"/>
      <c r="W234" s="135">
        <f>MAXIFS('Step 3 FOC Request'!$A:$A, 'Step 3 FOC Request'!$F:$F, $E234)</f>
        <v>46080.27438</v>
      </c>
      <c r="X234" s="135">
        <f>MAXIFS('Step 4 FOC Return'!$A:$A, 'Step 4 FOC Return'!$E:$E, $E234)</f>
        <v>0</v>
      </c>
      <c r="Y234" s="126"/>
    </row>
    <row r="235">
      <c r="A235" s="126"/>
      <c r="B235" s="142">
        <v>46080.0</v>
      </c>
      <c r="C235" s="146"/>
      <c r="D235" s="143" t="s">
        <v>31</v>
      </c>
      <c r="E235" s="143">
        <v>3.55649780289364E14</v>
      </c>
      <c r="F235" s="130" t="s">
        <v>1190</v>
      </c>
      <c r="G235" s="143" t="s">
        <v>19</v>
      </c>
      <c r="H235" s="126"/>
      <c r="I235" s="132"/>
      <c r="J235" s="143" t="s">
        <v>52</v>
      </c>
      <c r="K235" s="126"/>
      <c r="L235" s="148" t="s">
        <v>10</v>
      </c>
      <c r="M235" s="134" t="str">
        <f t="shared" si="1"/>
        <v>AVAILABLE</v>
      </c>
      <c r="N235" s="134" t="str">
        <f t="array" ref="N235">IF(M235="LOANED / ON KOL", INDEX('Step 3 FOC Request'!$G:$G, MATCH(1, ('Step 3 FOC Request'!$A:$A=W235) * ('Step 3 FOC Request'!$F:$F=E235), 0)), "-")</f>
        <v>-</v>
      </c>
      <c r="O235" s="126"/>
      <c r="P235" s="126"/>
      <c r="Q235" s="126"/>
      <c r="R235" s="126"/>
      <c r="U235" s="126"/>
      <c r="V235" s="126"/>
      <c r="W235" s="135">
        <f>MAXIFS('Step 3 FOC Request'!$A:$A, 'Step 3 FOC Request'!$F:$F, $E235)</f>
        <v>0</v>
      </c>
      <c r="X235" s="135">
        <f>MAXIFS('Step 4 FOC Return'!$A:$A, 'Step 4 FOC Return'!$E:$E, $E235)</f>
        <v>0</v>
      </c>
      <c r="Y235" s="126"/>
    </row>
    <row r="236">
      <c r="A236" s="126"/>
      <c r="B236" s="142">
        <v>46080.0</v>
      </c>
      <c r="C236" s="146"/>
      <c r="D236" s="143" t="s">
        <v>31</v>
      </c>
      <c r="E236" s="143">
        <v>3.55649780139676E14</v>
      </c>
      <c r="F236" s="130" t="s">
        <v>1190</v>
      </c>
      <c r="G236" s="143" t="s">
        <v>11</v>
      </c>
      <c r="H236" s="126"/>
      <c r="I236" s="132"/>
      <c r="J236" s="143" t="s">
        <v>46</v>
      </c>
      <c r="K236" s="126"/>
      <c r="L236" s="148" t="s">
        <v>10</v>
      </c>
      <c r="M236" s="134" t="str">
        <f t="shared" si="1"/>
        <v>LOANED / ON KOL</v>
      </c>
      <c r="N236" s="134" t="str">
        <f t="array" ref="N236">IF(M236="LOANED / ON KOL", INDEX('Step 3 FOC Request'!$G:$G, MATCH(1, ('Step 3 FOC Request'!$A:$A=W236) * ('Step 3 FOC Request'!$F:$F=E236), 0)), "-")</f>
        <v>DINSHA SABINA</v>
      </c>
      <c r="O236" s="126"/>
      <c r="P236" s="126"/>
      <c r="Q236" s="126"/>
      <c r="R236" s="126"/>
      <c r="U236" s="126"/>
      <c r="V236" s="126"/>
      <c r="W236" s="135">
        <f>MAXIFS('Step 3 FOC Request'!$A:$A, 'Step 3 FOC Request'!$F:$F, $E236)</f>
        <v>46094</v>
      </c>
      <c r="X236" s="135">
        <f>MAXIFS('Step 4 FOC Return'!$A:$A, 'Step 4 FOC Return'!$E:$E, $E236)</f>
        <v>0</v>
      </c>
      <c r="Y236" s="126"/>
    </row>
    <row r="237">
      <c r="A237" s="126"/>
      <c r="B237" s="142">
        <v>46080.0</v>
      </c>
      <c r="C237" s="146"/>
      <c r="D237" s="143" t="s">
        <v>31</v>
      </c>
      <c r="E237" s="143">
        <v>3.55649780141797E14</v>
      </c>
      <c r="F237" s="130" t="s">
        <v>1190</v>
      </c>
      <c r="G237" s="143" t="s">
        <v>11</v>
      </c>
      <c r="H237" s="126"/>
      <c r="I237" s="132"/>
      <c r="J237" s="143" t="s">
        <v>46</v>
      </c>
      <c r="K237" s="126"/>
      <c r="L237" s="148" t="s">
        <v>10</v>
      </c>
      <c r="M237" s="134" t="str">
        <f t="shared" si="1"/>
        <v>AVAILABLE</v>
      </c>
      <c r="N237" s="134" t="str">
        <f t="array" ref="N237">IF(M237="LOANED / ON KOL", INDEX('Step 3 FOC Request'!$G:$G, MATCH(1, ('Step 3 FOC Request'!$A:$A=W237) * ('Step 3 FOC Request'!$F:$F=E237), 0)), "-")</f>
        <v>-</v>
      </c>
      <c r="O237" s="126"/>
      <c r="P237" s="126"/>
      <c r="Q237" s="126"/>
      <c r="R237" s="126"/>
      <c r="U237" s="126"/>
      <c r="V237" s="126"/>
      <c r="W237" s="135">
        <f>MAXIFS('Step 3 FOC Request'!$A:$A, 'Step 3 FOC Request'!$F:$F, $E237)</f>
        <v>0</v>
      </c>
      <c r="X237" s="135">
        <f>MAXIFS('Step 4 FOC Return'!$A:$A, 'Step 4 FOC Return'!$E:$E, $E237)</f>
        <v>0</v>
      </c>
      <c r="Y237" s="126"/>
    </row>
    <row r="238">
      <c r="A238" s="126"/>
      <c r="B238" s="142">
        <v>46080.0</v>
      </c>
      <c r="C238" s="146"/>
      <c r="D238" s="143" t="s">
        <v>31</v>
      </c>
      <c r="E238" s="143">
        <v>3.55649780141599E14</v>
      </c>
      <c r="F238" s="130" t="s">
        <v>1190</v>
      </c>
      <c r="G238" s="143" t="s">
        <v>11</v>
      </c>
      <c r="H238" s="126"/>
      <c r="I238" s="132"/>
      <c r="J238" s="143" t="s">
        <v>46</v>
      </c>
      <c r="K238" s="126"/>
      <c r="L238" s="148" t="s">
        <v>10</v>
      </c>
      <c r="M238" s="134" t="str">
        <f t="shared" si="1"/>
        <v>AVAILABLE</v>
      </c>
      <c r="N238" s="134" t="str">
        <f t="array" ref="N238">IF(M238="LOANED / ON KOL", INDEX('Step 3 FOC Request'!$G:$G, MATCH(1, ('Step 3 FOC Request'!$A:$A=W238) * ('Step 3 FOC Request'!$F:$F=E238), 0)), "-")</f>
        <v>-</v>
      </c>
      <c r="O238" s="126"/>
      <c r="P238" s="126"/>
      <c r="Q238" s="126"/>
      <c r="R238" s="126"/>
      <c r="U238" s="126"/>
      <c r="V238" s="126"/>
      <c r="W238" s="135">
        <f>MAXIFS('Step 3 FOC Request'!$A:$A, 'Step 3 FOC Request'!$F:$F, $E238)</f>
        <v>0</v>
      </c>
      <c r="X238" s="135">
        <f>MAXIFS('Step 4 FOC Return'!$A:$A, 'Step 4 FOC Return'!$E:$E, $E238)</f>
        <v>0</v>
      </c>
      <c r="Y238" s="126"/>
    </row>
    <row r="239">
      <c r="A239" s="126"/>
      <c r="B239" s="142">
        <v>46080.0</v>
      </c>
      <c r="C239" s="146"/>
      <c r="D239" s="143" t="s">
        <v>31</v>
      </c>
      <c r="E239" s="143">
        <v>3.52246830113364E14</v>
      </c>
      <c r="F239" s="130" t="s">
        <v>1162</v>
      </c>
      <c r="G239" s="143" t="s">
        <v>19</v>
      </c>
      <c r="H239" s="126"/>
      <c r="I239" s="132"/>
      <c r="J239" s="143" t="s">
        <v>46</v>
      </c>
      <c r="K239" s="126"/>
      <c r="L239" s="148" t="s">
        <v>10</v>
      </c>
      <c r="M239" s="134" t="str">
        <f t="shared" si="1"/>
        <v>LOANED / ON KOL</v>
      </c>
      <c r="N239" s="134" t="str">
        <f t="array" ref="N239">IF(M239="LOANED / ON KOL", INDEX('Step 3 FOC Request'!$G:$G, MATCH(1, ('Step 3 FOC Request'!$A:$A=W239) * ('Step 3 FOC Request'!$F:$F=E239), 0)), "-")</f>
        <v>Indah Fadhilah</v>
      </c>
      <c r="O239" s="126"/>
      <c r="P239" s="126"/>
      <c r="Q239" s="126"/>
      <c r="R239" s="126"/>
      <c r="U239" s="126"/>
      <c r="V239" s="126"/>
      <c r="W239" s="135">
        <f>MAXIFS('Step 3 FOC Request'!$A:$A, 'Step 3 FOC Request'!$F:$F, $E239)</f>
        <v>46087.53173</v>
      </c>
      <c r="X239" s="135">
        <f>MAXIFS('Step 4 FOC Return'!$A:$A, 'Step 4 FOC Return'!$E:$E, $E239)</f>
        <v>0</v>
      </c>
      <c r="Y239" s="126"/>
    </row>
    <row r="240">
      <c r="A240" s="126"/>
      <c r="B240" s="142">
        <v>46080.0</v>
      </c>
      <c r="C240" s="146"/>
      <c r="D240" s="143" t="s">
        <v>31</v>
      </c>
      <c r="E240" s="143">
        <v>3.52246830151406E14</v>
      </c>
      <c r="F240" s="130" t="s">
        <v>1162</v>
      </c>
      <c r="G240" s="143" t="s">
        <v>19</v>
      </c>
      <c r="H240" s="126"/>
      <c r="I240" s="132"/>
      <c r="J240" s="143" t="s">
        <v>46</v>
      </c>
      <c r="K240" s="126"/>
      <c r="L240" s="148" t="s">
        <v>10</v>
      </c>
      <c r="M240" s="134" t="str">
        <f t="shared" si="1"/>
        <v>AVAILABLE</v>
      </c>
      <c r="N240" s="134" t="str">
        <f t="array" ref="N240">IF(M240="LOANED / ON KOL", INDEX('Step 3 FOC Request'!$G:$G, MATCH(1, ('Step 3 FOC Request'!$A:$A=W240) * ('Step 3 FOC Request'!$F:$F=E240), 0)), "-")</f>
        <v>-</v>
      </c>
      <c r="O240" s="126"/>
      <c r="P240" s="126"/>
      <c r="Q240" s="126"/>
      <c r="R240" s="126"/>
      <c r="U240" s="126"/>
      <c r="V240" s="126"/>
      <c r="W240" s="135">
        <f>MAXIFS('Step 3 FOC Request'!$A:$A, 'Step 3 FOC Request'!$F:$F, $E240)</f>
        <v>0</v>
      </c>
      <c r="X240" s="135">
        <f>MAXIFS('Step 4 FOC Return'!$A:$A, 'Step 4 FOC Return'!$E:$E, $E240)</f>
        <v>0</v>
      </c>
      <c r="Y240" s="126"/>
    </row>
    <row r="241">
      <c r="A241" s="126"/>
      <c r="B241" s="142">
        <v>46080.0</v>
      </c>
      <c r="C241" s="146"/>
      <c r="D241" s="143" t="s">
        <v>31</v>
      </c>
      <c r="E241" s="143">
        <v>3.55649780289414E14</v>
      </c>
      <c r="F241" s="130" t="s">
        <v>1162</v>
      </c>
      <c r="G241" s="143" t="s">
        <v>19</v>
      </c>
      <c r="H241" s="126"/>
      <c r="I241" s="132"/>
      <c r="J241" s="143" t="s">
        <v>52</v>
      </c>
      <c r="K241" s="126"/>
      <c r="L241" s="148" t="s">
        <v>10</v>
      </c>
      <c r="M241" s="134" t="str">
        <f t="shared" si="1"/>
        <v>AVAILABLE</v>
      </c>
      <c r="N241" s="134" t="str">
        <f t="array" ref="N241">IF(M241="LOANED / ON KOL", INDEX('Step 3 FOC Request'!$G:$G, MATCH(1, ('Step 3 FOC Request'!$A:$A=W241) * ('Step 3 FOC Request'!$F:$F=E241), 0)), "-")</f>
        <v>-</v>
      </c>
      <c r="O241" s="126"/>
      <c r="P241" s="126"/>
      <c r="Q241" s="126"/>
      <c r="R241" s="126"/>
      <c r="U241" s="126"/>
      <c r="V241" s="126"/>
      <c r="W241" s="135">
        <f>MAXIFS('Step 3 FOC Request'!$A:$A, 'Step 3 FOC Request'!$F:$F, $E241)</f>
        <v>0</v>
      </c>
      <c r="X241" s="135">
        <f>MAXIFS('Step 4 FOC Return'!$A:$A, 'Step 4 FOC Return'!$E:$E, $E241)</f>
        <v>0</v>
      </c>
      <c r="Y241" s="126"/>
    </row>
    <row r="242">
      <c r="A242" s="126"/>
      <c r="B242" s="142">
        <v>46080.0</v>
      </c>
      <c r="C242" s="146"/>
      <c r="D242" s="143" t="s">
        <v>31</v>
      </c>
      <c r="E242" s="143">
        <v>3.52246830342724E14</v>
      </c>
      <c r="F242" s="130" t="s">
        <v>1162</v>
      </c>
      <c r="G242" s="143" t="s">
        <v>19</v>
      </c>
      <c r="H242" s="126"/>
      <c r="I242" s="132"/>
      <c r="J242" s="143" t="s">
        <v>52</v>
      </c>
      <c r="K242" s="126"/>
      <c r="L242" s="148" t="s">
        <v>10</v>
      </c>
      <c r="M242" s="134" t="str">
        <f t="shared" si="1"/>
        <v>AVAILABLE</v>
      </c>
      <c r="N242" s="134" t="str">
        <f t="array" ref="N242">IF(M242="LOANED / ON KOL", INDEX('Step 3 FOC Request'!$G:$G, MATCH(1, ('Step 3 FOC Request'!$A:$A=W242) * ('Step 3 FOC Request'!$F:$F=E242), 0)), "-")</f>
        <v>-</v>
      </c>
      <c r="O242" s="126"/>
      <c r="P242" s="126"/>
      <c r="Q242" s="126"/>
      <c r="R242" s="126"/>
      <c r="U242" s="126"/>
      <c r="V242" s="126"/>
      <c r="W242" s="135">
        <f>MAXIFS('Step 3 FOC Request'!$A:$A, 'Step 3 FOC Request'!$F:$F, $E242)</f>
        <v>0</v>
      </c>
      <c r="X242" s="135">
        <f>MAXIFS('Step 4 FOC Return'!$A:$A, 'Step 4 FOC Return'!$E:$E, $E242)</f>
        <v>0</v>
      </c>
      <c r="Y242" s="126"/>
    </row>
    <row r="243">
      <c r="A243" s="126"/>
      <c r="B243" s="142">
        <v>46080.0</v>
      </c>
      <c r="C243" s="146"/>
      <c r="D243" s="143" t="s">
        <v>31</v>
      </c>
      <c r="E243" s="143">
        <v>3.55500722567625E14</v>
      </c>
      <c r="F243" s="130" t="s">
        <v>1318</v>
      </c>
      <c r="G243" s="143" t="s">
        <v>19</v>
      </c>
      <c r="H243" s="126"/>
      <c r="I243" s="132"/>
      <c r="J243" s="143" t="s">
        <v>52</v>
      </c>
      <c r="K243" s="126"/>
      <c r="L243" s="148" t="s">
        <v>10</v>
      </c>
      <c r="M243" s="134" t="str">
        <f t="shared" si="1"/>
        <v>AVAILABLE</v>
      </c>
      <c r="N243" s="134" t="str">
        <f t="array" ref="N243">IF(M243="LOANED / ON KOL", INDEX('Step 3 FOC Request'!$G:$G, MATCH(1, ('Step 3 FOC Request'!$A:$A=W243) * ('Step 3 FOC Request'!$F:$F=E243), 0)), "-")</f>
        <v>-</v>
      </c>
      <c r="O243" s="126"/>
      <c r="P243" s="126"/>
      <c r="Q243" s="126"/>
      <c r="R243" s="126"/>
      <c r="U243" s="126"/>
      <c r="V243" s="126"/>
      <c r="W243" s="135">
        <f>MAXIFS('Step 3 FOC Request'!$A:$A, 'Step 3 FOC Request'!$F:$F, $E243)</f>
        <v>0</v>
      </c>
      <c r="X243" s="135">
        <f>MAXIFS('Step 4 FOC Return'!$A:$A, 'Step 4 FOC Return'!$E:$E, $E243)</f>
        <v>0</v>
      </c>
      <c r="Y243" s="126"/>
    </row>
    <row r="244">
      <c r="A244" s="126"/>
      <c r="B244" s="142">
        <v>46080.0</v>
      </c>
      <c r="C244" s="146"/>
      <c r="D244" s="143" t="s">
        <v>31</v>
      </c>
      <c r="E244" s="143">
        <v>3.55500722638806E14</v>
      </c>
      <c r="F244" s="130" t="s">
        <v>1162</v>
      </c>
      <c r="G244" s="143" t="s">
        <v>11</v>
      </c>
      <c r="H244" s="126"/>
      <c r="I244" s="132"/>
      <c r="J244" s="143" t="s">
        <v>52</v>
      </c>
      <c r="K244" s="126"/>
      <c r="L244" s="148" t="s">
        <v>10</v>
      </c>
      <c r="M244" s="134" t="str">
        <f t="shared" si="1"/>
        <v>AVAILABLE</v>
      </c>
      <c r="N244" s="134" t="str">
        <f t="array" ref="N244">IF(M244="LOANED / ON KOL", INDEX('Step 3 FOC Request'!$G:$G, MATCH(1, ('Step 3 FOC Request'!$A:$A=W244) * ('Step 3 FOC Request'!$F:$F=E244), 0)), "-")</f>
        <v>-</v>
      </c>
      <c r="O244" s="126"/>
      <c r="P244" s="126"/>
      <c r="Q244" s="126"/>
      <c r="R244" s="126"/>
      <c r="U244" s="126"/>
      <c r="V244" s="126"/>
      <c r="W244" s="135">
        <f>MAXIFS('Step 3 FOC Request'!$A:$A, 'Step 3 FOC Request'!$F:$F, $E244)</f>
        <v>0</v>
      </c>
      <c r="X244" s="135">
        <f>MAXIFS('Step 4 FOC Return'!$A:$A, 'Step 4 FOC Return'!$E:$E, $E244)</f>
        <v>0</v>
      </c>
      <c r="Y244" s="126"/>
    </row>
    <row r="245">
      <c r="A245" s="126"/>
      <c r="B245" s="142">
        <v>46083.0</v>
      </c>
      <c r="C245" s="146"/>
      <c r="D245" s="143" t="s">
        <v>25</v>
      </c>
      <c r="E245" s="143" t="s">
        <v>1319</v>
      </c>
      <c r="F245" s="130" t="s">
        <v>1266</v>
      </c>
      <c r="G245" s="143" t="s">
        <v>19</v>
      </c>
      <c r="H245" s="126"/>
      <c r="I245" s="132"/>
      <c r="J245" s="143" t="s">
        <v>8</v>
      </c>
      <c r="K245" s="146"/>
      <c r="L245" s="148" t="s">
        <v>10</v>
      </c>
      <c r="M245" s="134" t="str">
        <f t="shared" si="1"/>
        <v>LOANED / ON KOL</v>
      </c>
      <c r="N245" s="134" t="str">
        <f t="array" ref="N245">IF(M245="LOANED / ON KOL", INDEX('Step 3 FOC Request'!$G:$G, MATCH(1, ('Step 3 FOC Request'!$A:$A=W245) * ('Step 3 FOC Request'!$F:$F=E245), 0)), "-")</f>
        <v>Bernadya</v>
      </c>
      <c r="O245" s="126"/>
      <c r="P245" s="126"/>
      <c r="Q245" s="126"/>
      <c r="R245" s="126"/>
      <c r="U245" s="126"/>
      <c r="V245" s="126"/>
      <c r="W245" s="135">
        <f>MAXIFS('Step 3 FOC Request'!$A:$A, 'Step 3 FOC Request'!$F:$F, $E245)</f>
        <v>46092.70189</v>
      </c>
      <c r="X245" s="135">
        <f>MAXIFS('Step 4 FOC Return'!$A:$A, 'Step 4 FOC Return'!$E:$E, $E245)</f>
        <v>0</v>
      </c>
      <c r="Y245" s="126"/>
    </row>
    <row r="246">
      <c r="A246" s="126"/>
      <c r="B246" s="142">
        <v>46083.0</v>
      </c>
      <c r="C246" s="146"/>
      <c r="D246" s="143" t="s">
        <v>25</v>
      </c>
      <c r="E246" s="143" t="s">
        <v>1320</v>
      </c>
      <c r="F246" s="130" t="s">
        <v>1266</v>
      </c>
      <c r="G246" s="143" t="s">
        <v>19</v>
      </c>
      <c r="H246" s="126"/>
      <c r="I246" s="132"/>
      <c r="J246" s="143" t="s">
        <v>8</v>
      </c>
      <c r="K246" s="146"/>
      <c r="L246" s="148" t="s">
        <v>10</v>
      </c>
      <c r="M246" s="134" t="str">
        <f t="shared" si="1"/>
        <v>AVAILABLE</v>
      </c>
      <c r="N246" s="134" t="str">
        <f t="array" ref="N246">IF(M246="LOANED / ON KOL", INDEX('Step 3 FOC Request'!$G:$G, MATCH(1, ('Step 3 FOC Request'!$A:$A=W246) * ('Step 3 FOC Request'!$F:$F=E246), 0)), "-")</f>
        <v>-</v>
      </c>
      <c r="O246" s="126"/>
      <c r="P246" s="126"/>
      <c r="Q246" s="126"/>
      <c r="R246" s="126"/>
      <c r="U246" s="126"/>
      <c r="V246" s="126"/>
      <c r="W246" s="135">
        <f>MAXIFS('Step 3 FOC Request'!$A:$A, 'Step 3 FOC Request'!$F:$F, $E246)</f>
        <v>0</v>
      </c>
      <c r="X246" s="135">
        <f>MAXIFS('Step 4 FOC Return'!$A:$A, 'Step 4 FOC Return'!$E:$E, $E246)</f>
        <v>0</v>
      </c>
      <c r="Y246" s="126"/>
    </row>
    <row r="247">
      <c r="A247" s="126"/>
      <c r="B247" s="142">
        <v>46083.0</v>
      </c>
      <c r="C247" s="146"/>
      <c r="D247" s="143" t="s">
        <v>25</v>
      </c>
      <c r="E247" s="143" t="s">
        <v>1321</v>
      </c>
      <c r="F247" s="130" t="s">
        <v>1266</v>
      </c>
      <c r="G247" s="143" t="s">
        <v>19</v>
      </c>
      <c r="H247" s="126"/>
      <c r="I247" s="132"/>
      <c r="J247" s="143" t="s">
        <v>8</v>
      </c>
      <c r="K247" s="146"/>
      <c r="L247" s="148" t="s">
        <v>10</v>
      </c>
      <c r="M247" s="134" t="str">
        <f t="shared" si="1"/>
        <v>AVAILABLE</v>
      </c>
      <c r="N247" s="134" t="str">
        <f t="array" ref="N247">IF(M247="LOANED / ON KOL", INDEX('Step 3 FOC Request'!$G:$G, MATCH(1, ('Step 3 FOC Request'!$A:$A=W247) * ('Step 3 FOC Request'!$F:$F=E247), 0)), "-")</f>
        <v>-</v>
      </c>
      <c r="O247" s="126"/>
      <c r="P247" s="126"/>
      <c r="Q247" s="126"/>
      <c r="R247" s="126"/>
      <c r="U247" s="126"/>
      <c r="V247" s="126"/>
      <c r="W247" s="135">
        <f>MAXIFS('Step 3 FOC Request'!$A:$A, 'Step 3 FOC Request'!$F:$F, $E247)</f>
        <v>0</v>
      </c>
      <c r="X247" s="135">
        <f>MAXIFS('Step 4 FOC Return'!$A:$A, 'Step 4 FOC Return'!$E:$E, $E247)</f>
        <v>0</v>
      </c>
      <c r="Y247" s="126"/>
    </row>
    <row r="248">
      <c r="A248" s="126"/>
      <c r="B248" s="142">
        <v>46083.0</v>
      </c>
      <c r="C248" s="146"/>
      <c r="D248" s="143" t="s">
        <v>25</v>
      </c>
      <c r="E248" s="143" t="s">
        <v>1322</v>
      </c>
      <c r="F248" s="130" t="s">
        <v>1266</v>
      </c>
      <c r="G248" s="143" t="s">
        <v>19</v>
      </c>
      <c r="H248" s="126"/>
      <c r="I248" s="132"/>
      <c r="J248" s="143" t="s">
        <v>8</v>
      </c>
      <c r="K248" s="146"/>
      <c r="L248" s="148" t="s">
        <v>10</v>
      </c>
      <c r="M248" s="134" t="str">
        <f t="shared" si="1"/>
        <v>LOANED / ON KOL</v>
      </c>
      <c r="N248" s="134" t="str">
        <f t="array" ref="N248">IF(M248="LOANED / ON KOL", INDEX('Step 3 FOC Request'!$G:$G, MATCH(1, ('Step 3 FOC Request'!$A:$A=W248) * ('Step 3 FOC Request'!$F:$F=E248), 0)), "-")</f>
        <v>Jerome/Jehian</v>
      </c>
      <c r="O248" s="126"/>
      <c r="P248" s="126"/>
      <c r="Q248" s="126"/>
      <c r="R248" s="126"/>
      <c r="U248" s="126"/>
      <c r="V248" s="126"/>
      <c r="W248" s="135">
        <f>MAXIFS('Step 3 FOC Request'!$A:$A, 'Step 3 FOC Request'!$F:$F, $E248)</f>
        <v>46090</v>
      </c>
      <c r="X248" s="135">
        <f>MAXIFS('Step 4 FOC Return'!$A:$A, 'Step 4 FOC Return'!$E:$E, $E248)</f>
        <v>0</v>
      </c>
      <c r="Y248" s="126"/>
    </row>
    <row r="249">
      <c r="A249" s="126"/>
      <c r="B249" s="142">
        <v>46083.0</v>
      </c>
      <c r="C249" s="146"/>
      <c r="D249" s="143" t="s">
        <v>25</v>
      </c>
      <c r="E249" s="143" t="s">
        <v>1323</v>
      </c>
      <c r="F249" s="130" t="s">
        <v>1266</v>
      </c>
      <c r="G249" s="143" t="s">
        <v>19</v>
      </c>
      <c r="H249" s="126"/>
      <c r="I249" s="132"/>
      <c r="J249" s="143" t="s">
        <v>8</v>
      </c>
      <c r="K249" s="146"/>
      <c r="L249" s="148" t="s">
        <v>10</v>
      </c>
      <c r="M249" s="134" t="str">
        <f t="shared" si="1"/>
        <v>AVAILABLE</v>
      </c>
      <c r="N249" s="134" t="str">
        <f t="array" ref="N249">IF(M249="LOANED / ON KOL", INDEX('Step 3 FOC Request'!$G:$G, MATCH(1, ('Step 3 FOC Request'!$A:$A=W249) * ('Step 3 FOC Request'!$F:$F=E249), 0)), "-")</f>
        <v>-</v>
      </c>
      <c r="O249" s="126"/>
      <c r="P249" s="126"/>
      <c r="Q249" s="126"/>
      <c r="R249" s="126"/>
      <c r="U249" s="126"/>
      <c r="V249" s="126"/>
      <c r="W249" s="135">
        <f>MAXIFS('Step 3 FOC Request'!$A:$A, 'Step 3 FOC Request'!$F:$F, $E249)</f>
        <v>0</v>
      </c>
      <c r="X249" s="135">
        <f>MAXIFS('Step 4 FOC Return'!$A:$A, 'Step 4 FOC Return'!$E:$E, $E249)</f>
        <v>0</v>
      </c>
      <c r="Y249" s="126"/>
    </row>
    <row r="250">
      <c r="A250" s="126"/>
      <c r="B250" s="142">
        <v>46083.0</v>
      </c>
      <c r="C250" s="146"/>
      <c r="D250" s="143" t="s">
        <v>25</v>
      </c>
      <c r="E250" s="143" t="s">
        <v>1324</v>
      </c>
      <c r="F250" s="130" t="s">
        <v>1266</v>
      </c>
      <c r="G250" s="143" t="s">
        <v>19</v>
      </c>
      <c r="H250" s="126"/>
      <c r="I250" s="132"/>
      <c r="J250" s="143" t="s">
        <v>8</v>
      </c>
      <c r="K250" s="146"/>
      <c r="L250" s="148" t="s">
        <v>10</v>
      </c>
      <c r="M250" s="134" t="str">
        <f t="shared" si="1"/>
        <v>AVAILABLE</v>
      </c>
      <c r="N250" s="134" t="str">
        <f t="array" ref="N250">IF(M250="LOANED / ON KOL", INDEX('Step 3 FOC Request'!$G:$G, MATCH(1, ('Step 3 FOC Request'!$A:$A=W250) * ('Step 3 FOC Request'!$F:$F=E250), 0)), "-")</f>
        <v>-</v>
      </c>
      <c r="O250" s="126"/>
      <c r="P250" s="126"/>
      <c r="Q250" s="126"/>
      <c r="R250" s="126"/>
      <c r="U250" s="126"/>
      <c r="V250" s="126"/>
      <c r="W250" s="135">
        <f>MAXIFS('Step 3 FOC Request'!$A:$A, 'Step 3 FOC Request'!$F:$F, $E250)</f>
        <v>0</v>
      </c>
      <c r="X250" s="135">
        <f>MAXIFS('Step 4 FOC Return'!$A:$A, 'Step 4 FOC Return'!$E:$E, $E250)</f>
        <v>0</v>
      </c>
      <c r="Y250" s="126"/>
    </row>
    <row r="251">
      <c r="A251" s="126"/>
      <c r="B251" s="142">
        <v>46084.0</v>
      </c>
      <c r="C251" s="146"/>
      <c r="D251" s="143" t="s">
        <v>44</v>
      </c>
      <c r="E251" s="143" t="s">
        <v>1325</v>
      </c>
      <c r="F251" s="130" t="s">
        <v>1326</v>
      </c>
      <c r="G251" s="146"/>
      <c r="H251" s="126"/>
      <c r="I251" s="132"/>
      <c r="J251" s="146"/>
      <c r="K251" s="126"/>
      <c r="L251" s="148" t="s">
        <v>10</v>
      </c>
      <c r="M251" s="134" t="str">
        <f t="shared" si="1"/>
        <v>AVAILABLE</v>
      </c>
      <c r="N251" s="134" t="str">
        <f t="array" ref="N251">IF(M251="LOANED / ON KOL", INDEX('Step 3 FOC Request'!$G:$G, MATCH(1, ('Step 3 FOC Request'!$A:$A=W251) * ('Step 3 FOC Request'!$F:$F=E251), 0)), "-")</f>
        <v>-</v>
      </c>
      <c r="O251" s="126"/>
      <c r="P251" s="126"/>
      <c r="Q251" s="126"/>
      <c r="R251" s="126"/>
      <c r="U251" s="126"/>
      <c r="V251" s="126"/>
      <c r="W251" s="135">
        <f>MAXIFS('Step 3 FOC Request'!$A:$A, 'Step 3 FOC Request'!$F:$F, $E251)</f>
        <v>0</v>
      </c>
      <c r="X251" s="135">
        <f>MAXIFS('Step 4 FOC Return'!$A:$A, 'Step 4 FOC Return'!$E:$E, $E251)</f>
        <v>0</v>
      </c>
      <c r="Y251" s="126"/>
    </row>
    <row r="252">
      <c r="A252" s="126"/>
      <c r="B252" s="142">
        <v>46084.0</v>
      </c>
      <c r="C252" s="146"/>
      <c r="D252" s="143" t="s">
        <v>44</v>
      </c>
      <c r="E252" s="143" t="s">
        <v>1327</v>
      </c>
      <c r="F252" s="130" t="s">
        <v>1328</v>
      </c>
      <c r="G252" s="146"/>
      <c r="H252" s="126"/>
      <c r="I252" s="132"/>
      <c r="J252" s="146"/>
      <c r="K252" s="126"/>
      <c r="L252" s="148" t="s">
        <v>10</v>
      </c>
      <c r="M252" s="134" t="str">
        <f t="shared" si="1"/>
        <v>AVAILABLE</v>
      </c>
      <c r="N252" s="134" t="str">
        <f t="array" ref="N252">IF(M252="LOANED / ON KOL", INDEX('Step 3 FOC Request'!$G:$G, MATCH(1, ('Step 3 FOC Request'!$A:$A=W252) * ('Step 3 FOC Request'!$F:$F=E252), 0)), "-")</f>
        <v>-</v>
      </c>
      <c r="O252" s="126"/>
      <c r="P252" s="126"/>
      <c r="Q252" s="126"/>
      <c r="R252" s="126"/>
      <c r="U252" s="126"/>
      <c r="V252" s="126"/>
      <c r="W252" s="135">
        <f>MAXIFS('Step 3 FOC Request'!$A:$A, 'Step 3 FOC Request'!$F:$F, $E252)</f>
        <v>0</v>
      </c>
      <c r="X252" s="135">
        <f>MAXIFS('Step 4 FOC Return'!$A:$A, 'Step 4 FOC Return'!$E:$E, $E252)</f>
        <v>0</v>
      </c>
      <c r="Y252" s="126"/>
    </row>
    <row r="253">
      <c r="A253" s="126"/>
      <c r="B253" s="142">
        <v>46084.0</v>
      </c>
      <c r="C253" s="146"/>
      <c r="D253" s="143" t="s">
        <v>44</v>
      </c>
      <c r="E253" s="143" t="s">
        <v>1329</v>
      </c>
      <c r="F253" s="130" t="s">
        <v>1330</v>
      </c>
      <c r="G253" s="146"/>
      <c r="H253" s="126"/>
      <c r="I253" s="132"/>
      <c r="J253" s="146"/>
      <c r="K253" s="126"/>
      <c r="L253" s="148" t="s">
        <v>10</v>
      </c>
      <c r="M253" s="134" t="str">
        <f t="shared" si="1"/>
        <v>AVAILABLE</v>
      </c>
      <c r="N253" s="134" t="str">
        <f t="array" ref="N253">IF(M253="LOANED / ON KOL", INDEX('Step 3 FOC Request'!$G:$G, MATCH(1, ('Step 3 FOC Request'!$A:$A=W253) * ('Step 3 FOC Request'!$F:$F=E253), 0)), "-")</f>
        <v>-</v>
      </c>
      <c r="O253" s="126"/>
      <c r="P253" s="126"/>
      <c r="Q253" s="126"/>
      <c r="R253" s="126"/>
      <c r="U253" s="126"/>
      <c r="V253" s="126"/>
      <c r="W253" s="135">
        <f>MAXIFS('Step 3 FOC Request'!$A:$A, 'Step 3 FOC Request'!$F:$F, $E253)</f>
        <v>0</v>
      </c>
      <c r="X253" s="135">
        <f>MAXIFS('Step 4 FOC Return'!$A:$A, 'Step 4 FOC Return'!$E:$E, $E253)</f>
        <v>0</v>
      </c>
      <c r="Y253" s="126"/>
    </row>
    <row r="254">
      <c r="A254" s="126"/>
      <c r="B254" s="142">
        <v>46084.0</v>
      </c>
      <c r="C254" s="146"/>
      <c r="D254" s="143" t="s">
        <v>44</v>
      </c>
      <c r="E254" s="143" t="s">
        <v>290</v>
      </c>
      <c r="F254" s="130" t="s">
        <v>1331</v>
      </c>
      <c r="G254" s="143" t="s">
        <v>11</v>
      </c>
      <c r="H254" s="126"/>
      <c r="I254" s="132"/>
      <c r="J254" s="146"/>
      <c r="K254" s="126"/>
      <c r="L254" s="148" t="s">
        <v>10</v>
      </c>
      <c r="M254" s="134" t="str">
        <f t="shared" si="1"/>
        <v>AVAILABLE</v>
      </c>
      <c r="N254" s="134" t="str">
        <f t="array" ref="N254">IF(M254="LOANED / ON KOL", INDEX('Step 3 FOC Request'!$G:$G, MATCH(1, ('Step 3 FOC Request'!$A:$A=W254) * ('Step 3 FOC Request'!$F:$F=E254), 0)), "-")</f>
        <v>-</v>
      </c>
      <c r="O254" s="126"/>
      <c r="P254" s="126"/>
      <c r="Q254" s="126"/>
      <c r="R254" s="126"/>
      <c r="U254" s="126"/>
      <c r="V254" s="126"/>
      <c r="W254" s="135">
        <f>MAXIFS('Step 3 FOC Request'!$A:$A, 'Step 3 FOC Request'!$F:$F, $E254)</f>
        <v>0</v>
      </c>
      <c r="X254" s="135">
        <f>MAXIFS('Step 4 FOC Return'!$A:$A, 'Step 4 FOC Return'!$E:$E, $E254)</f>
        <v>0</v>
      </c>
      <c r="Y254" s="126"/>
    </row>
    <row r="255">
      <c r="A255" s="126"/>
      <c r="B255" s="142">
        <v>46085.0</v>
      </c>
      <c r="C255" s="146"/>
      <c r="D255" s="143" t="s">
        <v>42</v>
      </c>
      <c r="E255" s="143">
        <v>3.52673730003215E14</v>
      </c>
      <c r="F255" s="130" t="s">
        <v>1332</v>
      </c>
      <c r="G255" s="143" t="s">
        <v>11</v>
      </c>
      <c r="H255" s="126"/>
      <c r="I255" s="132"/>
      <c r="J255" s="143" t="s">
        <v>8</v>
      </c>
      <c r="K255" s="126"/>
      <c r="L255" s="148" t="s">
        <v>10</v>
      </c>
      <c r="M255" s="134" t="str">
        <f t="shared" si="1"/>
        <v>AVAILABLE</v>
      </c>
      <c r="N255" s="134" t="str">
        <f t="array" ref="N255">IF(M255="LOANED / ON KOL", INDEX('Step 3 FOC Request'!$G:$G, MATCH(1, ('Step 3 FOC Request'!$A:$A=W255) * ('Step 3 FOC Request'!$F:$F=E255), 0)), "-")</f>
        <v>-</v>
      </c>
      <c r="O255" s="126"/>
      <c r="P255" s="126"/>
      <c r="Q255" s="126"/>
      <c r="R255" s="126"/>
      <c r="U255" s="126"/>
      <c r="V255" s="126"/>
      <c r="W255" s="135">
        <f>MAXIFS('Step 3 FOC Request'!$A:$A, 'Step 3 FOC Request'!$F:$F, $E255)</f>
        <v>0</v>
      </c>
      <c r="X255" s="135">
        <f>MAXIFS('Step 4 FOC Return'!$A:$A, 'Step 4 FOC Return'!$E:$E, $E255)</f>
        <v>0</v>
      </c>
      <c r="Y255" s="126"/>
    </row>
    <row r="256">
      <c r="A256" s="126"/>
      <c r="B256" s="142">
        <v>46085.0</v>
      </c>
      <c r="C256" s="146"/>
      <c r="D256" s="143" t="s">
        <v>42</v>
      </c>
      <c r="E256" s="143">
        <v>3.52673730002738E14</v>
      </c>
      <c r="F256" s="130" t="s">
        <v>1332</v>
      </c>
      <c r="G256" s="143" t="s">
        <v>11</v>
      </c>
      <c r="H256" s="126"/>
      <c r="I256" s="132"/>
      <c r="J256" s="143" t="s">
        <v>8</v>
      </c>
      <c r="K256" s="126"/>
      <c r="L256" s="148" t="s">
        <v>10</v>
      </c>
      <c r="M256" s="134" t="str">
        <f t="shared" si="1"/>
        <v>AVAILABLE</v>
      </c>
      <c r="N256" s="134" t="str">
        <f t="array" ref="N256">IF(M256="LOANED / ON KOL", INDEX('Step 3 FOC Request'!$G:$G, MATCH(1, ('Step 3 FOC Request'!$A:$A=W256) * ('Step 3 FOC Request'!$F:$F=E256), 0)), "-")</f>
        <v>-</v>
      </c>
      <c r="O256" s="126"/>
      <c r="P256" s="126"/>
      <c r="Q256" s="126"/>
      <c r="R256" s="126"/>
      <c r="U256" s="126"/>
      <c r="V256" s="126"/>
      <c r="W256" s="135">
        <f>MAXIFS('Step 3 FOC Request'!$A:$A, 'Step 3 FOC Request'!$F:$F, $E256)</f>
        <v>0</v>
      </c>
      <c r="X256" s="135">
        <f>MAXIFS('Step 4 FOC Return'!$A:$A, 'Step 4 FOC Return'!$E:$E, $E256)</f>
        <v>0</v>
      </c>
      <c r="Y256" s="126"/>
    </row>
    <row r="257">
      <c r="A257" s="126"/>
      <c r="B257" s="142">
        <v>46085.0</v>
      </c>
      <c r="C257" s="146"/>
      <c r="D257" s="143" t="s">
        <v>42</v>
      </c>
      <c r="E257" s="143">
        <v>3.52673730001235E14</v>
      </c>
      <c r="F257" s="130" t="s">
        <v>1332</v>
      </c>
      <c r="G257" s="143" t="s">
        <v>11</v>
      </c>
      <c r="H257" s="126"/>
      <c r="I257" s="132"/>
      <c r="J257" s="143" t="s">
        <v>8</v>
      </c>
      <c r="K257" s="126"/>
      <c r="L257" s="148" t="s">
        <v>10</v>
      </c>
      <c r="M257" s="134" t="str">
        <f t="shared" si="1"/>
        <v>AVAILABLE</v>
      </c>
      <c r="N257" s="134" t="str">
        <f t="array" ref="N257">IF(M257="LOANED / ON KOL", INDEX('Step 3 FOC Request'!$G:$G, MATCH(1, ('Step 3 FOC Request'!$A:$A=W257) * ('Step 3 FOC Request'!$F:$F=E257), 0)), "-")</f>
        <v>-</v>
      </c>
      <c r="O257" s="126"/>
      <c r="P257" s="126"/>
      <c r="Q257" s="126"/>
      <c r="R257" s="126"/>
      <c r="U257" s="126"/>
      <c r="V257" s="126"/>
      <c r="W257" s="135">
        <f>MAXIFS('Step 3 FOC Request'!$A:$A, 'Step 3 FOC Request'!$F:$F, $E257)</f>
        <v>0</v>
      </c>
      <c r="X257" s="135">
        <f>MAXIFS('Step 4 FOC Return'!$A:$A, 'Step 4 FOC Return'!$E:$E, $E257)</f>
        <v>0</v>
      </c>
      <c r="Y257" s="126"/>
    </row>
    <row r="258">
      <c r="A258" s="126"/>
      <c r="B258" s="142">
        <v>46085.0</v>
      </c>
      <c r="C258" s="146"/>
      <c r="D258" s="143" t="s">
        <v>42</v>
      </c>
      <c r="E258" s="143">
        <v>3.52673730001573E14</v>
      </c>
      <c r="F258" s="130" t="s">
        <v>1332</v>
      </c>
      <c r="G258" s="143" t="s">
        <v>11</v>
      </c>
      <c r="H258" s="126"/>
      <c r="I258" s="132"/>
      <c r="J258" s="143" t="s">
        <v>8</v>
      </c>
      <c r="K258" s="126"/>
      <c r="L258" s="148" t="s">
        <v>10</v>
      </c>
      <c r="M258" s="134" t="str">
        <f t="shared" si="1"/>
        <v>AVAILABLE</v>
      </c>
      <c r="N258" s="134" t="str">
        <f t="array" ref="N258">IF(M258="LOANED / ON KOL", INDEX('Step 3 FOC Request'!$G:$G, MATCH(1, ('Step 3 FOC Request'!$A:$A=W258) * ('Step 3 FOC Request'!$F:$F=E258), 0)), "-")</f>
        <v>-</v>
      </c>
      <c r="O258" s="126"/>
      <c r="P258" s="126"/>
      <c r="Q258" s="126"/>
      <c r="R258" s="126"/>
      <c r="U258" s="126"/>
      <c r="V258" s="126"/>
      <c r="W258" s="135">
        <f>MAXIFS('Step 3 FOC Request'!$A:$A, 'Step 3 FOC Request'!$F:$F, $E258)</f>
        <v>0</v>
      </c>
      <c r="X258" s="135">
        <f>MAXIFS('Step 4 FOC Return'!$A:$A, 'Step 4 FOC Return'!$E:$E, $E258)</f>
        <v>0</v>
      </c>
      <c r="Y258" s="126"/>
    </row>
    <row r="259">
      <c r="A259" s="126"/>
      <c r="B259" s="142">
        <v>46085.0</v>
      </c>
      <c r="C259" s="146"/>
      <c r="D259" s="143" t="s">
        <v>42</v>
      </c>
      <c r="E259" s="143">
        <v>3.52673730001722E14</v>
      </c>
      <c r="F259" s="130" t="s">
        <v>1333</v>
      </c>
      <c r="G259" s="143" t="s">
        <v>19</v>
      </c>
      <c r="H259" s="126"/>
      <c r="I259" s="132"/>
      <c r="J259" s="143" t="s">
        <v>8</v>
      </c>
      <c r="K259" s="126"/>
      <c r="L259" s="148" t="s">
        <v>10</v>
      </c>
      <c r="M259" s="134" t="str">
        <f t="shared" si="1"/>
        <v>LOANED / ON KOL</v>
      </c>
      <c r="N259" s="134" t="str">
        <f t="array" ref="N259">IF(M259="LOANED / ON KOL", INDEX('Step 3 FOC Request'!$G:$G, MATCH(1, ('Step 3 FOC Request'!$A:$A=W259) * ('Step 3 FOC Request'!$F:$F=E259), 0)), "-")</f>
        <v>Zahral Antika</v>
      </c>
      <c r="O259" s="126"/>
      <c r="P259" s="126"/>
      <c r="Q259" s="126"/>
      <c r="R259" s="126"/>
      <c r="U259" s="126"/>
      <c r="V259" s="126"/>
      <c r="W259" s="135">
        <f>MAXIFS('Step 3 FOC Request'!$A:$A, 'Step 3 FOC Request'!$F:$F, $E259)</f>
        <v>46085.65841</v>
      </c>
      <c r="X259" s="135">
        <f>MAXIFS('Step 4 FOC Return'!$A:$A, 'Step 4 FOC Return'!$E:$E, $E259)</f>
        <v>0</v>
      </c>
      <c r="Y259" s="126"/>
    </row>
    <row r="260">
      <c r="A260" s="126"/>
      <c r="B260" s="142">
        <v>46085.0</v>
      </c>
      <c r="C260" s="146"/>
      <c r="D260" s="143" t="s">
        <v>42</v>
      </c>
      <c r="E260" s="143" t="s">
        <v>1334</v>
      </c>
      <c r="F260" s="130" t="s">
        <v>1333</v>
      </c>
      <c r="G260" s="143" t="s">
        <v>11</v>
      </c>
      <c r="H260" s="126"/>
      <c r="I260" s="132"/>
      <c r="J260" s="143" t="s">
        <v>8</v>
      </c>
      <c r="K260" s="126"/>
      <c r="L260" s="148" t="s">
        <v>10</v>
      </c>
      <c r="M260" s="134" t="str">
        <f t="shared" si="1"/>
        <v>AVAILABLE</v>
      </c>
      <c r="N260" s="134" t="str">
        <f t="array" ref="N260">IF(M260="LOANED / ON KOL", INDEX('Step 3 FOC Request'!$G:$G, MATCH(1, ('Step 3 FOC Request'!$A:$A=W260) * ('Step 3 FOC Request'!$F:$F=E260), 0)), "-")</f>
        <v>-</v>
      </c>
      <c r="O260" s="126"/>
      <c r="P260" s="126"/>
      <c r="Q260" s="126"/>
      <c r="R260" s="126"/>
      <c r="U260" s="126"/>
      <c r="V260" s="126"/>
      <c r="W260" s="135">
        <f>MAXIFS('Step 3 FOC Request'!$A:$A, 'Step 3 FOC Request'!$F:$F, $E260)</f>
        <v>0</v>
      </c>
      <c r="X260" s="135">
        <f>MAXIFS('Step 4 FOC Return'!$A:$A, 'Step 4 FOC Return'!$E:$E, $E260)</f>
        <v>0</v>
      </c>
      <c r="Y260" s="126"/>
    </row>
    <row r="261">
      <c r="A261" s="126"/>
      <c r="B261" s="142">
        <v>46085.0</v>
      </c>
      <c r="C261" s="146"/>
      <c r="D261" s="143" t="s">
        <v>42</v>
      </c>
      <c r="E261" s="143">
        <v>3.52673730000187E14</v>
      </c>
      <c r="F261" s="130" t="s">
        <v>1332</v>
      </c>
      <c r="G261" s="143" t="s">
        <v>11</v>
      </c>
      <c r="H261" s="126"/>
      <c r="I261" s="132"/>
      <c r="J261" s="143" t="s">
        <v>8</v>
      </c>
      <c r="K261" s="126"/>
      <c r="L261" s="148" t="s">
        <v>10</v>
      </c>
      <c r="M261" s="134" t="str">
        <f t="shared" si="1"/>
        <v>AVAILABLE</v>
      </c>
      <c r="N261" s="134" t="str">
        <f t="array" ref="N261">IF(M261="LOANED / ON KOL", INDEX('Step 3 FOC Request'!$G:$G, MATCH(1, ('Step 3 FOC Request'!$A:$A=W261) * ('Step 3 FOC Request'!$F:$F=E261), 0)), "-")</f>
        <v>-</v>
      </c>
      <c r="O261" s="126"/>
      <c r="P261" s="126"/>
      <c r="Q261" s="126"/>
      <c r="R261" s="126"/>
      <c r="U261" s="126"/>
      <c r="V261" s="126"/>
      <c r="W261" s="135">
        <f>MAXIFS('Step 3 FOC Request'!$A:$A, 'Step 3 FOC Request'!$F:$F, $E261)</f>
        <v>0</v>
      </c>
      <c r="X261" s="135">
        <f>MAXIFS('Step 4 FOC Return'!$A:$A, 'Step 4 FOC Return'!$E:$E, $E261)</f>
        <v>0</v>
      </c>
      <c r="Y261" s="126"/>
    </row>
    <row r="262">
      <c r="A262" s="126"/>
      <c r="B262" s="142">
        <v>46085.0</v>
      </c>
      <c r="C262" s="146"/>
      <c r="D262" s="143" t="s">
        <v>44</v>
      </c>
      <c r="E262" s="143" t="s">
        <v>1335</v>
      </c>
      <c r="F262" s="130" t="s">
        <v>1336</v>
      </c>
      <c r="G262" s="146"/>
      <c r="H262" s="126"/>
      <c r="I262" s="132"/>
      <c r="J262" s="143" t="s">
        <v>48</v>
      </c>
      <c r="K262" s="126"/>
      <c r="L262" s="148" t="s">
        <v>10</v>
      </c>
      <c r="M262" s="134" t="str">
        <f t="shared" si="1"/>
        <v>AVAILABLE</v>
      </c>
      <c r="N262" s="134" t="str">
        <f t="array" ref="N262">IF(M262="LOANED / ON KOL", INDEX('Step 3 FOC Request'!$G:$G, MATCH(1, ('Step 3 FOC Request'!$A:$A=W262) * ('Step 3 FOC Request'!$F:$F=E262), 0)), "-")</f>
        <v>-</v>
      </c>
      <c r="O262" s="126"/>
      <c r="P262" s="126"/>
      <c r="Q262" s="126"/>
      <c r="R262" s="126"/>
      <c r="U262" s="126"/>
      <c r="V262" s="126"/>
      <c r="W262" s="135">
        <f>MAXIFS('Step 3 FOC Request'!$A:$A, 'Step 3 FOC Request'!$F:$F, $E262)</f>
        <v>0</v>
      </c>
      <c r="X262" s="135">
        <f>MAXIFS('Step 4 FOC Return'!$A:$A, 'Step 4 FOC Return'!$E:$E, $E262)</f>
        <v>0</v>
      </c>
      <c r="Y262" s="126"/>
    </row>
    <row r="263">
      <c r="A263" s="126"/>
      <c r="B263" s="142">
        <v>46085.0</v>
      </c>
      <c r="C263" s="146"/>
      <c r="D263" s="143" t="s">
        <v>44</v>
      </c>
      <c r="E263" s="143" t="s">
        <v>1337</v>
      </c>
      <c r="F263" s="130" t="s">
        <v>1336</v>
      </c>
      <c r="G263" s="146"/>
      <c r="H263" s="126"/>
      <c r="I263" s="132"/>
      <c r="J263" s="143" t="s">
        <v>48</v>
      </c>
      <c r="K263" s="126"/>
      <c r="L263" s="148" t="s">
        <v>10</v>
      </c>
      <c r="M263" s="134" t="str">
        <f t="shared" si="1"/>
        <v>AVAILABLE</v>
      </c>
      <c r="N263" s="134" t="str">
        <f t="array" ref="N263">IF(M263="LOANED / ON KOL", INDEX('Step 3 FOC Request'!$G:$G, MATCH(1, ('Step 3 FOC Request'!$A:$A=W263) * ('Step 3 FOC Request'!$F:$F=E263), 0)), "-")</f>
        <v>-</v>
      </c>
      <c r="O263" s="126"/>
      <c r="P263" s="126"/>
      <c r="Q263" s="126"/>
      <c r="R263" s="126"/>
      <c r="U263" s="126"/>
      <c r="V263" s="126"/>
      <c r="W263" s="135">
        <f>MAXIFS('Step 3 FOC Request'!$A:$A, 'Step 3 FOC Request'!$F:$F, $E263)</f>
        <v>0</v>
      </c>
      <c r="X263" s="135">
        <f>MAXIFS('Step 4 FOC Return'!$A:$A, 'Step 4 FOC Return'!$E:$E, $E263)</f>
        <v>0</v>
      </c>
      <c r="Y263" s="126"/>
    </row>
    <row r="264">
      <c r="A264" s="126"/>
      <c r="B264" s="142">
        <v>46085.0</v>
      </c>
      <c r="C264" s="146"/>
      <c r="D264" s="143" t="s">
        <v>31</v>
      </c>
      <c r="E264" s="143">
        <v>3.54922130015792E14</v>
      </c>
      <c r="F264" s="130" t="s">
        <v>1202</v>
      </c>
      <c r="G264" s="143" t="s">
        <v>11</v>
      </c>
      <c r="H264" s="126"/>
      <c r="I264" s="132"/>
      <c r="J264" s="143" t="s">
        <v>52</v>
      </c>
      <c r="K264" s="126"/>
      <c r="L264" s="148" t="s">
        <v>10</v>
      </c>
      <c r="M264" s="134" t="str">
        <f t="shared" si="1"/>
        <v>LOANED / ON KOL</v>
      </c>
      <c r="N264" s="153" t="str">
        <f t="array" ref="N264">IF(M264="LOANED / ON KOL", INDEX('Step 3 FOC Request'!$G:$G, MATCH(1, ('Step 3 FOC Request'!$A:$A=W264) * ('Step 3 FOC Request'!$F:$F=E264), 0)), "-")</f>
        <v>Salma (carry untuk event galaxy studio)</v>
      </c>
      <c r="O264" s="126"/>
      <c r="P264" s="126"/>
      <c r="Q264" s="126"/>
      <c r="R264" s="126"/>
      <c r="U264" s="126"/>
      <c r="V264" s="126"/>
      <c r="W264" s="135">
        <f>MAXIFS('Step 3 FOC Request'!$A:$A, 'Step 3 FOC Request'!$F:$F, $E264)</f>
        <v>46085.69306</v>
      </c>
      <c r="X264" s="135">
        <f>MAXIFS('Step 4 FOC Return'!$A:$A, 'Step 4 FOC Return'!$E:$E, $E264)</f>
        <v>0</v>
      </c>
      <c r="Y264" s="126"/>
    </row>
    <row r="265">
      <c r="A265" s="126"/>
      <c r="B265" s="142">
        <v>46087.0</v>
      </c>
      <c r="C265" s="146"/>
      <c r="D265" s="143" t="s">
        <v>25</v>
      </c>
      <c r="E265" s="143" t="s">
        <v>1338</v>
      </c>
      <c r="F265" s="130" t="s">
        <v>1164</v>
      </c>
      <c r="G265" s="143" t="s">
        <v>19</v>
      </c>
      <c r="H265" s="126"/>
      <c r="I265" s="132"/>
      <c r="J265" s="143" t="s">
        <v>8</v>
      </c>
      <c r="K265" s="126"/>
      <c r="L265" s="148" t="s">
        <v>10</v>
      </c>
      <c r="M265" s="134" t="str">
        <f t="shared" si="1"/>
        <v>AVAILABLE</v>
      </c>
      <c r="N265" s="134" t="str">
        <f t="array" ref="N265">IF(M265="LOANED / ON KOL", INDEX('Step 3 FOC Request'!$G:$G, MATCH(1, ('Step 3 FOC Request'!$A:$A=W265) * ('Step 3 FOC Request'!$F:$F=E265), 0)), "-")</f>
        <v>-</v>
      </c>
      <c r="O265" s="126"/>
      <c r="P265" s="126"/>
      <c r="Q265" s="126"/>
      <c r="R265" s="126"/>
      <c r="U265" s="126"/>
      <c r="V265" s="126"/>
      <c r="W265" s="135">
        <f>MAXIFS('Step 3 FOC Request'!$A:$A, 'Step 3 FOC Request'!$F:$F, $E265)</f>
        <v>0</v>
      </c>
      <c r="X265" s="135">
        <f>MAXIFS('Step 4 FOC Return'!$A:$A, 'Step 4 FOC Return'!$E:$E, $E265)</f>
        <v>0</v>
      </c>
      <c r="Y265" s="126"/>
    </row>
    <row r="266">
      <c r="A266" s="126"/>
      <c r="B266" s="142">
        <v>46087.0</v>
      </c>
      <c r="C266" s="146"/>
      <c r="D266" s="143" t="s">
        <v>25</v>
      </c>
      <c r="E266" s="143" t="s">
        <v>1339</v>
      </c>
      <c r="F266" s="130" t="s">
        <v>1164</v>
      </c>
      <c r="G266" s="143" t="s">
        <v>19</v>
      </c>
      <c r="H266" s="126"/>
      <c r="I266" s="132"/>
      <c r="J266" s="143" t="s">
        <v>8</v>
      </c>
      <c r="K266" s="126"/>
      <c r="L266" s="148" t="s">
        <v>10</v>
      </c>
      <c r="M266" s="134" t="str">
        <f t="shared" si="1"/>
        <v>LOANED / ON KOL</v>
      </c>
      <c r="N266" s="134" t="str">
        <f t="array" ref="N266">IF(M266="LOANED / ON KOL", INDEX('Step 3 FOC Request'!$G:$G, MATCH(1, ('Step 3 FOC Request'!$A:$A=W266) * ('Step 3 FOC Request'!$F:$F=E266), 0)), "-")</f>
        <v>Naykilla</v>
      </c>
      <c r="O266" s="126"/>
      <c r="P266" s="126"/>
      <c r="Q266" s="126"/>
      <c r="R266" s="126"/>
      <c r="U266" s="126"/>
      <c r="V266" s="126"/>
      <c r="W266" s="135">
        <f>MAXIFS('Step 3 FOC Request'!$A:$A, 'Step 3 FOC Request'!$F:$F, $E266)</f>
        <v>46092.61561</v>
      </c>
      <c r="X266" s="135">
        <f>MAXIFS('Step 4 FOC Return'!$A:$A, 'Step 4 FOC Return'!$E:$E, $E266)</f>
        <v>0</v>
      </c>
      <c r="Y266" s="126"/>
    </row>
    <row r="267">
      <c r="A267" s="126"/>
      <c r="B267" s="142">
        <v>46087.0</v>
      </c>
      <c r="C267" s="146"/>
      <c r="D267" s="143" t="s">
        <v>25</v>
      </c>
      <c r="E267" s="143" t="s">
        <v>1340</v>
      </c>
      <c r="F267" s="130" t="s">
        <v>1164</v>
      </c>
      <c r="G267" s="143" t="s">
        <v>19</v>
      </c>
      <c r="H267" s="126"/>
      <c r="I267" s="132"/>
      <c r="J267" s="143" t="s">
        <v>8</v>
      </c>
      <c r="K267" s="126"/>
      <c r="L267" s="148" t="s">
        <v>10</v>
      </c>
      <c r="M267" s="134" t="str">
        <f t="shared" si="1"/>
        <v>AVAILABLE</v>
      </c>
      <c r="N267" s="134" t="str">
        <f t="array" ref="N267">IF(M267="LOANED / ON KOL", INDEX('Step 3 FOC Request'!$G:$G, MATCH(1, ('Step 3 FOC Request'!$A:$A=W267) * ('Step 3 FOC Request'!$F:$F=E267), 0)), "-")</f>
        <v>-</v>
      </c>
      <c r="O267" s="126"/>
      <c r="P267" s="126"/>
      <c r="Q267" s="126"/>
      <c r="R267" s="126"/>
      <c r="U267" s="126"/>
      <c r="V267" s="126"/>
      <c r="W267" s="135">
        <f>MAXIFS('Step 3 FOC Request'!$A:$A, 'Step 3 FOC Request'!$F:$F, $E267)</f>
        <v>0</v>
      </c>
      <c r="X267" s="135">
        <f>MAXIFS('Step 4 FOC Return'!$A:$A, 'Step 4 FOC Return'!$E:$E, $E267)</f>
        <v>0</v>
      </c>
      <c r="Y267" s="126"/>
    </row>
    <row r="268">
      <c r="A268" s="126"/>
      <c r="B268" s="142">
        <v>46087.0</v>
      </c>
      <c r="C268" s="146"/>
      <c r="D268" s="143" t="s">
        <v>25</v>
      </c>
      <c r="E268" s="143" t="s">
        <v>1341</v>
      </c>
      <c r="F268" s="130" t="s">
        <v>1271</v>
      </c>
      <c r="G268" s="143" t="s">
        <v>19</v>
      </c>
      <c r="H268" s="126"/>
      <c r="I268" s="132"/>
      <c r="J268" s="143" t="s">
        <v>8</v>
      </c>
      <c r="K268" s="126"/>
      <c r="L268" s="148" t="s">
        <v>10</v>
      </c>
      <c r="M268" s="134" t="str">
        <f t="shared" si="1"/>
        <v>AVAILABLE</v>
      </c>
      <c r="N268" s="134" t="str">
        <f t="array" ref="N268">IF(M268="LOANED / ON KOL", INDEX('Step 3 FOC Request'!$G:$G, MATCH(1, ('Step 3 FOC Request'!$A:$A=W268) * ('Step 3 FOC Request'!$F:$F=E268), 0)), "-")</f>
        <v>-</v>
      </c>
      <c r="O268" s="126"/>
      <c r="P268" s="126"/>
      <c r="Q268" s="126"/>
      <c r="R268" s="126"/>
      <c r="U268" s="126"/>
      <c r="V268" s="126"/>
      <c r="W268" s="135">
        <f>MAXIFS('Step 3 FOC Request'!$A:$A, 'Step 3 FOC Request'!$F:$F, $E268)</f>
        <v>0</v>
      </c>
      <c r="X268" s="135">
        <f>MAXIFS('Step 4 FOC Return'!$A:$A, 'Step 4 FOC Return'!$E:$E, $E268)</f>
        <v>0</v>
      </c>
      <c r="Y268" s="126"/>
    </row>
    <row r="269">
      <c r="A269" s="126"/>
      <c r="B269" s="142">
        <v>46087.0</v>
      </c>
      <c r="C269" s="146"/>
      <c r="D269" s="143" t="s">
        <v>25</v>
      </c>
      <c r="E269" s="143" t="s">
        <v>1342</v>
      </c>
      <c r="F269" s="130" t="s">
        <v>1271</v>
      </c>
      <c r="G269" s="143" t="s">
        <v>19</v>
      </c>
      <c r="H269" s="126"/>
      <c r="I269" s="132"/>
      <c r="J269" s="143" t="s">
        <v>8</v>
      </c>
      <c r="K269" s="126"/>
      <c r="L269" s="148" t="s">
        <v>10</v>
      </c>
      <c r="M269" s="134" t="str">
        <f t="shared" si="1"/>
        <v>LOANED / ON KOL</v>
      </c>
      <c r="N269" s="134" t="str">
        <f t="array" ref="N269">IF(M269="LOANED / ON KOL", INDEX('Step 3 FOC Request'!$G:$G, MATCH(1, ('Step 3 FOC Request'!$A:$A=W269) * ('Step 3 FOC Request'!$F:$F=E269), 0)), "-")</f>
        <v>Arghie Hanafi</v>
      </c>
      <c r="O269" s="126"/>
      <c r="P269" s="126"/>
      <c r="Q269" s="126"/>
      <c r="R269" s="126"/>
      <c r="U269" s="126"/>
      <c r="V269" s="126"/>
      <c r="W269" s="135">
        <f>MAXIFS('Step 3 FOC Request'!$A:$A, 'Step 3 FOC Request'!$F:$F, $E269)</f>
        <v>46094.49253</v>
      </c>
      <c r="X269" s="135">
        <f>MAXIFS('Step 4 FOC Return'!$A:$A, 'Step 4 FOC Return'!$E:$E, $E269)</f>
        <v>0</v>
      </c>
      <c r="Y269" s="126"/>
    </row>
    <row r="270">
      <c r="A270" s="126"/>
      <c r="B270" s="142">
        <v>46087.0</v>
      </c>
      <c r="C270" s="146"/>
      <c r="D270" s="143" t="s">
        <v>25</v>
      </c>
      <c r="E270" s="143" t="s">
        <v>1343</v>
      </c>
      <c r="F270" s="130" t="s">
        <v>1344</v>
      </c>
      <c r="G270" s="143" t="s">
        <v>19</v>
      </c>
      <c r="H270" s="126"/>
      <c r="I270" s="132"/>
      <c r="J270" s="143" t="s">
        <v>8</v>
      </c>
      <c r="K270" s="126"/>
      <c r="L270" s="148" t="s">
        <v>10</v>
      </c>
      <c r="M270" s="134" t="str">
        <f t="shared" si="1"/>
        <v>AVAILABLE</v>
      </c>
      <c r="N270" s="134" t="str">
        <f t="array" ref="N270">IF(M270="LOANED / ON KOL", INDEX('Step 3 FOC Request'!$G:$G, MATCH(1, ('Step 3 FOC Request'!$A:$A=W270) * ('Step 3 FOC Request'!$F:$F=E270), 0)), "-")</f>
        <v>-</v>
      </c>
      <c r="O270" s="126"/>
      <c r="P270" s="126"/>
      <c r="Q270" s="126"/>
      <c r="R270" s="126"/>
      <c r="U270" s="126"/>
      <c r="V270" s="126"/>
      <c r="W270" s="135">
        <f>MAXIFS('Step 3 FOC Request'!$A:$A, 'Step 3 FOC Request'!$F:$F, $E270)</f>
        <v>0</v>
      </c>
      <c r="X270" s="135">
        <f>MAXIFS('Step 4 FOC Return'!$A:$A, 'Step 4 FOC Return'!$E:$E, $E270)</f>
        <v>0</v>
      </c>
      <c r="Y270" s="126"/>
    </row>
    <row r="271">
      <c r="A271" s="126"/>
      <c r="B271" s="142">
        <v>46087.0</v>
      </c>
      <c r="C271" s="146"/>
      <c r="D271" s="143" t="s">
        <v>25</v>
      </c>
      <c r="E271" s="143" t="s">
        <v>1345</v>
      </c>
      <c r="F271" s="130" t="s">
        <v>1344</v>
      </c>
      <c r="G271" s="143" t="s">
        <v>19</v>
      </c>
      <c r="H271" s="126"/>
      <c r="I271" s="132"/>
      <c r="J271" s="143" t="s">
        <v>8</v>
      </c>
      <c r="K271" s="126"/>
      <c r="L271" s="148" t="s">
        <v>10</v>
      </c>
      <c r="M271" s="134" t="str">
        <f t="shared" si="1"/>
        <v>AVAILABLE</v>
      </c>
      <c r="N271" s="134" t="str">
        <f t="array" ref="N271">IF(M271="LOANED / ON KOL", INDEX('Step 3 FOC Request'!$G:$G, MATCH(1, ('Step 3 FOC Request'!$A:$A=W271) * ('Step 3 FOC Request'!$F:$F=E271), 0)), "-")</f>
        <v>-</v>
      </c>
      <c r="O271" s="126"/>
      <c r="P271" s="126"/>
      <c r="Q271" s="126"/>
      <c r="R271" s="126"/>
      <c r="U271" s="126"/>
      <c r="V271" s="126"/>
      <c r="W271" s="135">
        <f>MAXIFS('Step 3 FOC Request'!$A:$A, 'Step 3 FOC Request'!$F:$F, $E271)</f>
        <v>0</v>
      </c>
      <c r="X271" s="135">
        <f>MAXIFS('Step 4 FOC Return'!$A:$A, 'Step 4 FOC Return'!$E:$E, $E271)</f>
        <v>0</v>
      </c>
      <c r="Y271" s="126"/>
    </row>
    <row r="272">
      <c r="A272" s="126"/>
      <c r="B272" s="142">
        <v>46087.0</v>
      </c>
      <c r="C272" s="146"/>
      <c r="D272" s="143" t="s">
        <v>44</v>
      </c>
      <c r="E272" s="143" t="s">
        <v>1346</v>
      </c>
      <c r="F272" s="130" t="s">
        <v>1347</v>
      </c>
      <c r="G272" s="146"/>
      <c r="H272" s="126"/>
      <c r="I272" s="132"/>
      <c r="J272" s="146"/>
      <c r="K272" s="126"/>
      <c r="L272" s="148" t="s">
        <v>10</v>
      </c>
      <c r="M272" s="134" t="str">
        <f t="shared" si="1"/>
        <v>AVAILABLE</v>
      </c>
      <c r="N272" s="134" t="str">
        <f t="array" ref="N272">IF(M272="LOANED / ON KOL", INDEX('Step 3 FOC Request'!$G:$G, MATCH(1, ('Step 3 FOC Request'!$A:$A=W272) * ('Step 3 FOC Request'!$F:$F=E272), 0)), "-")</f>
        <v>-</v>
      </c>
      <c r="O272" s="126"/>
      <c r="P272" s="126"/>
      <c r="Q272" s="126"/>
      <c r="R272" s="126"/>
      <c r="U272" s="126"/>
      <c r="V272" s="126"/>
      <c r="W272" s="135">
        <f>MAXIFS('Step 3 FOC Request'!$A:$A, 'Step 3 FOC Request'!$F:$F, $E272)</f>
        <v>0</v>
      </c>
      <c r="X272" s="135">
        <f>MAXIFS('Step 4 FOC Return'!$A:$A, 'Step 4 FOC Return'!$E:$E, $E272)</f>
        <v>0</v>
      </c>
      <c r="Y272" s="126"/>
    </row>
    <row r="273">
      <c r="A273" s="126"/>
      <c r="B273" s="142">
        <v>46087.0</v>
      </c>
      <c r="C273" s="146"/>
      <c r="D273" s="143" t="s">
        <v>44</v>
      </c>
      <c r="E273" s="143" t="s">
        <v>1348</v>
      </c>
      <c r="F273" s="130" t="s">
        <v>1347</v>
      </c>
      <c r="G273" s="146"/>
      <c r="H273" s="126"/>
      <c r="I273" s="132"/>
      <c r="J273" s="146"/>
      <c r="K273" s="126"/>
      <c r="L273" s="148" t="s">
        <v>10</v>
      </c>
      <c r="M273" s="134" t="str">
        <f t="shared" si="1"/>
        <v>AVAILABLE</v>
      </c>
      <c r="N273" s="134" t="str">
        <f t="array" ref="N273">IF(M273="LOANED / ON KOL", INDEX('Step 3 FOC Request'!$G:$G, MATCH(1, ('Step 3 FOC Request'!$A:$A=W273) * ('Step 3 FOC Request'!$F:$F=E273), 0)), "-")</f>
        <v>-</v>
      </c>
      <c r="O273" s="126"/>
      <c r="P273" s="126"/>
      <c r="Q273" s="126"/>
      <c r="R273" s="126"/>
      <c r="U273" s="126"/>
      <c r="V273" s="126"/>
      <c r="W273" s="135">
        <f>MAXIFS('Step 3 FOC Request'!$A:$A, 'Step 3 FOC Request'!$F:$F, $E273)</f>
        <v>0</v>
      </c>
      <c r="X273" s="135">
        <f>MAXIFS('Step 4 FOC Return'!$A:$A, 'Step 4 FOC Return'!$E:$E, $E273)</f>
        <v>0</v>
      </c>
      <c r="Y273" s="126"/>
    </row>
    <row r="274">
      <c r="A274" s="126"/>
      <c r="B274" s="142">
        <v>46087.0</v>
      </c>
      <c r="C274" s="146"/>
      <c r="D274" s="143" t="s">
        <v>44</v>
      </c>
      <c r="E274" s="143" t="s">
        <v>826</v>
      </c>
      <c r="F274" s="130" t="s">
        <v>1349</v>
      </c>
      <c r="G274" s="146"/>
      <c r="H274" s="126"/>
      <c r="I274" s="132"/>
      <c r="J274" s="146"/>
      <c r="K274" s="126"/>
      <c r="L274" s="148" t="s">
        <v>10</v>
      </c>
      <c r="M274" s="134" t="str">
        <f t="shared" si="1"/>
        <v>AVAILABLE</v>
      </c>
      <c r="N274" s="134" t="str">
        <f t="array" ref="N274">IF(M274="LOANED / ON KOL", INDEX('Step 3 FOC Request'!$G:$G, MATCH(1, ('Step 3 FOC Request'!$A:$A=W274) * ('Step 3 FOC Request'!$F:$F=E274), 0)), "-")</f>
        <v>-</v>
      </c>
      <c r="O274" s="126"/>
      <c r="P274" s="148"/>
      <c r="Q274" s="126"/>
      <c r="R274" s="126"/>
      <c r="U274" s="126"/>
      <c r="V274" s="126"/>
      <c r="W274" s="135">
        <f>MAXIFS('Step 3 FOC Request'!$A:$A, 'Step 3 FOC Request'!$F:$F, $E274)</f>
        <v>0</v>
      </c>
      <c r="X274" s="135">
        <f>MAXIFS('Step 4 FOC Return'!$A:$A, 'Step 4 FOC Return'!$E:$E, $E274)</f>
        <v>0</v>
      </c>
      <c r="Y274" s="126"/>
    </row>
    <row r="275">
      <c r="A275" s="126"/>
      <c r="B275" s="142">
        <v>46087.0</v>
      </c>
      <c r="C275" s="146"/>
      <c r="D275" s="143" t="s">
        <v>44</v>
      </c>
      <c r="E275" s="143" t="s">
        <v>1350</v>
      </c>
      <c r="F275" s="130" t="s">
        <v>1349</v>
      </c>
      <c r="G275" s="146"/>
      <c r="H275" s="126"/>
      <c r="I275" s="132"/>
      <c r="J275" s="146"/>
      <c r="K275" s="126"/>
      <c r="L275" s="148" t="s">
        <v>10</v>
      </c>
      <c r="M275" s="134" t="str">
        <f t="shared" si="1"/>
        <v>AVAILABLE</v>
      </c>
      <c r="N275" s="134" t="str">
        <f t="array" ref="N275">IF(M275="LOANED / ON KOL", INDEX('Step 3 FOC Request'!$G:$G, MATCH(1, ('Step 3 FOC Request'!$A:$A=W275) * ('Step 3 FOC Request'!$F:$F=E275), 0)), "-")</f>
        <v>-</v>
      </c>
      <c r="O275" s="126"/>
      <c r="P275" s="126"/>
      <c r="Q275" s="126"/>
      <c r="R275" s="126"/>
      <c r="U275" s="126"/>
      <c r="V275" s="126"/>
      <c r="W275" s="135">
        <f>MAXIFS('Step 3 FOC Request'!$A:$A, 'Step 3 FOC Request'!$F:$F, $E275)</f>
        <v>0</v>
      </c>
      <c r="X275" s="135">
        <f>MAXIFS('Step 4 FOC Return'!$A:$A, 'Step 4 FOC Return'!$E:$E, $E275)</f>
        <v>0</v>
      </c>
      <c r="Y275" s="126"/>
    </row>
    <row r="276">
      <c r="A276" s="126"/>
      <c r="B276" s="142">
        <v>46087.0</v>
      </c>
      <c r="C276" s="146"/>
      <c r="D276" s="143" t="s">
        <v>44</v>
      </c>
      <c r="E276" s="143" t="s">
        <v>1351</v>
      </c>
      <c r="F276" s="130" t="s">
        <v>1309</v>
      </c>
      <c r="G276" s="146"/>
      <c r="H276" s="126"/>
      <c r="I276" s="132"/>
      <c r="J276" s="146"/>
      <c r="K276" s="126"/>
      <c r="L276" s="148" t="s">
        <v>10</v>
      </c>
      <c r="M276" s="134" t="str">
        <f t="shared" si="1"/>
        <v>AVAILABLE</v>
      </c>
      <c r="N276" s="134" t="str">
        <f t="array" ref="N276">IF(M276="LOANED / ON KOL", INDEX('Step 3 FOC Request'!$G:$G, MATCH(1, ('Step 3 FOC Request'!$A:$A=W276) * ('Step 3 FOC Request'!$F:$F=E276), 0)), "-")</f>
        <v>-</v>
      </c>
      <c r="O276" s="126"/>
      <c r="P276" s="126"/>
      <c r="Q276" s="126"/>
      <c r="R276" s="126"/>
      <c r="U276" s="126"/>
      <c r="V276" s="126"/>
      <c r="W276" s="135">
        <f>MAXIFS('Step 3 FOC Request'!$A:$A, 'Step 3 FOC Request'!$F:$F, $E276)</f>
        <v>0</v>
      </c>
      <c r="X276" s="135">
        <f>MAXIFS('Step 4 FOC Return'!$A:$A, 'Step 4 FOC Return'!$E:$E, $E276)</f>
        <v>0</v>
      </c>
      <c r="Y276" s="126"/>
    </row>
    <row r="277">
      <c r="A277" s="126"/>
      <c r="B277" s="142">
        <v>46090.0</v>
      </c>
      <c r="C277" s="146"/>
      <c r="D277" s="143" t="s">
        <v>25</v>
      </c>
      <c r="E277" s="143" t="s">
        <v>1352</v>
      </c>
      <c r="F277" s="130" t="s">
        <v>1168</v>
      </c>
      <c r="G277" s="143" t="s">
        <v>19</v>
      </c>
      <c r="H277" s="126"/>
      <c r="I277" s="132"/>
      <c r="J277" s="143" t="s">
        <v>8</v>
      </c>
      <c r="K277" s="126"/>
      <c r="L277" s="148" t="s">
        <v>10</v>
      </c>
      <c r="M277" s="134" t="str">
        <f t="shared" si="1"/>
        <v>LOANED / ON KOL</v>
      </c>
      <c r="N277" s="134" t="str">
        <f t="array" ref="N277">IF(M277="LOANED / ON KOL", INDEX('Step 3 FOC Request'!$G:$G, MATCH(1, ('Step 3 FOC Request'!$A:$A=W277) * ('Step 3 FOC Request'!$F:$F=E277), 0)), "-")</f>
        <v>Michael Achel</v>
      </c>
      <c r="O277" s="126"/>
      <c r="P277" s="126"/>
      <c r="Q277" s="126"/>
      <c r="R277" s="126"/>
      <c r="U277" s="126"/>
      <c r="V277" s="126"/>
      <c r="W277" s="135">
        <f>MAXIFS('Step 3 FOC Request'!$A:$A, 'Step 3 FOC Request'!$F:$F, $E277)</f>
        <v>46094.49071</v>
      </c>
      <c r="X277" s="135">
        <f>MAXIFS('Step 4 FOC Return'!$A:$A, 'Step 4 FOC Return'!$E:$E, $E277)</f>
        <v>0</v>
      </c>
      <c r="Y277" s="126"/>
    </row>
    <row r="278">
      <c r="A278" s="126"/>
      <c r="B278" s="142">
        <v>46090.0</v>
      </c>
      <c r="C278" s="146"/>
      <c r="D278" s="143" t="s">
        <v>25</v>
      </c>
      <c r="E278" s="143" t="s">
        <v>1353</v>
      </c>
      <c r="F278" s="130" t="s">
        <v>1168</v>
      </c>
      <c r="G278" s="143" t="s">
        <v>19</v>
      </c>
      <c r="H278" s="126"/>
      <c r="I278" s="132"/>
      <c r="J278" s="143" t="s">
        <v>8</v>
      </c>
      <c r="K278" s="126"/>
      <c r="L278" s="148" t="s">
        <v>10</v>
      </c>
      <c r="M278" s="134" t="str">
        <f t="shared" si="1"/>
        <v>AVAILABLE</v>
      </c>
      <c r="N278" s="134" t="str">
        <f t="array" ref="N278">IF(M278="LOANED / ON KOL", INDEX('Step 3 FOC Request'!$G:$G, MATCH(1, ('Step 3 FOC Request'!$A:$A=W278) * ('Step 3 FOC Request'!$F:$F=E278), 0)), "-")</f>
        <v>-</v>
      </c>
      <c r="O278" s="126"/>
      <c r="P278" s="126"/>
      <c r="Q278" s="126"/>
      <c r="R278" s="126"/>
      <c r="U278" s="126"/>
      <c r="V278" s="126"/>
      <c r="W278" s="135">
        <f>MAXIFS('Step 3 FOC Request'!$A:$A, 'Step 3 FOC Request'!$F:$F, $E278)</f>
        <v>0</v>
      </c>
      <c r="X278" s="135">
        <f>MAXIFS('Step 4 FOC Return'!$A:$A, 'Step 4 FOC Return'!$E:$E, $E278)</f>
        <v>0</v>
      </c>
      <c r="Y278" s="126"/>
    </row>
    <row r="279">
      <c r="A279" s="126"/>
      <c r="B279" s="142">
        <v>46090.0</v>
      </c>
      <c r="C279" s="146"/>
      <c r="D279" s="143" t="s">
        <v>25</v>
      </c>
      <c r="E279" s="143" t="s">
        <v>1354</v>
      </c>
      <c r="F279" s="130" t="s">
        <v>1168</v>
      </c>
      <c r="G279" s="143" t="s">
        <v>19</v>
      </c>
      <c r="H279" s="126"/>
      <c r="I279" s="132"/>
      <c r="J279" s="143" t="s">
        <v>8</v>
      </c>
      <c r="K279" s="126"/>
      <c r="L279" s="148" t="s">
        <v>10</v>
      </c>
      <c r="M279" s="134" t="str">
        <f t="shared" si="1"/>
        <v>AVAILABLE</v>
      </c>
      <c r="N279" s="134" t="str">
        <f t="array" ref="N279">IF(M279="LOANED / ON KOL", INDEX('Step 3 FOC Request'!$G:$G, MATCH(1, ('Step 3 FOC Request'!$A:$A=W279) * ('Step 3 FOC Request'!$F:$F=E279), 0)), "-")</f>
        <v>-</v>
      </c>
      <c r="O279" s="126"/>
      <c r="P279" s="126"/>
      <c r="Q279" s="126"/>
      <c r="R279" s="126"/>
      <c r="U279" s="126"/>
      <c r="V279" s="126"/>
      <c r="W279" s="135">
        <f>MAXIFS('Step 3 FOC Request'!$A:$A, 'Step 3 FOC Request'!$F:$F, $E279)</f>
        <v>0</v>
      </c>
      <c r="X279" s="135">
        <f>MAXIFS('Step 4 FOC Return'!$A:$A, 'Step 4 FOC Return'!$E:$E, $E279)</f>
        <v>0</v>
      </c>
      <c r="Y279" s="126"/>
    </row>
    <row r="280">
      <c r="A280" s="126"/>
      <c r="B280" s="142">
        <v>46090.0</v>
      </c>
      <c r="C280" s="146"/>
      <c r="D280" s="143" t="s">
        <v>25</v>
      </c>
      <c r="E280" s="143" t="s">
        <v>1355</v>
      </c>
      <c r="F280" s="130" t="s">
        <v>1168</v>
      </c>
      <c r="G280" s="143" t="s">
        <v>19</v>
      </c>
      <c r="H280" s="126"/>
      <c r="I280" s="132"/>
      <c r="J280" s="143" t="s">
        <v>8</v>
      </c>
      <c r="K280" s="126"/>
      <c r="L280" s="148" t="s">
        <v>10</v>
      </c>
      <c r="M280" s="134" t="str">
        <f t="shared" si="1"/>
        <v>AVAILABLE</v>
      </c>
      <c r="N280" s="134" t="str">
        <f t="array" ref="N280">IF(M280="LOANED / ON KOL", INDEX('Step 3 FOC Request'!$G:$G, MATCH(1, ('Step 3 FOC Request'!$A:$A=W280) * ('Step 3 FOC Request'!$F:$F=E280), 0)), "-")</f>
        <v>-</v>
      </c>
      <c r="O280" s="126"/>
      <c r="P280" s="126"/>
      <c r="Q280" s="126"/>
      <c r="R280" s="126"/>
      <c r="U280" s="126"/>
      <c r="V280" s="126"/>
      <c r="W280" s="135">
        <f>MAXIFS('Step 3 FOC Request'!$A:$A, 'Step 3 FOC Request'!$F:$F, $E280)</f>
        <v>0</v>
      </c>
      <c r="X280" s="135">
        <f>MAXIFS('Step 4 FOC Return'!$A:$A, 'Step 4 FOC Return'!$E:$E, $E280)</f>
        <v>0</v>
      </c>
      <c r="Y280" s="126"/>
    </row>
    <row r="281">
      <c r="A281" s="126"/>
      <c r="B281" s="142">
        <v>46090.0</v>
      </c>
      <c r="C281" s="146"/>
      <c r="D281" s="143" t="s">
        <v>25</v>
      </c>
      <c r="E281" s="143" t="s">
        <v>1356</v>
      </c>
      <c r="F281" s="130" t="s">
        <v>1168</v>
      </c>
      <c r="G281" s="143" t="s">
        <v>19</v>
      </c>
      <c r="H281" s="126"/>
      <c r="I281" s="132"/>
      <c r="J281" s="143" t="s">
        <v>8</v>
      </c>
      <c r="K281" s="126"/>
      <c r="L281" s="148" t="s">
        <v>10</v>
      </c>
      <c r="M281" s="134" t="str">
        <f t="shared" si="1"/>
        <v>AVAILABLE</v>
      </c>
      <c r="N281" s="134" t="str">
        <f t="array" ref="N281">IF(M281="LOANED / ON KOL", INDEX('Step 3 FOC Request'!$G:$G, MATCH(1, ('Step 3 FOC Request'!$A:$A=W281) * ('Step 3 FOC Request'!$F:$F=E281), 0)), "-")</f>
        <v>-</v>
      </c>
      <c r="O281" s="126"/>
      <c r="P281" s="126"/>
      <c r="Q281" s="126"/>
      <c r="R281" s="126"/>
      <c r="U281" s="126"/>
      <c r="V281" s="126"/>
      <c r="W281" s="135">
        <f>MAXIFS('Step 3 FOC Request'!$A:$A, 'Step 3 FOC Request'!$F:$F, $E281)</f>
        <v>0</v>
      </c>
      <c r="X281" s="135">
        <f>MAXIFS('Step 4 FOC Return'!$A:$A, 'Step 4 FOC Return'!$E:$E, $E281)</f>
        <v>0</v>
      </c>
      <c r="Y281" s="126"/>
    </row>
    <row r="282">
      <c r="A282" s="126"/>
      <c r="B282" s="142">
        <v>46090.0</v>
      </c>
      <c r="C282" s="146"/>
      <c r="D282" s="143" t="s">
        <v>25</v>
      </c>
      <c r="E282" s="143" t="s">
        <v>1357</v>
      </c>
      <c r="F282" s="130" t="s">
        <v>1168</v>
      </c>
      <c r="G282" s="143" t="s">
        <v>19</v>
      </c>
      <c r="H282" s="126"/>
      <c r="I282" s="132"/>
      <c r="J282" s="143" t="s">
        <v>8</v>
      </c>
      <c r="K282" s="126"/>
      <c r="L282" s="148" t="s">
        <v>10</v>
      </c>
      <c r="M282" s="134" t="str">
        <f t="shared" si="1"/>
        <v>AVAILABLE</v>
      </c>
      <c r="N282" s="134" t="str">
        <f t="array" ref="N282">IF(M282="LOANED / ON KOL", INDEX('Step 3 FOC Request'!$G:$G, MATCH(1, ('Step 3 FOC Request'!$A:$A=W282) * ('Step 3 FOC Request'!$F:$F=E282), 0)), "-")</f>
        <v>-</v>
      </c>
      <c r="O282" s="126"/>
      <c r="P282" s="126"/>
      <c r="Q282" s="126"/>
      <c r="R282" s="126"/>
      <c r="U282" s="126"/>
      <c r="V282" s="126"/>
      <c r="W282" s="135">
        <f>MAXIFS('Step 3 FOC Request'!$A:$A, 'Step 3 FOC Request'!$F:$F, $E282)</f>
        <v>0</v>
      </c>
      <c r="X282" s="135">
        <f>MAXIFS('Step 4 FOC Return'!$A:$A, 'Step 4 FOC Return'!$E:$E, $E282)</f>
        <v>0</v>
      </c>
      <c r="Y282" s="126"/>
    </row>
    <row r="283">
      <c r="A283" s="126"/>
      <c r="B283" s="142">
        <v>46092.0</v>
      </c>
      <c r="C283" s="146"/>
      <c r="D283" s="143" t="s">
        <v>31</v>
      </c>
      <c r="E283" s="143">
        <v>3.52425615101238E14</v>
      </c>
      <c r="F283" s="130" t="s">
        <v>1358</v>
      </c>
      <c r="G283" s="143" t="s">
        <v>19</v>
      </c>
      <c r="H283" s="126"/>
      <c r="I283" s="132"/>
      <c r="J283" s="143" t="s">
        <v>24</v>
      </c>
      <c r="K283" s="143" t="s">
        <v>1258</v>
      </c>
      <c r="L283" s="148" t="s">
        <v>26</v>
      </c>
      <c r="M283" s="134" t="str">
        <f t="shared" si="1"/>
        <v>AVAILABLE</v>
      </c>
      <c r="N283" s="134" t="str">
        <f t="array" ref="N283">IF(M283="LOANED / ON KOL", INDEX('Step 3 FOC Request'!$G:$G, MATCH(1, ('Step 3 FOC Request'!$A:$A=W283) * ('Step 3 FOC Request'!$F:$F=E283), 0)), "-")</f>
        <v>-</v>
      </c>
      <c r="O283" s="126"/>
      <c r="P283" s="126"/>
      <c r="Q283" s="126"/>
      <c r="R283" s="126"/>
      <c r="U283" s="126"/>
      <c r="V283" s="126"/>
      <c r="W283" s="135">
        <f>MAXIFS('Step 3 FOC Request'!$A:$A, 'Step 3 FOC Request'!$F:$F, $E283)</f>
        <v>0</v>
      </c>
      <c r="X283" s="135">
        <f>MAXIFS('Step 4 FOC Return'!$A:$A, 'Step 4 FOC Return'!$E:$E, $E283)</f>
        <v>0</v>
      </c>
      <c r="Y283" s="126"/>
    </row>
    <row r="284">
      <c r="A284" s="126"/>
      <c r="B284" s="142">
        <v>46092.0</v>
      </c>
      <c r="C284" s="146"/>
      <c r="D284" s="143" t="s">
        <v>31</v>
      </c>
      <c r="E284" s="143">
        <v>3.52425615004523E14</v>
      </c>
      <c r="F284" s="130" t="s">
        <v>1359</v>
      </c>
      <c r="G284" s="143" t="s">
        <v>19</v>
      </c>
      <c r="H284" s="126"/>
      <c r="I284" s="132"/>
      <c r="J284" s="143" t="s">
        <v>24</v>
      </c>
      <c r="K284" s="143" t="s">
        <v>1258</v>
      </c>
      <c r="L284" s="148" t="s">
        <v>26</v>
      </c>
      <c r="M284" s="134" t="str">
        <f t="shared" si="1"/>
        <v>AVAILABLE</v>
      </c>
      <c r="N284" s="134" t="str">
        <f t="array" ref="N284">IF(M284="LOANED / ON KOL", INDEX('Step 3 FOC Request'!$G:$G, MATCH(1, ('Step 3 FOC Request'!$A:$A=W284) * ('Step 3 FOC Request'!$F:$F=E284), 0)), "-")</f>
        <v>-</v>
      </c>
      <c r="O284" s="126"/>
      <c r="P284" s="126"/>
      <c r="Q284" s="126"/>
      <c r="R284" s="126"/>
      <c r="U284" s="126"/>
      <c r="V284" s="126"/>
      <c r="W284" s="135">
        <f>MAXIFS('Step 3 FOC Request'!$A:$A, 'Step 3 FOC Request'!$F:$F, $E284)</f>
        <v>0</v>
      </c>
      <c r="X284" s="135">
        <f>MAXIFS('Step 4 FOC Return'!$A:$A, 'Step 4 FOC Return'!$E:$E, $E284)</f>
        <v>0</v>
      </c>
      <c r="Y284" s="126"/>
    </row>
    <row r="285">
      <c r="A285" s="126"/>
      <c r="B285" s="142">
        <v>46091.0</v>
      </c>
      <c r="C285" s="146"/>
      <c r="D285" s="143" t="s">
        <v>31</v>
      </c>
      <c r="E285" s="143">
        <v>3.54922130003558E14</v>
      </c>
      <c r="F285" s="130" t="s">
        <v>1360</v>
      </c>
      <c r="G285" s="143" t="s">
        <v>11</v>
      </c>
      <c r="H285" s="126"/>
      <c r="I285" s="132"/>
      <c r="J285" s="146"/>
      <c r="K285" s="126"/>
      <c r="L285" s="148" t="s">
        <v>10</v>
      </c>
      <c r="M285" s="134" t="str">
        <f t="shared" si="1"/>
        <v>LOANED / ON KOL</v>
      </c>
      <c r="N285" s="134" t="str">
        <f t="array" ref="N285">IF(M285="LOANED / ON KOL", INDEX('Step 3 FOC Request'!$G:$G, MATCH(1, ('Step 3 FOC Request'!$A:$A=W285) * ('Step 3 FOC Request'!$F:$F=E285), 0)), "-")</f>
        <v>gaby saputra</v>
      </c>
      <c r="O285" s="126"/>
      <c r="P285" s="126"/>
      <c r="Q285" s="126"/>
      <c r="R285" s="126"/>
      <c r="U285" s="126"/>
      <c r="V285" s="126"/>
      <c r="W285" s="135">
        <f>MAXIFS('Step 3 FOC Request'!$A:$A, 'Step 3 FOC Request'!$F:$F, $E285)</f>
        <v>46091.64045</v>
      </c>
      <c r="X285" s="135">
        <f>MAXIFS('Step 4 FOC Return'!$A:$A, 'Step 4 FOC Return'!$E:$E, $E285)</f>
        <v>0</v>
      </c>
      <c r="Y285" s="126"/>
    </row>
    <row r="286">
      <c r="A286" s="126"/>
      <c r="B286" s="142">
        <v>46097.0</v>
      </c>
      <c r="C286" s="146"/>
      <c r="D286" s="143" t="s">
        <v>31</v>
      </c>
      <c r="E286" s="143">
        <v>3.51298320007953E14</v>
      </c>
      <c r="F286" s="130" t="s">
        <v>1233</v>
      </c>
      <c r="G286" s="143" t="s">
        <v>11</v>
      </c>
      <c r="H286" s="126"/>
      <c r="I286" s="132"/>
      <c r="J286" s="146"/>
      <c r="K286" s="126"/>
      <c r="L286" s="148" t="s">
        <v>10</v>
      </c>
      <c r="M286" s="134" t="str">
        <f t="shared" si="1"/>
        <v>AVAILABLE</v>
      </c>
      <c r="N286" s="134" t="str">
        <f t="array" ref="N286">IF(M286="LOANED / ON KOL", INDEX('Step 3 FOC Request'!$G:$G, MATCH(1, ('Step 3 FOC Request'!$A:$A=W286) * ('Step 3 FOC Request'!$F:$F=E286), 0)), "-")</f>
        <v>-</v>
      </c>
      <c r="O286" s="126"/>
      <c r="P286" s="126"/>
      <c r="Q286" s="126"/>
      <c r="R286" s="126"/>
      <c r="U286" s="126"/>
      <c r="V286" s="126"/>
      <c r="W286" s="135">
        <f>MAXIFS('Step 3 FOC Request'!$A:$A, 'Step 3 FOC Request'!$F:$F, $E286)</f>
        <v>0</v>
      </c>
      <c r="X286" s="135">
        <f>MAXIFS('Step 4 FOC Return'!$A:$A, 'Step 4 FOC Return'!$E:$E, $E286)</f>
        <v>0</v>
      </c>
      <c r="Y286" s="126"/>
    </row>
    <row r="287">
      <c r="A287" s="126"/>
      <c r="B287" s="142">
        <v>46097.0</v>
      </c>
      <c r="C287" s="146"/>
      <c r="D287" s="143" t="s">
        <v>31</v>
      </c>
      <c r="E287" s="143">
        <v>3.51298320309987E14</v>
      </c>
      <c r="F287" s="130" t="s">
        <v>1243</v>
      </c>
      <c r="G287" s="143" t="s">
        <v>11</v>
      </c>
      <c r="H287" s="126"/>
      <c r="I287" s="132"/>
      <c r="J287" s="146"/>
      <c r="K287" s="126"/>
      <c r="L287" s="148" t="s">
        <v>10</v>
      </c>
      <c r="M287" s="134" t="str">
        <f t="shared" si="1"/>
        <v>AVAILABLE</v>
      </c>
      <c r="N287" s="134" t="str">
        <f t="array" ref="N287">IF(M287="LOANED / ON KOL", INDEX('Step 3 FOC Request'!$G:$G, MATCH(1, ('Step 3 FOC Request'!$A:$A=W287) * ('Step 3 FOC Request'!$F:$F=E287), 0)), "-")</f>
        <v>-</v>
      </c>
      <c r="O287" s="126"/>
      <c r="P287" s="126"/>
      <c r="Q287" s="126"/>
      <c r="R287" s="126"/>
      <c r="U287" s="126"/>
      <c r="V287" s="126"/>
      <c r="W287" s="135">
        <f>MAXIFS('Step 3 FOC Request'!$A:$A, 'Step 3 FOC Request'!$F:$F, $E287)</f>
        <v>0</v>
      </c>
      <c r="X287" s="135">
        <f>MAXIFS('Step 4 FOC Return'!$A:$A, 'Step 4 FOC Return'!$E:$E, $E287)</f>
        <v>0</v>
      </c>
      <c r="Y287" s="126"/>
    </row>
    <row r="288">
      <c r="A288" s="126"/>
      <c r="B288" s="142">
        <v>46097.0</v>
      </c>
      <c r="C288" s="146"/>
      <c r="D288" s="143" t="s">
        <v>31</v>
      </c>
      <c r="E288" s="143">
        <v>3.51298320592038E14</v>
      </c>
      <c r="F288" s="130" t="s">
        <v>1361</v>
      </c>
      <c r="G288" s="143" t="s">
        <v>11</v>
      </c>
      <c r="H288" s="126"/>
      <c r="I288" s="132"/>
      <c r="J288" s="146"/>
      <c r="K288" s="126"/>
      <c r="L288" s="148" t="s">
        <v>10</v>
      </c>
      <c r="M288" s="134" t="str">
        <f t="shared" si="1"/>
        <v>AVAILABLE</v>
      </c>
      <c r="N288" s="134" t="str">
        <f t="array" ref="N288">IF(M288="LOANED / ON KOL", INDEX('Step 3 FOC Request'!$G:$G, MATCH(1, ('Step 3 FOC Request'!$A:$A=W288) * ('Step 3 FOC Request'!$F:$F=E288), 0)), "-")</f>
        <v>-</v>
      </c>
      <c r="O288" s="126"/>
      <c r="P288" s="126"/>
      <c r="Q288" s="126"/>
      <c r="R288" s="126"/>
      <c r="U288" s="126"/>
      <c r="V288" s="126"/>
      <c r="W288" s="135">
        <f>MAXIFS('Step 3 FOC Request'!$A:$A, 'Step 3 FOC Request'!$F:$F, $E288)</f>
        <v>0</v>
      </c>
      <c r="X288" s="135">
        <f>MAXIFS('Step 4 FOC Return'!$A:$A, 'Step 4 FOC Return'!$E:$E, $E288)</f>
        <v>0</v>
      </c>
      <c r="Y288" s="126"/>
    </row>
    <row r="289">
      <c r="A289" s="126"/>
      <c r="B289" s="142">
        <v>46097.0</v>
      </c>
      <c r="C289" s="146"/>
      <c r="D289" s="143" t="s">
        <v>31</v>
      </c>
      <c r="E289" s="143">
        <v>3.51298320100204E14</v>
      </c>
      <c r="F289" s="130" t="s">
        <v>1361</v>
      </c>
      <c r="G289" s="143" t="s">
        <v>11</v>
      </c>
      <c r="H289" s="126"/>
      <c r="I289" s="132"/>
      <c r="J289" s="146"/>
      <c r="K289" s="126"/>
      <c r="L289" s="148" t="s">
        <v>10</v>
      </c>
      <c r="M289" s="134" t="str">
        <f t="shared" si="1"/>
        <v>AVAILABLE</v>
      </c>
      <c r="N289" s="134" t="str">
        <f t="array" ref="N289">IF(M289="LOANED / ON KOL", INDEX('Step 3 FOC Request'!$G:$G, MATCH(1, ('Step 3 FOC Request'!$A:$A=W289) * ('Step 3 FOC Request'!$F:$F=E289), 0)), "-")</f>
        <v>-</v>
      </c>
      <c r="O289" s="126"/>
      <c r="P289" s="126"/>
      <c r="Q289" s="126"/>
      <c r="R289" s="126"/>
      <c r="U289" s="126"/>
      <c r="V289" s="126"/>
      <c r="W289" s="135">
        <f>MAXIFS('Step 3 FOC Request'!$A:$A, 'Step 3 FOC Request'!$F:$F, $E289)</f>
        <v>0</v>
      </c>
      <c r="X289" s="135">
        <f>MAXIFS('Step 4 FOC Return'!$A:$A, 'Step 4 FOC Return'!$E:$E, $E289)</f>
        <v>0</v>
      </c>
      <c r="Y289" s="126"/>
    </row>
    <row r="290">
      <c r="A290" s="126"/>
      <c r="B290" s="154"/>
      <c r="C290" s="146"/>
      <c r="D290" s="146"/>
      <c r="E290" s="146"/>
      <c r="F290" s="155"/>
      <c r="G290" s="146"/>
      <c r="H290" s="126"/>
      <c r="I290" s="132"/>
      <c r="J290" s="146"/>
      <c r="K290" s="126"/>
      <c r="L290" s="126"/>
      <c r="M290" s="134" t="str">
        <f t="shared" si="1"/>
        <v/>
      </c>
      <c r="N290" s="134" t="str">
        <f t="array" ref="N290">IF(M290="LOANED / ON KOL", INDEX('Step 3 FOC Request'!$G:$G, MATCH(1, ('Step 3 FOC Request'!$A:$A=W290) * ('Step 3 FOC Request'!$F:$F=E290), 0)), "-")</f>
        <v>-</v>
      </c>
      <c r="O290" s="126"/>
      <c r="P290" s="126"/>
      <c r="Q290" s="126"/>
      <c r="R290" s="126"/>
      <c r="U290" s="126"/>
      <c r="V290" s="126"/>
      <c r="W290" s="135">
        <f>MAXIFS('Step 3 FOC Request'!$A:$A, 'Step 3 FOC Request'!$F:$F, $E290)</f>
        <v>0</v>
      </c>
      <c r="X290" s="135">
        <f>MAXIFS('Step 4 FOC Return'!$A:$A, 'Step 4 FOC Return'!$E:$E, $E290)</f>
        <v>0</v>
      </c>
      <c r="Y290" s="126"/>
    </row>
    <row r="291">
      <c r="A291" s="126"/>
      <c r="B291" s="154"/>
      <c r="C291" s="146"/>
      <c r="D291" s="146"/>
      <c r="E291" s="146"/>
      <c r="F291" s="155"/>
      <c r="G291" s="146"/>
      <c r="H291" s="126"/>
      <c r="I291" s="132"/>
      <c r="J291" s="146"/>
      <c r="K291" s="126"/>
      <c r="L291" s="126"/>
      <c r="M291" s="134" t="str">
        <f t="shared" si="1"/>
        <v/>
      </c>
      <c r="N291" s="134" t="str">
        <f t="array" ref="N291">IF(M291="LOANED / ON KOL", INDEX('Step 3 FOC Request'!$G:$G, MATCH(1, ('Step 3 FOC Request'!$A:$A=W291) * ('Step 3 FOC Request'!$F:$F=E291), 0)), "-")</f>
        <v>-</v>
      </c>
      <c r="O291" s="126"/>
      <c r="P291" s="126"/>
      <c r="Q291" s="126"/>
      <c r="R291" s="126"/>
      <c r="U291" s="126"/>
      <c r="V291" s="126"/>
      <c r="W291" s="135">
        <f>MAXIFS('Step 3 FOC Request'!$A:$A, 'Step 3 FOC Request'!$F:$F, $E291)</f>
        <v>0</v>
      </c>
      <c r="X291" s="135">
        <f>MAXIFS('Step 4 FOC Return'!$A:$A, 'Step 4 FOC Return'!$E:$E, $E291)</f>
        <v>0</v>
      </c>
      <c r="Y291" s="126"/>
    </row>
    <row r="292">
      <c r="A292" s="126"/>
      <c r="B292" s="154"/>
      <c r="C292" s="146"/>
      <c r="D292" s="146"/>
      <c r="E292" s="146"/>
      <c r="F292" s="155"/>
      <c r="G292" s="146"/>
      <c r="H292" s="126"/>
      <c r="I292" s="132"/>
      <c r="J292" s="146"/>
      <c r="K292" s="126"/>
      <c r="L292" s="126"/>
      <c r="M292" s="134" t="str">
        <f t="shared" si="1"/>
        <v/>
      </c>
      <c r="N292" s="134" t="str">
        <f t="array" ref="N292">IF(M292="LOANED / ON KOL", INDEX('Step 3 FOC Request'!$G:$G, MATCH(1, ('Step 3 FOC Request'!$A:$A=W292) * ('Step 3 FOC Request'!$F:$F=E292), 0)), "-")</f>
        <v>-</v>
      </c>
      <c r="O292" s="126"/>
      <c r="P292" s="126"/>
      <c r="Q292" s="126"/>
      <c r="R292" s="126"/>
      <c r="U292" s="126"/>
      <c r="V292" s="126"/>
      <c r="W292" s="135">
        <f>MAXIFS('Step 3 FOC Request'!$A:$A, 'Step 3 FOC Request'!$F:$F, $E292)</f>
        <v>0</v>
      </c>
      <c r="X292" s="135">
        <f>MAXIFS('Step 4 FOC Return'!$A:$A, 'Step 4 FOC Return'!$E:$E, $E292)</f>
        <v>0</v>
      </c>
      <c r="Y292" s="126"/>
    </row>
    <row r="293">
      <c r="A293" s="126"/>
      <c r="B293" s="154"/>
      <c r="C293" s="146"/>
      <c r="D293" s="146"/>
      <c r="E293" s="146"/>
      <c r="F293" s="155"/>
      <c r="G293" s="146"/>
      <c r="H293" s="126"/>
      <c r="I293" s="132"/>
      <c r="J293" s="146"/>
      <c r="K293" s="126"/>
      <c r="L293" s="126"/>
      <c r="M293" s="134" t="str">
        <f t="shared" si="1"/>
        <v/>
      </c>
      <c r="N293" s="134" t="str">
        <f t="array" ref="N293">IF(M293="LOANED / ON KOL", INDEX('Step 3 FOC Request'!$G:$G, MATCH(1, ('Step 3 FOC Request'!$A:$A=W293) * ('Step 3 FOC Request'!$F:$F=E293), 0)), "-")</f>
        <v>-</v>
      </c>
      <c r="O293" s="126"/>
      <c r="P293" s="126"/>
      <c r="Q293" s="126"/>
      <c r="R293" s="126"/>
      <c r="U293" s="126"/>
      <c r="V293" s="126"/>
      <c r="W293" s="135">
        <f>MAXIFS('Step 3 FOC Request'!$A:$A, 'Step 3 FOC Request'!$F:$F, $E293)</f>
        <v>0</v>
      </c>
      <c r="X293" s="135">
        <f>MAXIFS('Step 4 FOC Return'!$A:$A, 'Step 4 FOC Return'!$E:$E, $E293)</f>
        <v>0</v>
      </c>
      <c r="Y293" s="126"/>
    </row>
    <row r="294">
      <c r="A294" s="126"/>
      <c r="B294" s="154"/>
      <c r="C294" s="146"/>
      <c r="D294" s="146"/>
      <c r="E294" s="146"/>
      <c r="F294" s="155"/>
      <c r="G294" s="146"/>
      <c r="H294" s="126"/>
      <c r="I294" s="132"/>
      <c r="J294" s="146"/>
      <c r="K294" s="126"/>
      <c r="L294" s="126"/>
      <c r="M294" s="134" t="str">
        <f t="shared" si="1"/>
        <v/>
      </c>
      <c r="N294" s="134" t="str">
        <f t="array" ref="N294">IF(M294="LOANED / ON KOL", INDEX('Step 3 FOC Request'!$G:$G, MATCH(1, ('Step 3 FOC Request'!$A:$A=W294) * ('Step 3 FOC Request'!$F:$F=E294), 0)), "-")</f>
        <v>-</v>
      </c>
      <c r="O294" s="126"/>
      <c r="P294" s="126"/>
      <c r="Q294" s="126"/>
      <c r="R294" s="126"/>
      <c r="U294" s="126"/>
      <c r="V294" s="126"/>
      <c r="W294" s="135">
        <f>MAXIFS('Step 3 FOC Request'!$A:$A, 'Step 3 FOC Request'!$F:$F, $E294)</f>
        <v>0</v>
      </c>
      <c r="X294" s="135">
        <f>MAXIFS('Step 4 FOC Return'!$A:$A, 'Step 4 FOC Return'!$E:$E, $E294)</f>
        <v>0</v>
      </c>
      <c r="Y294" s="126"/>
    </row>
    <row r="295">
      <c r="A295" s="126"/>
      <c r="B295" s="154"/>
      <c r="C295" s="146"/>
      <c r="D295" s="146"/>
      <c r="E295" s="146"/>
      <c r="F295" s="155"/>
      <c r="G295" s="146"/>
      <c r="H295" s="126"/>
      <c r="I295" s="132"/>
      <c r="J295" s="146"/>
      <c r="K295" s="126"/>
      <c r="L295" s="126"/>
      <c r="M295" s="134" t="str">
        <f t="shared" si="1"/>
        <v/>
      </c>
      <c r="N295" s="134" t="str">
        <f t="array" ref="N295">IF(M295="LOANED / ON KOL", INDEX('Step 3 FOC Request'!$G:$G, MATCH(1, ('Step 3 FOC Request'!$A:$A=W295) * ('Step 3 FOC Request'!$F:$F=E295), 0)), "-")</f>
        <v>-</v>
      </c>
      <c r="O295" s="126"/>
      <c r="P295" s="126"/>
      <c r="Q295" s="126"/>
      <c r="R295" s="126"/>
      <c r="U295" s="126"/>
      <c r="V295" s="126"/>
      <c r="W295" s="135">
        <f>MAXIFS('Step 3 FOC Request'!$A:$A, 'Step 3 FOC Request'!$F:$F, $E295)</f>
        <v>0</v>
      </c>
      <c r="X295" s="135">
        <f>MAXIFS('Step 4 FOC Return'!$A:$A, 'Step 4 FOC Return'!$E:$E, $E295)</f>
        <v>0</v>
      </c>
      <c r="Y295" s="126"/>
    </row>
    <row r="296">
      <c r="A296" s="126"/>
      <c r="B296" s="154"/>
      <c r="C296" s="146"/>
      <c r="D296" s="146"/>
      <c r="E296" s="146"/>
      <c r="F296" s="155"/>
      <c r="G296" s="146"/>
      <c r="H296" s="126"/>
      <c r="I296" s="132"/>
      <c r="J296" s="146"/>
      <c r="K296" s="126"/>
      <c r="L296" s="126"/>
      <c r="M296" s="134" t="str">
        <f t="shared" si="1"/>
        <v/>
      </c>
      <c r="N296" s="134" t="str">
        <f t="array" ref="N296">IF(M296="LOANED / ON KOL", INDEX('Step 3 FOC Request'!$G:$G, MATCH(1, ('Step 3 FOC Request'!$A:$A=W296) * ('Step 3 FOC Request'!$F:$F=E296), 0)), "-")</f>
        <v>-</v>
      </c>
      <c r="O296" s="126"/>
      <c r="P296" s="126"/>
      <c r="Q296" s="126"/>
      <c r="R296" s="126"/>
      <c r="U296" s="126"/>
      <c r="V296" s="126"/>
      <c r="W296" s="135">
        <f>MAXIFS('Step 3 FOC Request'!$A:$A, 'Step 3 FOC Request'!$F:$F, $E296)</f>
        <v>0</v>
      </c>
      <c r="X296" s="135">
        <f>MAXIFS('Step 4 FOC Return'!$A:$A, 'Step 4 FOC Return'!$E:$E, $E296)</f>
        <v>0</v>
      </c>
      <c r="Y296" s="126"/>
    </row>
    <row r="297">
      <c r="A297" s="126"/>
      <c r="B297" s="154"/>
      <c r="C297" s="146"/>
      <c r="D297" s="146"/>
      <c r="E297" s="146"/>
      <c r="F297" s="155"/>
      <c r="G297" s="146"/>
      <c r="H297" s="126"/>
      <c r="I297" s="132"/>
      <c r="J297" s="146"/>
      <c r="K297" s="126"/>
      <c r="L297" s="126"/>
      <c r="M297" s="134" t="str">
        <f t="shared" si="1"/>
        <v/>
      </c>
      <c r="N297" s="134" t="str">
        <f t="array" ref="N297">IF(M297="LOANED / ON KOL", INDEX('Step 3 FOC Request'!$G:$G, MATCH(1, ('Step 3 FOC Request'!$A:$A=W297) * ('Step 3 FOC Request'!$F:$F=E297), 0)), "-")</f>
        <v>-</v>
      </c>
      <c r="O297" s="126"/>
      <c r="P297" s="126"/>
      <c r="Q297" s="126"/>
      <c r="R297" s="126"/>
      <c r="U297" s="126"/>
      <c r="V297" s="126"/>
      <c r="W297" s="135">
        <f>MAXIFS('Step 3 FOC Request'!$A:$A, 'Step 3 FOC Request'!$F:$F, $E297)</f>
        <v>0</v>
      </c>
      <c r="X297" s="135">
        <f>MAXIFS('Step 4 FOC Return'!$A:$A, 'Step 4 FOC Return'!$E:$E, $E297)</f>
        <v>0</v>
      </c>
      <c r="Y297" s="126"/>
    </row>
    <row r="298">
      <c r="A298" s="126"/>
      <c r="B298" s="154"/>
      <c r="C298" s="146"/>
      <c r="D298" s="146"/>
      <c r="E298" s="146"/>
      <c r="F298" s="155"/>
      <c r="G298" s="146"/>
      <c r="H298" s="126"/>
      <c r="I298" s="132"/>
      <c r="J298" s="146"/>
      <c r="K298" s="126"/>
      <c r="L298" s="126"/>
      <c r="M298" s="134" t="str">
        <f t="shared" si="1"/>
        <v/>
      </c>
      <c r="N298" s="134" t="str">
        <f t="array" ref="N298">IF(M298="LOANED / ON KOL", INDEX('Step 3 FOC Request'!$G:$G, MATCH(1, ('Step 3 FOC Request'!$A:$A=W298) * ('Step 3 FOC Request'!$F:$F=E298), 0)), "-")</f>
        <v>-</v>
      </c>
      <c r="O298" s="126"/>
      <c r="P298" s="126"/>
      <c r="Q298" s="126"/>
      <c r="R298" s="126"/>
      <c r="U298" s="126"/>
      <c r="V298" s="126"/>
      <c r="W298" s="135">
        <f>MAXIFS('Step 3 FOC Request'!$A:$A, 'Step 3 FOC Request'!$F:$F, $E298)</f>
        <v>0</v>
      </c>
      <c r="X298" s="135">
        <f>MAXIFS('Step 4 FOC Return'!$A:$A, 'Step 4 FOC Return'!$E:$E, $E298)</f>
        <v>0</v>
      </c>
      <c r="Y298" s="126"/>
    </row>
    <row r="299">
      <c r="A299" s="126"/>
      <c r="B299" s="154"/>
      <c r="C299" s="146"/>
      <c r="D299" s="146"/>
      <c r="E299" s="146"/>
      <c r="F299" s="155"/>
      <c r="G299" s="146"/>
      <c r="H299" s="126"/>
      <c r="I299" s="132"/>
      <c r="J299" s="146"/>
      <c r="K299" s="126"/>
      <c r="L299" s="126"/>
      <c r="M299" s="134" t="str">
        <f t="shared" si="1"/>
        <v/>
      </c>
      <c r="N299" s="134" t="str">
        <f t="array" ref="N299">IF(M299="LOANED / ON KOL", INDEX('Step 3 FOC Request'!$G:$G, MATCH(1, ('Step 3 FOC Request'!$A:$A=W299) * ('Step 3 FOC Request'!$F:$F=E299), 0)), "-")</f>
        <v>-</v>
      </c>
      <c r="O299" s="126"/>
      <c r="P299" s="126"/>
      <c r="Q299" s="126"/>
      <c r="R299" s="126"/>
      <c r="U299" s="126"/>
      <c r="V299" s="126"/>
      <c r="W299" s="135">
        <f>MAXIFS('Step 3 FOC Request'!$A:$A, 'Step 3 FOC Request'!$F:$F, $E299)</f>
        <v>0</v>
      </c>
      <c r="X299" s="135">
        <f>MAXIFS('Step 4 FOC Return'!$A:$A, 'Step 4 FOC Return'!$E:$E, $E299)</f>
        <v>0</v>
      </c>
      <c r="Y299" s="126"/>
    </row>
    <row r="300">
      <c r="A300" s="126"/>
      <c r="B300" s="154"/>
      <c r="C300" s="146"/>
      <c r="D300" s="146"/>
      <c r="E300" s="146"/>
      <c r="F300" s="155"/>
      <c r="G300" s="146"/>
      <c r="H300" s="126"/>
      <c r="I300" s="132"/>
      <c r="J300" s="146"/>
      <c r="K300" s="126"/>
      <c r="L300" s="126"/>
      <c r="M300" s="134" t="str">
        <f t="shared" si="1"/>
        <v/>
      </c>
      <c r="N300" s="134" t="str">
        <f t="array" ref="N300">IF(M300="LOANED / ON KOL", INDEX('Step 3 FOC Request'!$G:$G, MATCH(1, ('Step 3 FOC Request'!$A:$A=W300) * ('Step 3 FOC Request'!$F:$F=E300), 0)), "-")</f>
        <v>-</v>
      </c>
      <c r="O300" s="126"/>
      <c r="P300" s="126"/>
      <c r="Q300" s="126"/>
      <c r="R300" s="126"/>
      <c r="U300" s="126"/>
      <c r="V300" s="126"/>
      <c r="W300" s="135">
        <f>MAXIFS('Step 3 FOC Request'!$A:$A, 'Step 3 FOC Request'!$F:$F, $E300)</f>
        <v>0</v>
      </c>
      <c r="X300" s="135">
        <f>MAXIFS('Step 4 FOC Return'!$A:$A, 'Step 4 FOC Return'!$E:$E, $E300)</f>
        <v>0</v>
      </c>
      <c r="Y300" s="126"/>
    </row>
    <row r="301">
      <c r="A301" s="126"/>
      <c r="B301" s="154"/>
      <c r="C301" s="146"/>
      <c r="D301" s="146"/>
      <c r="E301" s="146"/>
      <c r="F301" s="155"/>
      <c r="G301" s="146"/>
      <c r="H301" s="126"/>
      <c r="I301" s="132"/>
      <c r="J301" s="146"/>
      <c r="K301" s="126"/>
      <c r="L301" s="126"/>
      <c r="M301" s="134" t="str">
        <f t="shared" si="1"/>
        <v/>
      </c>
      <c r="N301" s="134" t="str">
        <f t="array" ref="N301">IF(M301="LOANED / ON KOL", INDEX('Step 3 FOC Request'!$G:$G, MATCH(1, ('Step 3 FOC Request'!$A:$A=W301) * ('Step 3 FOC Request'!$F:$F=E301), 0)), "-")</f>
        <v>-</v>
      </c>
      <c r="O301" s="126"/>
      <c r="P301" s="126"/>
      <c r="Q301" s="126"/>
      <c r="R301" s="126"/>
      <c r="U301" s="126"/>
      <c r="V301" s="126"/>
      <c r="W301" s="135">
        <f>MAXIFS('Step 3 FOC Request'!$A:$A, 'Step 3 FOC Request'!$F:$F, $E301)</f>
        <v>0</v>
      </c>
      <c r="X301" s="135">
        <f>MAXIFS('Step 4 FOC Return'!$A:$A, 'Step 4 FOC Return'!$E:$E, $E301)</f>
        <v>0</v>
      </c>
      <c r="Y301" s="126"/>
    </row>
    <row r="302">
      <c r="A302" s="126"/>
      <c r="B302" s="154"/>
      <c r="C302" s="146"/>
      <c r="D302" s="146"/>
      <c r="E302" s="146"/>
      <c r="F302" s="155"/>
      <c r="G302" s="146"/>
      <c r="H302" s="126"/>
      <c r="I302" s="132"/>
      <c r="J302" s="146"/>
      <c r="K302" s="126"/>
      <c r="L302" s="126"/>
      <c r="M302" s="134" t="str">
        <f t="shared" si="1"/>
        <v/>
      </c>
      <c r="N302" s="134" t="str">
        <f t="array" ref="N302">IF(M302="LOANED / ON KOL", INDEX('Step 3 FOC Request'!$G:$G, MATCH(1, ('Step 3 FOC Request'!$A:$A=W302) * ('Step 3 FOC Request'!$F:$F=E302), 0)), "-")</f>
        <v>-</v>
      </c>
      <c r="O302" s="126"/>
      <c r="P302" s="126"/>
      <c r="Q302" s="126"/>
      <c r="R302" s="126"/>
      <c r="U302" s="126"/>
      <c r="V302" s="126"/>
      <c r="W302" s="135">
        <f>MAXIFS('Step 3 FOC Request'!$A:$A, 'Step 3 FOC Request'!$F:$F, $E302)</f>
        <v>0</v>
      </c>
      <c r="X302" s="135">
        <f>MAXIFS('Step 4 FOC Return'!$A:$A, 'Step 4 FOC Return'!$E:$E, $E302)</f>
        <v>0</v>
      </c>
      <c r="Y302" s="126"/>
    </row>
    <row r="303">
      <c r="A303" s="126"/>
      <c r="B303" s="154"/>
      <c r="C303" s="146"/>
      <c r="D303" s="146"/>
      <c r="E303" s="146"/>
      <c r="F303" s="155"/>
      <c r="G303" s="146"/>
      <c r="H303" s="126"/>
      <c r="I303" s="132"/>
      <c r="J303" s="146"/>
      <c r="K303" s="126"/>
      <c r="L303" s="126"/>
      <c r="M303" s="134" t="str">
        <f t="shared" si="1"/>
        <v/>
      </c>
      <c r="N303" s="134" t="str">
        <f t="array" ref="N303">IF(M303="LOANED / ON KOL", INDEX('Step 3 FOC Request'!$G:$G, MATCH(1, ('Step 3 FOC Request'!$A:$A=W303) * ('Step 3 FOC Request'!$F:$F=E303), 0)), "-")</f>
        <v>-</v>
      </c>
      <c r="O303" s="126"/>
      <c r="P303" s="126"/>
      <c r="Q303" s="126"/>
      <c r="R303" s="126"/>
      <c r="U303" s="126"/>
      <c r="V303" s="126"/>
      <c r="W303" s="135">
        <f>MAXIFS('Step 3 FOC Request'!$A:$A, 'Step 3 FOC Request'!$F:$F, $E303)</f>
        <v>0</v>
      </c>
      <c r="X303" s="135">
        <f>MAXIFS('Step 4 FOC Return'!$A:$A, 'Step 4 FOC Return'!$E:$E, $E303)</f>
        <v>0</v>
      </c>
      <c r="Y303" s="126"/>
    </row>
    <row r="304">
      <c r="A304" s="126"/>
      <c r="B304" s="154"/>
      <c r="C304" s="146"/>
      <c r="D304" s="146"/>
      <c r="E304" s="146"/>
      <c r="F304" s="155"/>
      <c r="G304" s="146"/>
      <c r="H304" s="126"/>
      <c r="I304" s="132"/>
      <c r="J304" s="146"/>
      <c r="K304" s="126"/>
      <c r="L304" s="126"/>
      <c r="M304" s="134" t="str">
        <f t="shared" si="1"/>
        <v/>
      </c>
      <c r="N304" s="134" t="str">
        <f t="array" ref="N304">IF(M304="LOANED / ON KOL", INDEX('Step 3 FOC Request'!$G:$G, MATCH(1, ('Step 3 FOC Request'!$A:$A=W304) * ('Step 3 FOC Request'!$F:$F=E304), 0)), "-")</f>
        <v>-</v>
      </c>
      <c r="O304" s="126"/>
      <c r="P304" s="126"/>
      <c r="Q304" s="126"/>
      <c r="R304" s="126"/>
      <c r="U304" s="126"/>
      <c r="V304" s="126"/>
      <c r="W304" s="135">
        <f>MAXIFS('Step 3 FOC Request'!$A:$A, 'Step 3 FOC Request'!$F:$F, $E304)</f>
        <v>0</v>
      </c>
      <c r="X304" s="135">
        <f>MAXIFS('Step 4 FOC Return'!$A:$A, 'Step 4 FOC Return'!$E:$E, $E304)</f>
        <v>0</v>
      </c>
      <c r="Y304" s="126"/>
    </row>
    <row r="305">
      <c r="A305" s="126"/>
      <c r="B305" s="154"/>
      <c r="C305" s="146"/>
      <c r="D305" s="146"/>
      <c r="E305" s="146"/>
      <c r="F305" s="155"/>
      <c r="G305" s="146"/>
      <c r="H305" s="126"/>
      <c r="I305" s="132"/>
      <c r="J305" s="146"/>
      <c r="K305" s="126"/>
      <c r="L305" s="126"/>
      <c r="M305" s="134" t="str">
        <f t="shared" si="1"/>
        <v/>
      </c>
      <c r="N305" s="134" t="str">
        <f t="array" ref="N305">IF(M305="LOANED / ON KOL", INDEX('Step 3 FOC Request'!$G:$G, MATCH(1, ('Step 3 FOC Request'!$A:$A=W305) * ('Step 3 FOC Request'!$F:$F=E305), 0)), "-")</f>
        <v>-</v>
      </c>
      <c r="O305" s="126"/>
      <c r="P305" s="126"/>
      <c r="Q305" s="126"/>
      <c r="R305" s="126"/>
      <c r="U305" s="126"/>
      <c r="V305" s="126"/>
      <c r="W305" s="135">
        <f>MAXIFS('Step 3 FOC Request'!$A:$A, 'Step 3 FOC Request'!$F:$F, $E305)</f>
        <v>0</v>
      </c>
      <c r="X305" s="135">
        <f>MAXIFS('Step 4 FOC Return'!$A:$A, 'Step 4 FOC Return'!$E:$E, $E305)</f>
        <v>0</v>
      </c>
      <c r="Y305" s="126"/>
    </row>
    <row r="306">
      <c r="A306" s="126"/>
      <c r="B306" s="154"/>
      <c r="C306" s="146"/>
      <c r="D306" s="146"/>
      <c r="E306" s="146"/>
      <c r="F306" s="155"/>
      <c r="G306" s="146"/>
      <c r="H306" s="126"/>
      <c r="I306" s="132"/>
      <c r="J306" s="146"/>
      <c r="K306" s="126"/>
      <c r="L306" s="126"/>
      <c r="M306" s="134" t="str">
        <f t="shared" si="1"/>
        <v/>
      </c>
      <c r="N306" s="134" t="str">
        <f t="array" ref="N306">IF(M306="LOANED / ON KOL", INDEX('Step 3 FOC Request'!$G:$G, MATCH(1, ('Step 3 FOC Request'!$A:$A=W306) * ('Step 3 FOC Request'!$F:$F=E306), 0)), "-")</f>
        <v>-</v>
      </c>
      <c r="O306" s="126"/>
      <c r="P306" s="126"/>
      <c r="Q306" s="126"/>
      <c r="R306" s="126"/>
      <c r="U306" s="126"/>
      <c r="V306" s="126"/>
      <c r="W306" s="135">
        <f>MAXIFS('Step 3 FOC Request'!$A:$A, 'Step 3 FOC Request'!$F:$F, $E306)</f>
        <v>0</v>
      </c>
      <c r="X306" s="135">
        <f>MAXIFS('Step 4 FOC Return'!$A:$A, 'Step 4 FOC Return'!$E:$E, $E306)</f>
        <v>0</v>
      </c>
      <c r="Y306" s="126"/>
    </row>
    <row r="307">
      <c r="A307" s="126"/>
      <c r="B307" s="154"/>
      <c r="C307" s="146"/>
      <c r="D307" s="146"/>
      <c r="E307" s="146"/>
      <c r="F307" s="155"/>
      <c r="G307" s="146"/>
      <c r="H307" s="126"/>
      <c r="I307" s="132"/>
      <c r="J307" s="146"/>
      <c r="K307" s="126"/>
      <c r="L307" s="126"/>
      <c r="M307" s="134" t="str">
        <f t="shared" si="1"/>
        <v/>
      </c>
      <c r="N307" s="134" t="str">
        <f t="array" ref="N307">IF(M307="LOANED / ON KOL", INDEX('Step 3 FOC Request'!$G:$G, MATCH(1, ('Step 3 FOC Request'!$A:$A=W307) * ('Step 3 FOC Request'!$F:$F=E307), 0)), "-")</f>
        <v>-</v>
      </c>
      <c r="O307" s="126"/>
      <c r="P307" s="126"/>
      <c r="Q307" s="126"/>
      <c r="R307" s="126"/>
      <c r="U307" s="126"/>
      <c r="V307" s="126"/>
      <c r="W307" s="135">
        <f>MAXIFS('Step 3 FOC Request'!$A:$A, 'Step 3 FOC Request'!$F:$F, $E307)</f>
        <v>0</v>
      </c>
      <c r="X307" s="135">
        <f>MAXIFS('Step 4 FOC Return'!$A:$A, 'Step 4 FOC Return'!$E:$E, $E307)</f>
        <v>0</v>
      </c>
      <c r="Y307" s="126"/>
    </row>
    <row r="308">
      <c r="A308" s="126"/>
      <c r="B308" s="154"/>
      <c r="C308" s="146"/>
      <c r="D308" s="146"/>
      <c r="E308" s="146"/>
      <c r="F308" s="155"/>
      <c r="G308" s="146"/>
      <c r="H308" s="126"/>
      <c r="I308" s="132"/>
      <c r="J308" s="146"/>
      <c r="K308" s="126"/>
      <c r="L308" s="126"/>
      <c r="M308" s="134" t="str">
        <f t="shared" si="1"/>
        <v/>
      </c>
      <c r="N308" s="134" t="str">
        <f t="array" ref="N308">IF(M308="LOANED / ON KOL", INDEX('Step 3 FOC Request'!$G:$G, MATCH(1, ('Step 3 FOC Request'!$A:$A=W308) * ('Step 3 FOC Request'!$F:$F=E308), 0)), "-")</f>
        <v>-</v>
      </c>
      <c r="O308" s="126"/>
      <c r="P308" s="126"/>
      <c r="Q308" s="126"/>
      <c r="R308" s="126"/>
      <c r="U308" s="126"/>
      <c r="V308" s="126"/>
      <c r="W308" s="135">
        <f>MAXIFS('Step 3 FOC Request'!$A:$A, 'Step 3 FOC Request'!$F:$F, $E308)</f>
        <v>0</v>
      </c>
      <c r="X308" s="135">
        <f>MAXIFS('Step 4 FOC Return'!$A:$A, 'Step 4 FOC Return'!$E:$E, $E308)</f>
        <v>0</v>
      </c>
      <c r="Y308" s="126"/>
    </row>
    <row r="309">
      <c r="A309" s="126"/>
      <c r="B309" s="154"/>
      <c r="C309" s="146"/>
      <c r="D309" s="146"/>
      <c r="E309" s="146"/>
      <c r="F309" s="155"/>
      <c r="G309" s="146"/>
      <c r="H309" s="126"/>
      <c r="I309" s="132"/>
      <c r="J309" s="146"/>
      <c r="K309" s="126"/>
      <c r="L309" s="126"/>
      <c r="M309" s="134" t="str">
        <f t="shared" si="1"/>
        <v/>
      </c>
      <c r="N309" s="134" t="str">
        <f t="array" ref="N309">IF(M309="LOANED / ON KOL", INDEX('Step 3 FOC Request'!$G:$G, MATCH(1, ('Step 3 FOC Request'!$A:$A=W309) * ('Step 3 FOC Request'!$F:$F=E309), 0)), "-")</f>
        <v>-</v>
      </c>
      <c r="O309" s="126"/>
      <c r="P309" s="126"/>
      <c r="Q309" s="126"/>
      <c r="R309" s="126"/>
      <c r="U309" s="126"/>
      <c r="V309" s="126"/>
      <c r="W309" s="135">
        <f>MAXIFS('Step 3 FOC Request'!$A:$A, 'Step 3 FOC Request'!$F:$F, $E309)</f>
        <v>0</v>
      </c>
      <c r="X309" s="135">
        <f>MAXIFS('Step 4 FOC Return'!$A:$A, 'Step 4 FOC Return'!$E:$E, $E309)</f>
        <v>0</v>
      </c>
      <c r="Y309" s="126"/>
    </row>
    <row r="310">
      <c r="A310" s="126"/>
      <c r="B310" s="154"/>
      <c r="C310" s="146"/>
      <c r="D310" s="146"/>
      <c r="E310" s="146"/>
      <c r="F310" s="155"/>
      <c r="G310" s="146"/>
      <c r="H310" s="126"/>
      <c r="I310" s="132"/>
      <c r="J310" s="146"/>
      <c r="K310" s="126"/>
      <c r="L310" s="126"/>
      <c r="M310" s="134" t="str">
        <f t="shared" si="1"/>
        <v/>
      </c>
      <c r="N310" s="134" t="str">
        <f t="array" ref="N310">IF(M310="LOANED / ON KOL", INDEX('Step 3 FOC Request'!$G:$G, MATCH(1, ('Step 3 FOC Request'!$A:$A=W310) * ('Step 3 FOC Request'!$F:$F=E310), 0)), "-")</f>
        <v>-</v>
      </c>
      <c r="O310" s="126"/>
      <c r="P310" s="126"/>
      <c r="Q310" s="126"/>
      <c r="R310" s="126"/>
      <c r="U310" s="126"/>
      <c r="V310" s="126"/>
      <c r="W310" s="135">
        <f>MAXIFS('Step 3 FOC Request'!$A:$A, 'Step 3 FOC Request'!$F:$F, $E310)</f>
        <v>0</v>
      </c>
      <c r="X310" s="135">
        <f>MAXIFS('Step 4 FOC Return'!$A:$A, 'Step 4 FOC Return'!$E:$E, $E310)</f>
        <v>0</v>
      </c>
      <c r="Y310" s="126"/>
    </row>
    <row r="311">
      <c r="A311" s="126"/>
      <c r="B311" s="154"/>
      <c r="C311" s="146"/>
      <c r="D311" s="146"/>
      <c r="E311" s="146"/>
      <c r="F311" s="155"/>
      <c r="G311" s="146"/>
      <c r="H311" s="126"/>
      <c r="I311" s="132"/>
      <c r="J311" s="146"/>
      <c r="K311" s="126"/>
      <c r="L311" s="126"/>
      <c r="M311" s="134" t="str">
        <f t="shared" si="1"/>
        <v/>
      </c>
      <c r="N311" s="134" t="str">
        <f t="array" ref="N311">IF(M311="LOANED / ON KOL", INDEX('Step 3 FOC Request'!$G:$G, MATCH(1, ('Step 3 FOC Request'!$A:$A=W311) * ('Step 3 FOC Request'!$F:$F=E311), 0)), "-")</f>
        <v>-</v>
      </c>
      <c r="O311" s="126"/>
      <c r="P311" s="126"/>
      <c r="Q311" s="126"/>
      <c r="R311" s="126"/>
      <c r="U311" s="126"/>
      <c r="V311" s="126"/>
      <c r="W311" s="135">
        <f>MAXIFS('Step 3 FOC Request'!$A:$A, 'Step 3 FOC Request'!$F:$F, $E311)</f>
        <v>0</v>
      </c>
      <c r="X311" s="135">
        <f>MAXIFS('Step 4 FOC Return'!$A:$A, 'Step 4 FOC Return'!$E:$E, $E311)</f>
        <v>0</v>
      </c>
      <c r="Y311" s="126"/>
    </row>
    <row r="312">
      <c r="A312" s="126"/>
      <c r="B312" s="154"/>
      <c r="C312" s="146"/>
      <c r="D312" s="146"/>
      <c r="E312" s="146"/>
      <c r="F312" s="155"/>
      <c r="G312" s="146"/>
      <c r="H312" s="126"/>
      <c r="I312" s="132"/>
      <c r="J312" s="146"/>
      <c r="K312" s="126"/>
      <c r="L312" s="126"/>
      <c r="M312" s="134" t="str">
        <f t="shared" si="1"/>
        <v/>
      </c>
      <c r="N312" s="134" t="str">
        <f t="array" ref="N312">IF(M312="LOANED / ON KOL", INDEX('Step 3 FOC Request'!$G:$G, MATCH(1, ('Step 3 FOC Request'!$A:$A=W312) * ('Step 3 FOC Request'!$F:$F=E312), 0)), "-")</f>
        <v>-</v>
      </c>
      <c r="O312" s="126"/>
      <c r="P312" s="126"/>
      <c r="Q312" s="126"/>
      <c r="R312" s="126"/>
      <c r="U312" s="126"/>
      <c r="V312" s="126"/>
      <c r="W312" s="135">
        <f>MAXIFS('Step 3 FOC Request'!$A:$A, 'Step 3 FOC Request'!$F:$F, $E312)</f>
        <v>0</v>
      </c>
      <c r="X312" s="135">
        <f>MAXIFS('Step 4 FOC Return'!$A:$A, 'Step 4 FOC Return'!$E:$E, $E312)</f>
        <v>0</v>
      </c>
      <c r="Y312" s="126"/>
    </row>
    <row r="313">
      <c r="A313" s="126"/>
      <c r="B313" s="154"/>
      <c r="C313" s="146"/>
      <c r="D313" s="146"/>
      <c r="E313" s="146"/>
      <c r="F313" s="155"/>
      <c r="G313" s="146"/>
      <c r="H313" s="126"/>
      <c r="I313" s="132"/>
      <c r="J313" s="146"/>
      <c r="K313" s="126"/>
      <c r="L313" s="126"/>
      <c r="M313" s="134" t="str">
        <f t="shared" si="1"/>
        <v/>
      </c>
      <c r="N313" s="134" t="str">
        <f t="array" ref="N313">IF(M313="LOANED / ON KOL", INDEX('Step 3 FOC Request'!$G:$G, MATCH(1, ('Step 3 FOC Request'!$A:$A=W313) * ('Step 3 FOC Request'!$F:$F=E313), 0)), "-")</f>
        <v>-</v>
      </c>
      <c r="O313" s="126"/>
      <c r="P313" s="126"/>
      <c r="Q313" s="126"/>
      <c r="R313" s="126"/>
      <c r="U313" s="126"/>
      <c r="V313" s="126"/>
      <c r="W313" s="135">
        <f>MAXIFS('Step 3 FOC Request'!$A:$A, 'Step 3 FOC Request'!$F:$F, $E313)</f>
        <v>0</v>
      </c>
      <c r="X313" s="135">
        <f>MAXIFS('Step 4 FOC Return'!$A:$A, 'Step 4 FOC Return'!$E:$E, $E313)</f>
        <v>0</v>
      </c>
      <c r="Y313" s="126"/>
    </row>
    <row r="314">
      <c r="A314" s="126"/>
      <c r="B314" s="154"/>
      <c r="C314" s="146"/>
      <c r="D314" s="146"/>
      <c r="E314" s="146"/>
      <c r="F314" s="155"/>
      <c r="G314" s="146"/>
      <c r="H314" s="126"/>
      <c r="I314" s="132"/>
      <c r="J314" s="146"/>
      <c r="K314" s="126"/>
      <c r="L314" s="126"/>
      <c r="M314" s="134" t="str">
        <f t="shared" si="1"/>
        <v/>
      </c>
      <c r="N314" s="134" t="str">
        <f t="array" ref="N314">IF(M314="LOANED / ON KOL", INDEX('Step 3 FOC Request'!$G:$G, MATCH(1, ('Step 3 FOC Request'!$A:$A=W314) * ('Step 3 FOC Request'!$F:$F=E314), 0)), "-")</f>
        <v>-</v>
      </c>
      <c r="O314" s="126"/>
      <c r="P314" s="126"/>
      <c r="Q314" s="126"/>
      <c r="R314" s="126"/>
      <c r="U314" s="126"/>
      <c r="V314" s="126"/>
      <c r="W314" s="135">
        <f>MAXIFS('Step 3 FOC Request'!$A:$A, 'Step 3 FOC Request'!$F:$F, $E314)</f>
        <v>0</v>
      </c>
      <c r="X314" s="135">
        <f>MAXIFS('Step 4 FOC Return'!$A:$A, 'Step 4 FOC Return'!$E:$E, $E314)</f>
        <v>0</v>
      </c>
      <c r="Y314" s="126"/>
    </row>
    <row r="315">
      <c r="A315" s="126"/>
      <c r="B315" s="154"/>
      <c r="C315" s="146"/>
      <c r="D315" s="146"/>
      <c r="E315" s="146"/>
      <c r="F315" s="155"/>
      <c r="G315" s="146"/>
      <c r="H315" s="126"/>
      <c r="I315" s="132"/>
      <c r="J315" s="146"/>
      <c r="K315" s="126"/>
      <c r="L315" s="126"/>
      <c r="M315" s="134" t="str">
        <f t="shared" si="1"/>
        <v/>
      </c>
      <c r="N315" s="134" t="str">
        <f t="array" ref="N315">IF(M315="LOANED / ON KOL", INDEX('Step 3 FOC Request'!$G:$G, MATCH(1, ('Step 3 FOC Request'!$A:$A=W315) * ('Step 3 FOC Request'!$F:$F=E315), 0)), "-")</f>
        <v>-</v>
      </c>
      <c r="O315" s="126"/>
      <c r="P315" s="126"/>
      <c r="Q315" s="126"/>
      <c r="R315" s="126"/>
      <c r="U315" s="126"/>
      <c r="V315" s="126"/>
      <c r="W315" s="135">
        <f>MAXIFS('Step 3 FOC Request'!$A:$A, 'Step 3 FOC Request'!$F:$F, $E315)</f>
        <v>0</v>
      </c>
      <c r="X315" s="135">
        <f>MAXIFS('Step 4 FOC Return'!$A:$A, 'Step 4 FOC Return'!$E:$E, $E315)</f>
        <v>0</v>
      </c>
      <c r="Y315" s="126"/>
    </row>
    <row r="316">
      <c r="A316" s="126"/>
      <c r="B316" s="154"/>
      <c r="C316" s="146"/>
      <c r="D316" s="146"/>
      <c r="E316" s="146"/>
      <c r="F316" s="155"/>
      <c r="G316" s="146"/>
      <c r="H316" s="126"/>
      <c r="I316" s="132"/>
      <c r="J316" s="146"/>
      <c r="K316" s="126"/>
      <c r="L316" s="126"/>
      <c r="M316" s="134" t="str">
        <f t="shared" si="1"/>
        <v/>
      </c>
      <c r="N316" s="134" t="str">
        <f t="array" ref="N316">IF(M316="LOANED / ON KOL", INDEX('Step 3 FOC Request'!$G:$G, MATCH(1, ('Step 3 FOC Request'!$A:$A=W316) * ('Step 3 FOC Request'!$F:$F=E316), 0)), "-")</f>
        <v>-</v>
      </c>
      <c r="O316" s="126"/>
      <c r="P316" s="126"/>
      <c r="Q316" s="126"/>
      <c r="R316" s="126"/>
      <c r="U316" s="126"/>
      <c r="V316" s="126"/>
      <c r="W316" s="135">
        <f>MAXIFS('Step 3 FOC Request'!$A:$A, 'Step 3 FOC Request'!$F:$F, $E316)</f>
        <v>0</v>
      </c>
      <c r="X316" s="135">
        <f>MAXIFS('Step 4 FOC Return'!$A:$A, 'Step 4 FOC Return'!$E:$E, $E316)</f>
        <v>0</v>
      </c>
      <c r="Y316" s="126"/>
    </row>
    <row r="317">
      <c r="A317" s="126"/>
      <c r="B317" s="154"/>
      <c r="C317" s="146"/>
      <c r="D317" s="146"/>
      <c r="E317" s="146"/>
      <c r="F317" s="155"/>
      <c r="G317" s="146"/>
      <c r="H317" s="126"/>
      <c r="I317" s="132"/>
      <c r="J317" s="146"/>
      <c r="K317" s="126"/>
      <c r="L317" s="126"/>
      <c r="M317" s="134" t="str">
        <f t="shared" si="1"/>
        <v/>
      </c>
      <c r="N317" s="134" t="str">
        <f t="array" ref="N317">IF(M317="LOANED / ON KOL", INDEX('Step 3 FOC Request'!$G:$G, MATCH(1, ('Step 3 FOC Request'!$A:$A=W317) * ('Step 3 FOC Request'!$F:$F=E317), 0)), "-")</f>
        <v>-</v>
      </c>
      <c r="O317" s="126"/>
      <c r="P317" s="126"/>
      <c r="Q317" s="126"/>
      <c r="R317" s="126"/>
      <c r="U317" s="126"/>
      <c r="V317" s="126"/>
      <c r="W317" s="135">
        <f>MAXIFS('Step 3 FOC Request'!$A:$A, 'Step 3 FOC Request'!$F:$F, $E317)</f>
        <v>0</v>
      </c>
      <c r="X317" s="135">
        <f>MAXIFS('Step 4 FOC Return'!$A:$A, 'Step 4 FOC Return'!$E:$E, $E317)</f>
        <v>0</v>
      </c>
      <c r="Y317" s="126"/>
    </row>
    <row r="318">
      <c r="A318" s="126"/>
      <c r="B318" s="154"/>
      <c r="C318" s="146"/>
      <c r="D318" s="146"/>
      <c r="E318" s="146"/>
      <c r="F318" s="155"/>
      <c r="G318" s="146"/>
      <c r="H318" s="126"/>
      <c r="I318" s="132"/>
      <c r="J318" s="146"/>
      <c r="K318" s="126"/>
      <c r="L318" s="126"/>
      <c r="M318" s="134" t="str">
        <f t="shared" si="1"/>
        <v/>
      </c>
      <c r="N318" s="134" t="str">
        <f t="array" ref="N318">IF(M318="LOANED / ON KOL", INDEX('Step 3 FOC Request'!$G:$G, MATCH(1, ('Step 3 FOC Request'!$A:$A=W318) * ('Step 3 FOC Request'!$F:$F=E318), 0)), "-")</f>
        <v>-</v>
      </c>
      <c r="O318" s="126"/>
      <c r="P318" s="126"/>
      <c r="Q318" s="126"/>
      <c r="R318" s="126"/>
      <c r="U318" s="126"/>
      <c r="V318" s="126"/>
      <c r="W318" s="135">
        <f>MAXIFS('Step 3 FOC Request'!$A:$A, 'Step 3 FOC Request'!$F:$F, $E318)</f>
        <v>0</v>
      </c>
      <c r="X318" s="135">
        <f>MAXIFS('Step 4 FOC Return'!$A:$A, 'Step 4 FOC Return'!$E:$E, $E318)</f>
        <v>0</v>
      </c>
      <c r="Y318" s="126"/>
    </row>
    <row r="319">
      <c r="A319" s="126"/>
      <c r="B319" s="154"/>
      <c r="C319" s="146"/>
      <c r="D319" s="146"/>
      <c r="E319" s="146"/>
      <c r="F319" s="155"/>
      <c r="G319" s="146"/>
      <c r="H319" s="126"/>
      <c r="I319" s="132"/>
      <c r="J319" s="146"/>
      <c r="K319" s="126"/>
      <c r="L319" s="126"/>
      <c r="M319" s="134" t="str">
        <f t="shared" si="1"/>
        <v/>
      </c>
      <c r="N319" s="134" t="str">
        <f t="array" ref="N319">IF(M319="LOANED / ON KOL", INDEX('Step 3 FOC Request'!$G:$G, MATCH(1, ('Step 3 FOC Request'!$A:$A=W319) * ('Step 3 FOC Request'!$F:$F=E319), 0)), "-")</f>
        <v>-</v>
      </c>
      <c r="O319" s="126"/>
      <c r="P319" s="126"/>
      <c r="Q319" s="126"/>
      <c r="R319" s="126"/>
      <c r="U319" s="126"/>
      <c r="V319" s="126"/>
      <c r="W319" s="135">
        <f>MAXIFS('Step 3 FOC Request'!$A:$A, 'Step 3 FOC Request'!$F:$F, $E319)</f>
        <v>0</v>
      </c>
      <c r="X319" s="135">
        <f>MAXIFS('Step 4 FOC Return'!$A:$A, 'Step 4 FOC Return'!$E:$E, $E319)</f>
        <v>0</v>
      </c>
      <c r="Y319" s="126"/>
    </row>
    <row r="320">
      <c r="A320" s="126"/>
      <c r="B320" s="154"/>
      <c r="C320" s="146"/>
      <c r="D320" s="146"/>
      <c r="E320" s="146"/>
      <c r="F320" s="155"/>
      <c r="G320" s="146"/>
      <c r="H320" s="126"/>
      <c r="I320" s="132"/>
      <c r="J320" s="146"/>
      <c r="K320" s="126"/>
      <c r="L320" s="126"/>
      <c r="M320" s="134" t="str">
        <f t="shared" si="1"/>
        <v/>
      </c>
      <c r="N320" s="134" t="str">
        <f t="array" ref="N320">IF(M320="LOANED / ON KOL", INDEX('Step 3 FOC Request'!$G:$G, MATCH(1, ('Step 3 FOC Request'!$A:$A=W320) * ('Step 3 FOC Request'!$F:$F=E320), 0)), "-")</f>
        <v>-</v>
      </c>
      <c r="O320" s="126"/>
      <c r="P320" s="126"/>
      <c r="Q320" s="126"/>
      <c r="R320" s="126"/>
      <c r="U320" s="126"/>
      <c r="V320" s="126"/>
      <c r="W320" s="135">
        <f>MAXIFS('Step 3 FOC Request'!$A:$A, 'Step 3 FOC Request'!$F:$F, $E320)</f>
        <v>0</v>
      </c>
      <c r="X320" s="135">
        <f>MAXIFS('Step 4 FOC Return'!$A:$A, 'Step 4 FOC Return'!$E:$E, $E320)</f>
        <v>0</v>
      </c>
      <c r="Y320" s="126"/>
    </row>
    <row r="321">
      <c r="A321" s="126"/>
      <c r="B321" s="154"/>
      <c r="C321" s="146"/>
      <c r="D321" s="146"/>
      <c r="E321" s="146"/>
      <c r="F321" s="155"/>
      <c r="G321" s="146"/>
      <c r="H321" s="126"/>
      <c r="I321" s="132"/>
      <c r="J321" s="146"/>
      <c r="K321" s="126"/>
      <c r="L321" s="126"/>
      <c r="M321" s="134" t="str">
        <f t="shared" si="1"/>
        <v/>
      </c>
      <c r="N321" s="134" t="str">
        <f t="array" ref="N321">IF(M321="LOANED / ON KOL", INDEX('Step 3 FOC Request'!$G:$G, MATCH(1, ('Step 3 FOC Request'!$A:$A=W321) * ('Step 3 FOC Request'!$F:$F=E321), 0)), "-")</f>
        <v>-</v>
      </c>
      <c r="O321" s="126"/>
      <c r="P321" s="126"/>
      <c r="Q321" s="126"/>
      <c r="R321" s="126"/>
      <c r="U321" s="126"/>
      <c r="V321" s="126"/>
      <c r="W321" s="135">
        <f>MAXIFS('Step 3 FOC Request'!$A:$A, 'Step 3 FOC Request'!$F:$F, $E321)</f>
        <v>0</v>
      </c>
      <c r="X321" s="135">
        <f>MAXIFS('Step 4 FOC Return'!$A:$A, 'Step 4 FOC Return'!$E:$E, $E321)</f>
        <v>0</v>
      </c>
      <c r="Y321" s="126"/>
    </row>
    <row r="322">
      <c r="A322" s="126"/>
      <c r="B322" s="154"/>
      <c r="C322" s="146"/>
      <c r="D322" s="146"/>
      <c r="E322" s="146"/>
      <c r="F322" s="155"/>
      <c r="G322" s="146"/>
      <c r="H322" s="126"/>
      <c r="I322" s="132"/>
      <c r="J322" s="146"/>
      <c r="K322" s="126"/>
      <c r="L322" s="126"/>
      <c r="M322" s="134" t="str">
        <f t="shared" si="1"/>
        <v/>
      </c>
      <c r="N322" s="134" t="str">
        <f t="array" ref="N322">IF(M322="LOANED / ON KOL", INDEX('Step 3 FOC Request'!$G:$G, MATCH(1, ('Step 3 FOC Request'!$A:$A=W322) * ('Step 3 FOC Request'!$F:$F=E322), 0)), "-")</f>
        <v>-</v>
      </c>
      <c r="O322" s="126"/>
      <c r="P322" s="126"/>
      <c r="Q322" s="126"/>
      <c r="R322" s="126"/>
      <c r="U322" s="126"/>
      <c r="V322" s="126"/>
      <c r="W322" s="135">
        <f>MAXIFS('Step 3 FOC Request'!$A:$A, 'Step 3 FOC Request'!$F:$F, $E322)</f>
        <v>0</v>
      </c>
      <c r="X322" s="135">
        <f>MAXIFS('Step 4 FOC Return'!$A:$A, 'Step 4 FOC Return'!$E:$E, $E322)</f>
        <v>0</v>
      </c>
      <c r="Y322" s="126"/>
    </row>
    <row r="323">
      <c r="A323" s="126"/>
      <c r="B323" s="154"/>
      <c r="C323" s="146"/>
      <c r="D323" s="146"/>
      <c r="E323" s="146"/>
      <c r="F323" s="155"/>
      <c r="G323" s="146"/>
      <c r="H323" s="126"/>
      <c r="I323" s="132"/>
      <c r="J323" s="146"/>
      <c r="K323" s="126"/>
      <c r="L323" s="126"/>
      <c r="M323" s="134" t="str">
        <f t="shared" si="1"/>
        <v/>
      </c>
      <c r="N323" s="134" t="str">
        <f t="array" ref="N323">IF(M323="LOANED / ON KOL", INDEX('Step 3 FOC Request'!$G:$G, MATCH(1, ('Step 3 FOC Request'!$A:$A=W323) * ('Step 3 FOC Request'!$F:$F=E323), 0)), "-")</f>
        <v>-</v>
      </c>
      <c r="O323" s="126"/>
      <c r="P323" s="126"/>
      <c r="Q323" s="126"/>
      <c r="R323" s="126"/>
      <c r="U323" s="126"/>
      <c r="V323" s="126"/>
      <c r="W323" s="135">
        <f>MAXIFS('Step 3 FOC Request'!$A:$A, 'Step 3 FOC Request'!$F:$F, $E323)</f>
        <v>0</v>
      </c>
      <c r="X323" s="135">
        <f>MAXIFS('Step 4 FOC Return'!$A:$A, 'Step 4 FOC Return'!$E:$E, $E323)</f>
        <v>0</v>
      </c>
      <c r="Y323" s="126"/>
    </row>
    <row r="324">
      <c r="A324" s="126"/>
      <c r="B324" s="154"/>
      <c r="C324" s="146"/>
      <c r="D324" s="146"/>
      <c r="E324" s="146"/>
      <c r="F324" s="155"/>
      <c r="G324" s="146"/>
      <c r="H324" s="126"/>
      <c r="I324" s="132"/>
      <c r="J324" s="146"/>
      <c r="K324" s="126"/>
      <c r="L324" s="126"/>
      <c r="M324" s="134" t="str">
        <f t="shared" si="1"/>
        <v/>
      </c>
      <c r="N324" s="134" t="str">
        <f t="array" ref="N324">IF(M324="LOANED / ON KOL", INDEX('Step 3 FOC Request'!$G:$G, MATCH(1, ('Step 3 FOC Request'!$A:$A=W324) * ('Step 3 FOC Request'!$F:$F=E324), 0)), "-")</f>
        <v>-</v>
      </c>
      <c r="O324" s="126"/>
      <c r="P324" s="126"/>
      <c r="Q324" s="126"/>
      <c r="R324" s="126"/>
      <c r="U324" s="126"/>
      <c r="V324" s="126"/>
      <c r="W324" s="135">
        <f>MAXIFS('Step 3 FOC Request'!$A:$A, 'Step 3 FOC Request'!$F:$F, $E324)</f>
        <v>0</v>
      </c>
      <c r="X324" s="135">
        <f>MAXIFS('Step 4 FOC Return'!$A:$A, 'Step 4 FOC Return'!$E:$E, $E324)</f>
        <v>0</v>
      </c>
      <c r="Y324" s="126"/>
    </row>
    <row r="325">
      <c r="A325" s="126"/>
      <c r="B325" s="154"/>
      <c r="C325" s="146"/>
      <c r="D325" s="146"/>
      <c r="E325" s="146"/>
      <c r="F325" s="155"/>
      <c r="G325" s="146"/>
      <c r="H325" s="126"/>
      <c r="I325" s="132"/>
      <c r="J325" s="146"/>
      <c r="K325" s="126"/>
      <c r="L325" s="126"/>
      <c r="M325" s="134" t="str">
        <f t="shared" si="1"/>
        <v/>
      </c>
      <c r="N325" s="134" t="str">
        <f t="array" ref="N325">IF(M325="LOANED / ON KOL", INDEX('Step 3 FOC Request'!$G:$G, MATCH(1, ('Step 3 FOC Request'!$A:$A=W325) * ('Step 3 FOC Request'!$F:$F=E325), 0)), "-")</f>
        <v>-</v>
      </c>
      <c r="O325" s="126"/>
      <c r="P325" s="126"/>
      <c r="Q325" s="126"/>
      <c r="R325" s="126"/>
      <c r="U325" s="126"/>
      <c r="V325" s="126"/>
      <c r="W325" s="135">
        <f>MAXIFS('Step 3 FOC Request'!$A:$A, 'Step 3 FOC Request'!$F:$F, $E325)</f>
        <v>0</v>
      </c>
      <c r="X325" s="135">
        <f>MAXIFS('Step 4 FOC Return'!$A:$A, 'Step 4 FOC Return'!$E:$E, $E325)</f>
        <v>0</v>
      </c>
      <c r="Y325" s="126"/>
    </row>
    <row r="326">
      <c r="A326" s="126"/>
      <c r="B326" s="154"/>
      <c r="C326" s="146"/>
      <c r="D326" s="146"/>
      <c r="E326" s="146"/>
      <c r="F326" s="155"/>
      <c r="G326" s="146"/>
      <c r="H326" s="126"/>
      <c r="I326" s="132"/>
      <c r="J326" s="146"/>
      <c r="K326" s="126"/>
      <c r="L326" s="126"/>
      <c r="M326" s="134" t="str">
        <f t="shared" si="1"/>
        <v/>
      </c>
      <c r="N326" s="134" t="str">
        <f t="array" ref="N326">IF(M326="LOANED / ON KOL", INDEX('Step 3 FOC Request'!$G:$G, MATCH(1, ('Step 3 FOC Request'!$A:$A=W326) * ('Step 3 FOC Request'!$F:$F=E326), 0)), "-")</f>
        <v>-</v>
      </c>
      <c r="O326" s="126"/>
      <c r="P326" s="126"/>
      <c r="Q326" s="126"/>
      <c r="R326" s="126"/>
      <c r="U326" s="126"/>
      <c r="V326" s="126"/>
      <c r="W326" s="135">
        <f>MAXIFS('Step 3 FOC Request'!$A:$A, 'Step 3 FOC Request'!$F:$F, $E326)</f>
        <v>0</v>
      </c>
      <c r="X326" s="135">
        <f>MAXIFS('Step 4 FOC Return'!$A:$A, 'Step 4 FOC Return'!$E:$E, $E326)</f>
        <v>0</v>
      </c>
      <c r="Y326" s="126"/>
    </row>
    <row r="327">
      <c r="A327" s="126"/>
      <c r="B327" s="154"/>
      <c r="C327" s="146"/>
      <c r="D327" s="146"/>
      <c r="E327" s="146"/>
      <c r="F327" s="155"/>
      <c r="G327" s="146"/>
      <c r="H327" s="126"/>
      <c r="I327" s="132"/>
      <c r="J327" s="146"/>
      <c r="K327" s="126"/>
      <c r="L327" s="126"/>
      <c r="M327" s="134" t="str">
        <f t="shared" si="1"/>
        <v/>
      </c>
      <c r="N327" s="134" t="str">
        <f t="array" ref="N327">IF(M327="LOANED / ON KOL", INDEX('Step 3 FOC Request'!$G:$G, MATCH(1, ('Step 3 FOC Request'!$A:$A=W327) * ('Step 3 FOC Request'!$F:$F=E327), 0)), "-")</f>
        <v>-</v>
      </c>
      <c r="O327" s="126"/>
      <c r="P327" s="126"/>
      <c r="Q327" s="126"/>
      <c r="R327" s="126"/>
      <c r="U327" s="126"/>
      <c r="V327" s="126"/>
      <c r="W327" s="135">
        <f>MAXIFS('Step 3 FOC Request'!$A:$A, 'Step 3 FOC Request'!$F:$F, $E327)</f>
        <v>0</v>
      </c>
      <c r="X327" s="135">
        <f>MAXIFS('Step 4 FOC Return'!$A:$A, 'Step 4 FOC Return'!$E:$E, $E327)</f>
        <v>0</v>
      </c>
      <c r="Y327" s="126"/>
    </row>
    <row r="328">
      <c r="A328" s="126"/>
      <c r="B328" s="154"/>
      <c r="C328" s="146"/>
      <c r="D328" s="146"/>
      <c r="E328" s="146"/>
      <c r="F328" s="155"/>
      <c r="G328" s="146"/>
      <c r="H328" s="126"/>
      <c r="I328" s="132"/>
      <c r="J328" s="146"/>
      <c r="K328" s="126"/>
      <c r="L328" s="126"/>
      <c r="M328" s="134" t="str">
        <f t="shared" si="1"/>
        <v/>
      </c>
      <c r="N328" s="134" t="str">
        <f t="array" ref="N328">IF(M328="LOANED / ON KOL", INDEX('Step 3 FOC Request'!$G:$G, MATCH(1, ('Step 3 FOC Request'!$A:$A=W328) * ('Step 3 FOC Request'!$F:$F=E328), 0)), "-")</f>
        <v>-</v>
      </c>
      <c r="O328" s="126"/>
      <c r="P328" s="126"/>
      <c r="Q328" s="126"/>
      <c r="R328" s="126"/>
      <c r="U328" s="126"/>
      <c r="V328" s="126"/>
      <c r="W328" s="135">
        <f>MAXIFS('Step 3 FOC Request'!$A:$A, 'Step 3 FOC Request'!$F:$F, $E328)</f>
        <v>0</v>
      </c>
      <c r="X328" s="135">
        <f>MAXIFS('Step 4 FOC Return'!$A:$A, 'Step 4 FOC Return'!$E:$E, $E328)</f>
        <v>0</v>
      </c>
      <c r="Y328" s="126"/>
    </row>
    <row r="329">
      <c r="A329" s="126"/>
      <c r="B329" s="154"/>
      <c r="C329" s="146"/>
      <c r="D329" s="146"/>
      <c r="E329" s="146"/>
      <c r="F329" s="155"/>
      <c r="G329" s="146"/>
      <c r="H329" s="126"/>
      <c r="I329" s="132"/>
      <c r="J329" s="146"/>
      <c r="K329" s="126"/>
      <c r="L329" s="126"/>
      <c r="M329" s="134" t="str">
        <f t="shared" si="1"/>
        <v/>
      </c>
      <c r="N329" s="134" t="str">
        <f t="array" ref="N329">IF(M329="LOANED / ON KOL", INDEX('Step 3 FOC Request'!$G:$G, MATCH(1, ('Step 3 FOC Request'!$A:$A=W329) * ('Step 3 FOC Request'!$F:$F=E329), 0)), "-")</f>
        <v>-</v>
      </c>
      <c r="O329" s="126"/>
      <c r="P329" s="126"/>
      <c r="Q329" s="126"/>
      <c r="R329" s="126"/>
      <c r="U329" s="126"/>
      <c r="V329" s="126"/>
      <c r="W329" s="135">
        <f>MAXIFS('Step 3 FOC Request'!$A:$A, 'Step 3 FOC Request'!$F:$F, $E329)</f>
        <v>0</v>
      </c>
      <c r="X329" s="135">
        <f>MAXIFS('Step 4 FOC Return'!$A:$A, 'Step 4 FOC Return'!$E:$E, $E329)</f>
        <v>0</v>
      </c>
      <c r="Y329" s="126"/>
    </row>
    <row r="330">
      <c r="A330" s="126"/>
      <c r="B330" s="154"/>
      <c r="C330" s="146"/>
      <c r="D330" s="146"/>
      <c r="E330" s="146"/>
      <c r="F330" s="155"/>
      <c r="G330" s="146"/>
      <c r="H330" s="126"/>
      <c r="I330" s="132"/>
      <c r="J330" s="146"/>
      <c r="K330" s="126"/>
      <c r="L330" s="126"/>
      <c r="M330" s="134" t="str">
        <f t="shared" si="1"/>
        <v/>
      </c>
      <c r="N330" s="134" t="str">
        <f t="array" ref="N330">IF(M330="LOANED / ON KOL", INDEX('Step 3 FOC Request'!$G:$G, MATCH(1, ('Step 3 FOC Request'!$A:$A=W330) * ('Step 3 FOC Request'!$F:$F=E330), 0)), "-")</f>
        <v>-</v>
      </c>
      <c r="O330" s="126"/>
      <c r="P330" s="126"/>
      <c r="Q330" s="126"/>
      <c r="R330" s="126"/>
      <c r="U330" s="126"/>
      <c r="V330" s="126"/>
      <c r="W330" s="135">
        <f>MAXIFS('Step 3 FOC Request'!$A:$A, 'Step 3 FOC Request'!$F:$F, $E330)</f>
        <v>0</v>
      </c>
      <c r="X330" s="135">
        <f>MAXIFS('Step 4 FOC Return'!$A:$A, 'Step 4 FOC Return'!$E:$E, $E330)</f>
        <v>0</v>
      </c>
      <c r="Y330" s="126"/>
    </row>
    <row r="331">
      <c r="A331" s="126"/>
      <c r="B331" s="154"/>
      <c r="C331" s="146"/>
      <c r="D331" s="146"/>
      <c r="E331" s="146"/>
      <c r="F331" s="155"/>
      <c r="G331" s="146"/>
      <c r="H331" s="126"/>
      <c r="I331" s="132"/>
      <c r="J331" s="146"/>
      <c r="K331" s="126"/>
      <c r="L331" s="126"/>
      <c r="M331" s="134" t="str">
        <f t="shared" si="1"/>
        <v/>
      </c>
      <c r="N331" s="134" t="str">
        <f t="array" ref="N331">IF(M331="LOANED / ON KOL", INDEX('Step 3 FOC Request'!$G:$G, MATCH(1, ('Step 3 FOC Request'!$A:$A=W331) * ('Step 3 FOC Request'!$F:$F=E331), 0)), "-")</f>
        <v>-</v>
      </c>
      <c r="O331" s="126"/>
      <c r="P331" s="126"/>
      <c r="Q331" s="126"/>
      <c r="R331" s="126"/>
      <c r="U331" s="126"/>
      <c r="V331" s="126"/>
      <c r="W331" s="135">
        <f>MAXIFS('Step 3 FOC Request'!$A:$A, 'Step 3 FOC Request'!$F:$F, $E331)</f>
        <v>0</v>
      </c>
      <c r="X331" s="135">
        <f>MAXIFS('Step 4 FOC Return'!$A:$A, 'Step 4 FOC Return'!$E:$E, $E331)</f>
        <v>0</v>
      </c>
      <c r="Y331" s="126"/>
    </row>
    <row r="332">
      <c r="A332" s="126"/>
      <c r="B332" s="154"/>
      <c r="C332" s="146"/>
      <c r="D332" s="146"/>
      <c r="E332" s="146"/>
      <c r="F332" s="155"/>
      <c r="G332" s="146"/>
      <c r="H332" s="126"/>
      <c r="I332" s="132"/>
      <c r="J332" s="146"/>
      <c r="K332" s="126"/>
      <c r="L332" s="126"/>
      <c r="M332" s="134" t="str">
        <f t="shared" si="1"/>
        <v/>
      </c>
      <c r="N332" s="134" t="str">
        <f t="array" ref="N332">IF(M332="LOANED / ON KOL", INDEX('Step 3 FOC Request'!$G:$G, MATCH(1, ('Step 3 FOC Request'!$A:$A=W332) * ('Step 3 FOC Request'!$F:$F=E332), 0)), "-")</f>
        <v>-</v>
      </c>
      <c r="O332" s="126"/>
      <c r="P332" s="126"/>
      <c r="Q332" s="126"/>
      <c r="R332" s="126"/>
      <c r="U332" s="126"/>
      <c r="V332" s="126"/>
      <c r="W332" s="135">
        <f>MAXIFS('Step 3 FOC Request'!$A:$A, 'Step 3 FOC Request'!$F:$F, $E332)</f>
        <v>0</v>
      </c>
      <c r="X332" s="135">
        <f>MAXIFS('Step 4 FOC Return'!$A:$A, 'Step 4 FOC Return'!$E:$E, $E332)</f>
        <v>0</v>
      </c>
      <c r="Y332" s="126"/>
    </row>
    <row r="333">
      <c r="A333" s="126"/>
      <c r="B333" s="154"/>
      <c r="C333" s="146"/>
      <c r="D333" s="146"/>
      <c r="E333" s="146"/>
      <c r="F333" s="155"/>
      <c r="G333" s="146"/>
      <c r="H333" s="126"/>
      <c r="I333" s="132"/>
      <c r="J333" s="146"/>
      <c r="K333" s="126"/>
      <c r="L333" s="126"/>
      <c r="M333" s="134" t="str">
        <f t="shared" si="1"/>
        <v/>
      </c>
      <c r="N333" s="134" t="str">
        <f t="array" ref="N333">IF(M333="LOANED / ON KOL", INDEX('Step 3 FOC Request'!$G:$G, MATCH(1, ('Step 3 FOC Request'!$A:$A=W333) * ('Step 3 FOC Request'!$F:$F=E333), 0)), "-")</f>
        <v>-</v>
      </c>
      <c r="O333" s="126"/>
      <c r="P333" s="126"/>
      <c r="Q333" s="126"/>
      <c r="R333" s="126"/>
      <c r="U333" s="126"/>
      <c r="V333" s="126"/>
      <c r="W333" s="135">
        <f>MAXIFS('Step 3 FOC Request'!$A:$A, 'Step 3 FOC Request'!$F:$F, $E333)</f>
        <v>0</v>
      </c>
      <c r="X333" s="135">
        <f>MAXIFS('Step 4 FOC Return'!$A:$A, 'Step 4 FOC Return'!$E:$E, $E333)</f>
        <v>0</v>
      </c>
      <c r="Y333" s="126"/>
    </row>
    <row r="334">
      <c r="A334" s="126"/>
      <c r="B334" s="154"/>
      <c r="C334" s="146"/>
      <c r="D334" s="146"/>
      <c r="E334" s="146"/>
      <c r="F334" s="155"/>
      <c r="G334" s="146"/>
      <c r="H334" s="126"/>
      <c r="I334" s="132"/>
      <c r="J334" s="146"/>
      <c r="K334" s="126"/>
      <c r="L334" s="126"/>
      <c r="M334" s="134" t="str">
        <f t="shared" si="1"/>
        <v/>
      </c>
      <c r="N334" s="134" t="str">
        <f t="array" ref="N334">IF(M334="LOANED / ON KOL", INDEX('Step 3 FOC Request'!$G:$G, MATCH(1, ('Step 3 FOC Request'!$A:$A=W334) * ('Step 3 FOC Request'!$F:$F=E334), 0)), "-")</f>
        <v>-</v>
      </c>
      <c r="O334" s="126"/>
      <c r="P334" s="126"/>
      <c r="Q334" s="126"/>
      <c r="R334" s="126"/>
      <c r="U334" s="126"/>
      <c r="V334" s="126"/>
      <c r="W334" s="135">
        <f>MAXIFS('Step 3 FOC Request'!$A:$A, 'Step 3 FOC Request'!$F:$F, $E334)</f>
        <v>0</v>
      </c>
      <c r="X334" s="135">
        <f>MAXIFS('Step 4 FOC Return'!$A:$A, 'Step 4 FOC Return'!$E:$E, $E334)</f>
        <v>0</v>
      </c>
      <c r="Y334" s="126"/>
    </row>
    <row r="335">
      <c r="A335" s="126"/>
      <c r="B335" s="154"/>
      <c r="C335" s="146"/>
      <c r="D335" s="146"/>
      <c r="E335" s="146"/>
      <c r="F335" s="155"/>
      <c r="G335" s="146"/>
      <c r="H335" s="126"/>
      <c r="I335" s="132"/>
      <c r="J335" s="146"/>
      <c r="K335" s="126"/>
      <c r="L335" s="126"/>
      <c r="M335" s="134" t="str">
        <f t="shared" si="1"/>
        <v/>
      </c>
      <c r="N335" s="134" t="str">
        <f t="array" ref="N335">IF(M335="LOANED / ON KOL", INDEX('Step 3 FOC Request'!$G:$G, MATCH(1, ('Step 3 FOC Request'!$A:$A=W335) * ('Step 3 FOC Request'!$F:$F=E335), 0)), "-")</f>
        <v>-</v>
      </c>
      <c r="O335" s="126"/>
      <c r="P335" s="126"/>
      <c r="Q335" s="126"/>
      <c r="R335" s="126"/>
      <c r="U335" s="126"/>
      <c r="V335" s="126"/>
      <c r="W335" s="135">
        <f>MAXIFS('Step 3 FOC Request'!$A:$A, 'Step 3 FOC Request'!$F:$F, $E335)</f>
        <v>0</v>
      </c>
      <c r="X335" s="135">
        <f>MAXIFS('Step 4 FOC Return'!$A:$A, 'Step 4 FOC Return'!$E:$E, $E335)</f>
        <v>0</v>
      </c>
      <c r="Y335" s="126"/>
    </row>
    <row r="336">
      <c r="A336" s="126"/>
      <c r="B336" s="154"/>
      <c r="C336" s="146"/>
      <c r="D336" s="146"/>
      <c r="E336" s="146"/>
      <c r="F336" s="155"/>
      <c r="G336" s="146"/>
      <c r="H336" s="126"/>
      <c r="I336" s="132"/>
      <c r="J336" s="146"/>
      <c r="K336" s="126"/>
      <c r="L336" s="126"/>
      <c r="M336" s="134" t="str">
        <f t="shared" si="1"/>
        <v/>
      </c>
      <c r="N336" s="134" t="str">
        <f t="array" ref="N336">IF(M336="LOANED / ON KOL", INDEX('Step 3 FOC Request'!$G:$G, MATCH(1, ('Step 3 FOC Request'!$A:$A=W336) * ('Step 3 FOC Request'!$F:$F=E336), 0)), "-")</f>
        <v>-</v>
      </c>
      <c r="O336" s="126"/>
      <c r="P336" s="126"/>
      <c r="Q336" s="126"/>
      <c r="R336" s="126"/>
      <c r="U336" s="126"/>
      <c r="V336" s="126"/>
      <c r="W336" s="135">
        <f>MAXIFS('Step 3 FOC Request'!$A:$A, 'Step 3 FOC Request'!$F:$F, $E336)</f>
        <v>0</v>
      </c>
      <c r="X336" s="135">
        <f>MAXIFS('Step 4 FOC Return'!$A:$A, 'Step 4 FOC Return'!$E:$E, $E336)</f>
        <v>0</v>
      </c>
      <c r="Y336" s="126"/>
    </row>
    <row r="337">
      <c r="A337" s="126"/>
      <c r="B337" s="154"/>
      <c r="C337" s="146"/>
      <c r="D337" s="146"/>
      <c r="E337" s="146"/>
      <c r="F337" s="155"/>
      <c r="G337" s="146"/>
      <c r="H337" s="126"/>
      <c r="I337" s="132"/>
      <c r="J337" s="146"/>
      <c r="K337" s="126"/>
      <c r="L337" s="126"/>
      <c r="M337" s="134" t="str">
        <f t="shared" si="1"/>
        <v/>
      </c>
      <c r="N337" s="134" t="str">
        <f t="array" ref="N337">IF(M337="LOANED / ON KOL", INDEX('Step 3 FOC Request'!$G:$G, MATCH(1, ('Step 3 FOC Request'!$A:$A=W337) * ('Step 3 FOC Request'!$F:$F=E337), 0)), "-")</f>
        <v>-</v>
      </c>
      <c r="O337" s="126"/>
      <c r="P337" s="126"/>
      <c r="Q337" s="126"/>
      <c r="R337" s="126"/>
      <c r="U337" s="126"/>
      <c r="V337" s="126"/>
      <c r="W337" s="135">
        <f>MAXIFS('Step 3 FOC Request'!$A:$A, 'Step 3 FOC Request'!$F:$F, $E337)</f>
        <v>0</v>
      </c>
      <c r="X337" s="135">
        <f>MAXIFS('Step 4 FOC Return'!$A:$A, 'Step 4 FOC Return'!$E:$E, $E337)</f>
        <v>0</v>
      </c>
      <c r="Y337" s="126"/>
    </row>
    <row r="338">
      <c r="A338" s="126"/>
      <c r="B338" s="154"/>
      <c r="C338" s="146"/>
      <c r="D338" s="146"/>
      <c r="E338" s="146"/>
      <c r="F338" s="155"/>
      <c r="G338" s="146"/>
      <c r="H338" s="126"/>
      <c r="I338" s="132"/>
      <c r="J338" s="146"/>
      <c r="K338" s="126"/>
      <c r="L338" s="126"/>
      <c r="M338" s="134" t="str">
        <f t="shared" si="1"/>
        <v/>
      </c>
      <c r="N338" s="134" t="str">
        <f t="array" ref="N338">IF(M338="LOANED / ON KOL", INDEX('Step 3 FOC Request'!$G:$G, MATCH(1, ('Step 3 FOC Request'!$A:$A=W338) * ('Step 3 FOC Request'!$F:$F=E338), 0)), "-")</f>
        <v>-</v>
      </c>
      <c r="O338" s="126"/>
      <c r="P338" s="126"/>
      <c r="Q338" s="126"/>
      <c r="R338" s="126"/>
      <c r="U338" s="126"/>
      <c r="V338" s="126"/>
      <c r="W338" s="135">
        <f>MAXIFS('Step 3 FOC Request'!$A:$A, 'Step 3 FOC Request'!$F:$F, $E338)</f>
        <v>0</v>
      </c>
      <c r="X338" s="135">
        <f>MAXIFS('Step 4 FOC Return'!$A:$A, 'Step 4 FOC Return'!$E:$E, $E338)</f>
        <v>0</v>
      </c>
      <c r="Y338" s="126"/>
    </row>
    <row r="339">
      <c r="A339" s="126"/>
      <c r="B339" s="154"/>
      <c r="C339" s="146"/>
      <c r="D339" s="146"/>
      <c r="E339" s="146"/>
      <c r="F339" s="155"/>
      <c r="G339" s="146"/>
      <c r="H339" s="126"/>
      <c r="I339" s="132"/>
      <c r="J339" s="146"/>
      <c r="K339" s="126"/>
      <c r="L339" s="126"/>
      <c r="M339" s="134" t="str">
        <f t="shared" si="1"/>
        <v/>
      </c>
      <c r="N339" s="134" t="str">
        <f t="array" ref="N339">IF(M339="LOANED / ON KOL", INDEX('Step 3 FOC Request'!$G:$G, MATCH(1, ('Step 3 FOC Request'!$A:$A=W339) * ('Step 3 FOC Request'!$F:$F=E339), 0)), "-")</f>
        <v>-</v>
      </c>
      <c r="O339" s="126"/>
      <c r="P339" s="126"/>
      <c r="Q339" s="126"/>
      <c r="R339" s="126"/>
      <c r="U339" s="126"/>
      <c r="V339" s="126"/>
      <c r="W339" s="135">
        <f>MAXIFS('Step 3 FOC Request'!$A:$A, 'Step 3 FOC Request'!$F:$F, $E339)</f>
        <v>0</v>
      </c>
      <c r="X339" s="135">
        <f>MAXIFS('Step 4 FOC Return'!$A:$A, 'Step 4 FOC Return'!$E:$E, $E339)</f>
        <v>0</v>
      </c>
      <c r="Y339" s="126"/>
    </row>
    <row r="340">
      <c r="A340" s="126"/>
      <c r="B340" s="154"/>
      <c r="C340" s="146"/>
      <c r="D340" s="146"/>
      <c r="E340" s="146"/>
      <c r="F340" s="155"/>
      <c r="G340" s="146"/>
      <c r="H340" s="126"/>
      <c r="I340" s="132"/>
      <c r="J340" s="146"/>
      <c r="K340" s="126"/>
      <c r="L340" s="126"/>
      <c r="M340" s="134" t="str">
        <f t="shared" si="1"/>
        <v/>
      </c>
      <c r="N340" s="134" t="str">
        <f t="array" ref="N340">IF(M340="LOANED / ON KOL", INDEX('Step 3 FOC Request'!$G:$G, MATCH(1, ('Step 3 FOC Request'!$A:$A=W340) * ('Step 3 FOC Request'!$F:$F=E340), 0)), "-")</f>
        <v>-</v>
      </c>
      <c r="O340" s="126"/>
      <c r="P340" s="126"/>
      <c r="Q340" s="126"/>
      <c r="R340" s="126"/>
      <c r="U340" s="126"/>
      <c r="V340" s="126"/>
      <c r="W340" s="135">
        <f>MAXIFS('Step 3 FOC Request'!$A:$A, 'Step 3 FOC Request'!$F:$F, $E340)</f>
        <v>0</v>
      </c>
      <c r="X340" s="135">
        <f>MAXIFS('Step 4 FOC Return'!$A:$A, 'Step 4 FOC Return'!$E:$E, $E340)</f>
        <v>0</v>
      </c>
      <c r="Y340" s="126"/>
    </row>
    <row r="341">
      <c r="A341" s="126"/>
      <c r="B341" s="154"/>
      <c r="C341" s="146"/>
      <c r="D341" s="146"/>
      <c r="E341" s="146"/>
      <c r="F341" s="155"/>
      <c r="G341" s="146"/>
      <c r="H341" s="126"/>
      <c r="I341" s="132"/>
      <c r="J341" s="146"/>
      <c r="K341" s="126"/>
      <c r="L341" s="126"/>
      <c r="M341" s="134" t="str">
        <f t="shared" si="1"/>
        <v/>
      </c>
      <c r="N341" s="134" t="str">
        <f t="array" ref="N341">IF(M341="LOANED / ON KOL", INDEX('Step 3 FOC Request'!$G:$G, MATCH(1, ('Step 3 FOC Request'!$A:$A=W341) * ('Step 3 FOC Request'!$F:$F=E341), 0)), "-")</f>
        <v>-</v>
      </c>
      <c r="O341" s="126"/>
      <c r="P341" s="126"/>
      <c r="Q341" s="126"/>
      <c r="R341" s="126"/>
      <c r="U341" s="126"/>
      <c r="V341" s="126"/>
      <c r="W341" s="135">
        <f>MAXIFS('Step 3 FOC Request'!$A:$A, 'Step 3 FOC Request'!$F:$F, $E341)</f>
        <v>0</v>
      </c>
      <c r="X341" s="135">
        <f>MAXIFS('Step 4 FOC Return'!$A:$A, 'Step 4 FOC Return'!$E:$E, $E341)</f>
        <v>0</v>
      </c>
      <c r="Y341" s="126"/>
    </row>
    <row r="342">
      <c r="A342" s="126"/>
      <c r="B342" s="154"/>
      <c r="C342" s="146"/>
      <c r="D342" s="146"/>
      <c r="E342" s="146"/>
      <c r="F342" s="155"/>
      <c r="G342" s="146"/>
      <c r="H342" s="126"/>
      <c r="I342" s="132"/>
      <c r="J342" s="146"/>
      <c r="K342" s="126"/>
      <c r="L342" s="126"/>
      <c r="M342" s="134" t="str">
        <f t="shared" si="1"/>
        <v/>
      </c>
      <c r="N342" s="134" t="str">
        <f t="array" ref="N342">IF(M342="LOANED / ON KOL", INDEX('Step 3 FOC Request'!$G:$G, MATCH(1, ('Step 3 FOC Request'!$A:$A=W342) * ('Step 3 FOC Request'!$F:$F=E342), 0)), "-")</f>
        <v>-</v>
      </c>
      <c r="O342" s="126"/>
      <c r="P342" s="126"/>
      <c r="Q342" s="126"/>
      <c r="R342" s="126"/>
      <c r="U342" s="126"/>
      <c r="V342" s="126"/>
      <c r="W342" s="135">
        <f>MAXIFS('Step 3 FOC Request'!$A:$A, 'Step 3 FOC Request'!$F:$F, $E342)</f>
        <v>0</v>
      </c>
      <c r="X342" s="135">
        <f>MAXIFS('Step 4 FOC Return'!$A:$A, 'Step 4 FOC Return'!$E:$E, $E342)</f>
        <v>0</v>
      </c>
      <c r="Y342" s="126"/>
    </row>
    <row r="343">
      <c r="A343" s="126"/>
      <c r="B343" s="154"/>
      <c r="C343" s="146"/>
      <c r="D343" s="146"/>
      <c r="E343" s="146"/>
      <c r="F343" s="155"/>
      <c r="G343" s="146"/>
      <c r="H343" s="126"/>
      <c r="I343" s="132"/>
      <c r="J343" s="146"/>
      <c r="K343" s="126"/>
      <c r="L343" s="126"/>
      <c r="M343" s="134" t="str">
        <f t="shared" si="1"/>
        <v/>
      </c>
      <c r="N343" s="134" t="str">
        <f t="array" ref="N343">IF(M343="LOANED / ON KOL", INDEX('Step 3 FOC Request'!$G:$G, MATCH(1, ('Step 3 FOC Request'!$A:$A=W343) * ('Step 3 FOC Request'!$F:$F=E343), 0)), "-")</f>
        <v>-</v>
      </c>
      <c r="O343" s="126"/>
      <c r="P343" s="126"/>
      <c r="Q343" s="126"/>
      <c r="R343" s="126"/>
      <c r="U343" s="126"/>
      <c r="V343" s="126"/>
      <c r="W343" s="135">
        <f>MAXIFS('Step 3 FOC Request'!$A:$A, 'Step 3 FOC Request'!$F:$F, $E343)</f>
        <v>0</v>
      </c>
      <c r="X343" s="135">
        <f>MAXIFS('Step 4 FOC Return'!$A:$A, 'Step 4 FOC Return'!$E:$E, $E343)</f>
        <v>0</v>
      </c>
      <c r="Y343" s="126"/>
    </row>
    <row r="344">
      <c r="A344" s="126"/>
      <c r="B344" s="154"/>
      <c r="C344" s="146"/>
      <c r="D344" s="146"/>
      <c r="E344" s="146"/>
      <c r="F344" s="155"/>
      <c r="G344" s="146"/>
      <c r="H344" s="126"/>
      <c r="I344" s="132"/>
      <c r="J344" s="146"/>
      <c r="K344" s="126"/>
      <c r="L344" s="126"/>
      <c r="M344" s="134" t="str">
        <f t="shared" si="1"/>
        <v/>
      </c>
      <c r="N344" s="134" t="str">
        <f t="array" ref="N344">IF(M344="LOANED / ON KOL", INDEX('Step 3 FOC Request'!$G:$G, MATCH(1, ('Step 3 FOC Request'!$A:$A=W344) * ('Step 3 FOC Request'!$F:$F=E344), 0)), "-")</f>
        <v>-</v>
      </c>
      <c r="O344" s="126"/>
      <c r="P344" s="126"/>
      <c r="Q344" s="126"/>
      <c r="R344" s="126"/>
      <c r="U344" s="126"/>
      <c r="V344" s="126"/>
      <c r="W344" s="135">
        <f>MAXIFS('Step 3 FOC Request'!$A:$A, 'Step 3 FOC Request'!$F:$F, $E344)</f>
        <v>0</v>
      </c>
      <c r="X344" s="135">
        <f>MAXIFS('Step 4 FOC Return'!$A:$A, 'Step 4 FOC Return'!$E:$E, $E344)</f>
        <v>0</v>
      </c>
      <c r="Y344" s="126"/>
    </row>
    <row r="345">
      <c r="A345" s="126"/>
      <c r="B345" s="154"/>
      <c r="C345" s="146"/>
      <c r="D345" s="146"/>
      <c r="E345" s="146"/>
      <c r="F345" s="155"/>
      <c r="G345" s="146"/>
      <c r="H345" s="126"/>
      <c r="I345" s="132"/>
      <c r="J345" s="146"/>
      <c r="K345" s="126"/>
      <c r="L345" s="126"/>
      <c r="M345" s="134" t="str">
        <f t="shared" si="1"/>
        <v/>
      </c>
      <c r="N345" s="134" t="str">
        <f t="array" ref="N345">IF(M345="LOANED / ON KOL", INDEX('Step 3 FOC Request'!$G:$G, MATCH(1, ('Step 3 FOC Request'!$A:$A=W345) * ('Step 3 FOC Request'!$F:$F=E345), 0)), "-")</f>
        <v>-</v>
      </c>
      <c r="O345" s="126"/>
      <c r="P345" s="126"/>
      <c r="Q345" s="126"/>
      <c r="R345" s="126"/>
      <c r="U345" s="126"/>
      <c r="V345" s="126"/>
      <c r="W345" s="135">
        <f>MAXIFS('Step 3 FOC Request'!$A:$A, 'Step 3 FOC Request'!$F:$F, $E345)</f>
        <v>0</v>
      </c>
      <c r="X345" s="135">
        <f>MAXIFS('Step 4 FOC Return'!$A:$A, 'Step 4 FOC Return'!$E:$E, $E345)</f>
        <v>0</v>
      </c>
      <c r="Y345" s="126"/>
    </row>
    <row r="346">
      <c r="A346" s="126"/>
      <c r="B346" s="154"/>
      <c r="C346" s="146"/>
      <c r="D346" s="146"/>
      <c r="E346" s="146"/>
      <c r="F346" s="155"/>
      <c r="G346" s="146"/>
      <c r="H346" s="126"/>
      <c r="I346" s="132"/>
      <c r="J346" s="146"/>
      <c r="K346" s="126"/>
      <c r="L346" s="126"/>
      <c r="M346" s="134" t="str">
        <f t="shared" si="1"/>
        <v/>
      </c>
      <c r="N346" s="134" t="str">
        <f t="array" ref="N346">IF(M346="LOANED / ON KOL", INDEX('Step 3 FOC Request'!$G:$G, MATCH(1, ('Step 3 FOC Request'!$A:$A=W346) * ('Step 3 FOC Request'!$F:$F=E346), 0)), "-")</f>
        <v>-</v>
      </c>
      <c r="O346" s="126"/>
      <c r="P346" s="126"/>
      <c r="Q346" s="126"/>
      <c r="R346" s="126"/>
      <c r="U346" s="126"/>
      <c r="V346" s="126"/>
      <c r="W346" s="135">
        <f>MAXIFS('Step 3 FOC Request'!$A:$A, 'Step 3 FOC Request'!$F:$F, $E346)</f>
        <v>0</v>
      </c>
      <c r="X346" s="135">
        <f>MAXIFS('Step 4 FOC Return'!$A:$A, 'Step 4 FOC Return'!$E:$E, $E346)</f>
        <v>0</v>
      </c>
      <c r="Y346" s="126"/>
    </row>
    <row r="347">
      <c r="A347" s="126"/>
      <c r="B347" s="154"/>
      <c r="C347" s="146"/>
      <c r="D347" s="146"/>
      <c r="E347" s="146"/>
      <c r="F347" s="155"/>
      <c r="G347" s="146"/>
      <c r="H347" s="126"/>
      <c r="I347" s="132"/>
      <c r="J347" s="146"/>
      <c r="K347" s="126"/>
      <c r="L347" s="126"/>
      <c r="M347" s="134" t="str">
        <f t="shared" si="1"/>
        <v/>
      </c>
      <c r="N347" s="134" t="str">
        <f t="array" ref="N347">IF(M347="LOANED / ON KOL", INDEX('Step 3 FOC Request'!$G:$G, MATCH(1, ('Step 3 FOC Request'!$A:$A=W347) * ('Step 3 FOC Request'!$F:$F=E347), 0)), "-")</f>
        <v>-</v>
      </c>
      <c r="O347" s="126"/>
      <c r="P347" s="126"/>
      <c r="Q347" s="126"/>
      <c r="R347" s="126"/>
      <c r="U347" s="126"/>
      <c r="V347" s="126"/>
      <c r="W347" s="135">
        <f>MAXIFS('Step 3 FOC Request'!$A:$A, 'Step 3 FOC Request'!$F:$F, $E347)</f>
        <v>0</v>
      </c>
      <c r="X347" s="135">
        <f>MAXIFS('Step 4 FOC Return'!$A:$A, 'Step 4 FOC Return'!$E:$E, $E347)</f>
        <v>0</v>
      </c>
      <c r="Y347" s="126"/>
    </row>
    <row r="348">
      <c r="A348" s="126"/>
      <c r="B348" s="154"/>
      <c r="C348" s="146"/>
      <c r="D348" s="146"/>
      <c r="E348" s="146"/>
      <c r="F348" s="155"/>
      <c r="G348" s="146"/>
      <c r="H348" s="126"/>
      <c r="I348" s="132"/>
      <c r="J348" s="146"/>
      <c r="K348" s="126"/>
      <c r="L348" s="126"/>
      <c r="M348" s="134" t="str">
        <f t="shared" si="1"/>
        <v/>
      </c>
      <c r="N348" s="134" t="str">
        <f t="array" ref="N348">IF(M348="LOANED / ON KOL", INDEX('Step 3 FOC Request'!$G:$G, MATCH(1, ('Step 3 FOC Request'!$A:$A=W348) * ('Step 3 FOC Request'!$F:$F=E348), 0)), "-")</f>
        <v>-</v>
      </c>
      <c r="O348" s="126"/>
      <c r="P348" s="126"/>
      <c r="Q348" s="126"/>
      <c r="R348" s="126"/>
      <c r="U348" s="126"/>
      <c r="V348" s="126"/>
      <c r="W348" s="135">
        <f>MAXIFS('Step 3 FOC Request'!$A:$A, 'Step 3 FOC Request'!$F:$F, $E348)</f>
        <v>0</v>
      </c>
      <c r="X348" s="135">
        <f>MAXIFS('Step 4 FOC Return'!$A:$A, 'Step 4 FOC Return'!$E:$E, $E348)</f>
        <v>0</v>
      </c>
      <c r="Y348" s="126"/>
    </row>
    <row r="349">
      <c r="A349" s="126"/>
      <c r="B349" s="154"/>
      <c r="C349" s="146"/>
      <c r="D349" s="146"/>
      <c r="E349" s="146"/>
      <c r="F349" s="155"/>
      <c r="G349" s="146"/>
      <c r="H349" s="126"/>
      <c r="I349" s="132"/>
      <c r="J349" s="146"/>
      <c r="K349" s="126"/>
      <c r="L349" s="126"/>
      <c r="M349" s="134" t="str">
        <f t="shared" si="1"/>
        <v/>
      </c>
      <c r="N349" s="134" t="str">
        <f t="array" ref="N349">IF(M349="LOANED / ON KOL", INDEX('Step 3 FOC Request'!$G:$G, MATCH(1, ('Step 3 FOC Request'!$A:$A=W349) * ('Step 3 FOC Request'!$F:$F=E349), 0)), "-")</f>
        <v>-</v>
      </c>
      <c r="O349" s="126"/>
      <c r="P349" s="126"/>
      <c r="Q349" s="126"/>
      <c r="R349" s="126"/>
      <c r="U349" s="126"/>
      <c r="V349" s="126"/>
      <c r="W349" s="135">
        <f>MAXIFS('Step 3 FOC Request'!$A:$A, 'Step 3 FOC Request'!$F:$F, $E349)</f>
        <v>0</v>
      </c>
      <c r="X349" s="135">
        <f>MAXIFS('Step 4 FOC Return'!$A:$A, 'Step 4 FOC Return'!$E:$E, $E349)</f>
        <v>0</v>
      </c>
      <c r="Y349" s="126"/>
    </row>
    <row r="350">
      <c r="A350" s="126"/>
      <c r="B350" s="154"/>
      <c r="C350" s="146"/>
      <c r="D350" s="146"/>
      <c r="E350" s="146"/>
      <c r="F350" s="155"/>
      <c r="G350" s="146"/>
      <c r="H350" s="126"/>
      <c r="I350" s="132"/>
      <c r="J350" s="146"/>
      <c r="K350" s="126"/>
      <c r="L350" s="126"/>
      <c r="M350" s="134" t="str">
        <f t="shared" si="1"/>
        <v/>
      </c>
      <c r="N350" s="134" t="str">
        <f t="array" ref="N350">IF(M350="LOANED / ON KOL", INDEX('Step 3 FOC Request'!$G:$G, MATCH(1, ('Step 3 FOC Request'!$A:$A=W350) * ('Step 3 FOC Request'!$F:$F=E350), 0)), "-")</f>
        <v>-</v>
      </c>
      <c r="O350" s="126"/>
      <c r="P350" s="126"/>
      <c r="Q350" s="126"/>
      <c r="R350" s="126"/>
      <c r="U350" s="126"/>
      <c r="V350" s="126"/>
      <c r="W350" s="135">
        <f>MAXIFS('Step 3 FOC Request'!$A:$A, 'Step 3 FOC Request'!$F:$F, $E350)</f>
        <v>0</v>
      </c>
      <c r="X350" s="135">
        <f>MAXIFS('Step 4 FOC Return'!$A:$A, 'Step 4 FOC Return'!$E:$E, $E350)</f>
        <v>0</v>
      </c>
      <c r="Y350" s="126"/>
    </row>
    <row r="351">
      <c r="A351" s="126"/>
      <c r="B351" s="154"/>
      <c r="C351" s="146"/>
      <c r="D351" s="146"/>
      <c r="E351" s="146"/>
      <c r="F351" s="155"/>
      <c r="G351" s="146"/>
      <c r="H351" s="126"/>
      <c r="I351" s="132"/>
      <c r="J351" s="146"/>
      <c r="K351" s="126"/>
      <c r="L351" s="126"/>
      <c r="M351" s="134" t="str">
        <f t="shared" si="1"/>
        <v/>
      </c>
      <c r="N351" s="134" t="str">
        <f t="array" ref="N351">IF(M351="LOANED / ON KOL", INDEX('Step 3 FOC Request'!$G:$G, MATCH(1, ('Step 3 FOC Request'!$A:$A=W351) * ('Step 3 FOC Request'!$F:$F=E351), 0)), "-")</f>
        <v>-</v>
      </c>
      <c r="O351" s="126"/>
      <c r="P351" s="126"/>
      <c r="Q351" s="126"/>
      <c r="R351" s="126"/>
      <c r="U351" s="126"/>
      <c r="V351" s="126"/>
      <c r="W351" s="135">
        <f>MAXIFS('Step 3 FOC Request'!$A:$A, 'Step 3 FOC Request'!$F:$F, $E351)</f>
        <v>0</v>
      </c>
      <c r="X351" s="135">
        <f>MAXIFS('Step 4 FOC Return'!$A:$A, 'Step 4 FOC Return'!$E:$E, $E351)</f>
        <v>0</v>
      </c>
      <c r="Y351" s="126"/>
    </row>
    <row r="352">
      <c r="A352" s="126"/>
      <c r="B352" s="154"/>
      <c r="C352" s="146"/>
      <c r="D352" s="146"/>
      <c r="E352" s="146"/>
      <c r="F352" s="155"/>
      <c r="G352" s="146"/>
      <c r="H352" s="126"/>
      <c r="I352" s="132"/>
      <c r="J352" s="146"/>
      <c r="K352" s="126"/>
      <c r="L352" s="126"/>
      <c r="M352" s="134" t="str">
        <f t="shared" si="1"/>
        <v/>
      </c>
      <c r="N352" s="134" t="str">
        <f t="array" ref="N352">IF(M352="LOANED / ON KOL", INDEX('Step 3 FOC Request'!$G:$G, MATCH(1, ('Step 3 FOC Request'!$A:$A=W352) * ('Step 3 FOC Request'!$F:$F=E352), 0)), "-")</f>
        <v>-</v>
      </c>
      <c r="O352" s="126"/>
      <c r="P352" s="126"/>
      <c r="Q352" s="126"/>
      <c r="R352" s="126"/>
      <c r="U352" s="126"/>
      <c r="V352" s="126"/>
      <c r="W352" s="135">
        <f>MAXIFS('Step 3 FOC Request'!$A:$A, 'Step 3 FOC Request'!$F:$F, $E352)</f>
        <v>0</v>
      </c>
      <c r="X352" s="135">
        <f>MAXIFS('Step 4 FOC Return'!$A:$A, 'Step 4 FOC Return'!$E:$E, $E352)</f>
        <v>0</v>
      </c>
      <c r="Y352" s="126"/>
    </row>
    <row r="353">
      <c r="A353" s="126"/>
      <c r="B353" s="154"/>
      <c r="C353" s="146"/>
      <c r="D353" s="146"/>
      <c r="E353" s="146"/>
      <c r="F353" s="155"/>
      <c r="G353" s="146"/>
      <c r="H353" s="126"/>
      <c r="I353" s="132"/>
      <c r="J353" s="146"/>
      <c r="K353" s="126"/>
      <c r="L353" s="126"/>
      <c r="M353" s="134" t="str">
        <f t="shared" si="1"/>
        <v/>
      </c>
      <c r="N353" s="134" t="str">
        <f t="array" ref="N353">IF(M353="LOANED / ON KOL", INDEX('Step 3 FOC Request'!$G:$G, MATCH(1, ('Step 3 FOC Request'!$A:$A=W353) * ('Step 3 FOC Request'!$F:$F=E353), 0)), "-")</f>
        <v>-</v>
      </c>
      <c r="O353" s="126"/>
      <c r="P353" s="126"/>
      <c r="Q353" s="126"/>
      <c r="R353" s="126"/>
      <c r="U353" s="126"/>
      <c r="V353" s="126"/>
      <c r="W353" s="135">
        <f>MAXIFS('Step 3 FOC Request'!$A:$A, 'Step 3 FOC Request'!$F:$F, $E353)</f>
        <v>0</v>
      </c>
      <c r="X353" s="135">
        <f>MAXIFS('Step 4 FOC Return'!$A:$A, 'Step 4 FOC Return'!$E:$E, $E353)</f>
        <v>0</v>
      </c>
      <c r="Y353" s="126"/>
    </row>
    <row r="354">
      <c r="A354" s="126"/>
      <c r="B354" s="154"/>
      <c r="C354" s="146"/>
      <c r="D354" s="146"/>
      <c r="E354" s="146"/>
      <c r="F354" s="155"/>
      <c r="G354" s="146"/>
      <c r="H354" s="126"/>
      <c r="I354" s="132"/>
      <c r="J354" s="146"/>
      <c r="K354" s="126"/>
      <c r="L354" s="126"/>
      <c r="M354" s="134" t="str">
        <f t="shared" si="1"/>
        <v/>
      </c>
      <c r="N354" s="134" t="str">
        <f t="array" ref="N354">IF(M354="LOANED / ON KOL", INDEX('Step 3 FOC Request'!$G:$G, MATCH(1, ('Step 3 FOC Request'!$A:$A=W354) * ('Step 3 FOC Request'!$F:$F=E354), 0)), "-")</f>
        <v>-</v>
      </c>
      <c r="O354" s="126"/>
      <c r="P354" s="126"/>
      <c r="Q354" s="126"/>
      <c r="R354" s="126"/>
      <c r="U354" s="126"/>
      <c r="V354" s="126"/>
      <c r="W354" s="135">
        <f>MAXIFS('Step 3 FOC Request'!$A:$A, 'Step 3 FOC Request'!$F:$F, $E354)</f>
        <v>0</v>
      </c>
      <c r="X354" s="135">
        <f>MAXIFS('Step 4 FOC Return'!$A:$A, 'Step 4 FOC Return'!$E:$E, $E354)</f>
        <v>0</v>
      </c>
      <c r="Y354" s="126"/>
    </row>
    <row r="355">
      <c r="A355" s="126"/>
      <c r="B355" s="154"/>
      <c r="C355" s="146"/>
      <c r="D355" s="146"/>
      <c r="E355" s="146"/>
      <c r="F355" s="155"/>
      <c r="G355" s="146"/>
      <c r="H355" s="126"/>
      <c r="I355" s="132"/>
      <c r="J355" s="146"/>
      <c r="K355" s="126"/>
      <c r="L355" s="126"/>
      <c r="M355" s="134" t="str">
        <f t="shared" si="1"/>
        <v/>
      </c>
      <c r="N355" s="134" t="str">
        <f t="array" ref="N355">IF(M355="LOANED / ON KOL", INDEX('Step 3 FOC Request'!$G:$G, MATCH(1, ('Step 3 FOC Request'!$A:$A=W355) * ('Step 3 FOC Request'!$F:$F=E355), 0)), "-")</f>
        <v>-</v>
      </c>
      <c r="O355" s="126"/>
      <c r="P355" s="126"/>
      <c r="Q355" s="126"/>
      <c r="R355" s="126"/>
      <c r="U355" s="126"/>
      <c r="V355" s="126"/>
      <c r="W355" s="135">
        <f>MAXIFS('Step 3 FOC Request'!$A:$A, 'Step 3 FOC Request'!$F:$F, $E355)</f>
        <v>0</v>
      </c>
      <c r="X355" s="135">
        <f>MAXIFS('Step 4 FOC Return'!$A:$A, 'Step 4 FOC Return'!$E:$E, $E355)</f>
        <v>0</v>
      </c>
      <c r="Y355" s="126"/>
    </row>
    <row r="356">
      <c r="A356" s="126"/>
      <c r="B356" s="154"/>
      <c r="C356" s="146"/>
      <c r="D356" s="146"/>
      <c r="E356" s="146"/>
      <c r="F356" s="155"/>
      <c r="G356" s="146"/>
      <c r="H356" s="126"/>
      <c r="I356" s="132"/>
      <c r="J356" s="146"/>
      <c r="K356" s="126"/>
      <c r="L356" s="126"/>
      <c r="M356" s="134" t="str">
        <f t="shared" si="1"/>
        <v/>
      </c>
      <c r="N356" s="134" t="str">
        <f t="array" ref="N356">IF(M356="LOANED / ON KOL", INDEX('Step 3 FOC Request'!$G:$G, MATCH(1, ('Step 3 FOC Request'!$A:$A=W356) * ('Step 3 FOC Request'!$F:$F=E356), 0)), "-")</f>
        <v>-</v>
      </c>
      <c r="O356" s="126"/>
      <c r="P356" s="126"/>
      <c r="Q356" s="126"/>
      <c r="R356" s="126"/>
      <c r="U356" s="126"/>
      <c r="V356" s="126"/>
      <c r="W356" s="135">
        <f>MAXIFS('Step 3 FOC Request'!$A:$A, 'Step 3 FOC Request'!$F:$F, $E356)</f>
        <v>0</v>
      </c>
      <c r="X356" s="135">
        <f>MAXIFS('Step 4 FOC Return'!$A:$A, 'Step 4 FOC Return'!$E:$E, $E356)</f>
        <v>0</v>
      </c>
      <c r="Y356" s="126"/>
    </row>
    <row r="357">
      <c r="A357" s="126"/>
      <c r="B357" s="154"/>
      <c r="C357" s="146"/>
      <c r="D357" s="146"/>
      <c r="E357" s="146"/>
      <c r="F357" s="155"/>
      <c r="G357" s="146"/>
      <c r="H357" s="126"/>
      <c r="I357" s="132"/>
      <c r="J357" s="146"/>
      <c r="K357" s="126"/>
      <c r="L357" s="126"/>
      <c r="M357" s="134" t="str">
        <f t="shared" si="1"/>
        <v/>
      </c>
      <c r="N357" s="134" t="str">
        <f t="array" ref="N357">IF(M357="LOANED / ON KOL", INDEX('Step 3 FOC Request'!$G:$G, MATCH(1, ('Step 3 FOC Request'!$A:$A=W357) * ('Step 3 FOC Request'!$F:$F=E357), 0)), "-")</f>
        <v>-</v>
      </c>
      <c r="O357" s="126"/>
      <c r="P357" s="126"/>
      <c r="Q357" s="126"/>
      <c r="R357" s="126"/>
      <c r="U357" s="126"/>
      <c r="V357" s="126"/>
      <c r="W357" s="135">
        <f>MAXIFS('Step 3 FOC Request'!$A:$A, 'Step 3 FOC Request'!$F:$F, $E357)</f>
        <v>0</v>
      </c>
      <c r="X357" s="135">
        <f>MAXIFS('Step 4 FOC Return'!$A:$A, 'Step 4 FOC Return'!$E:$E, $E357)</f>
        <v>0</v>
      </c>
      <c r="Y357" s="126"/>
    </row>
    <row r="358">
      <c r="A358" s="126"/>
      <c r="B358" s="154"/>
      <c r="C358" s="146"/>
      <c r="D358" s="146"/>
      <c r="E358" s="146"/>
      <c r="F358" s="155"/>
      <c r="G358" s="146"/>
      <c r="H358" s="126"/>
      <c r="I358" s="132"/>
      <c r="J358" s="146"/>
      <c r="K358" s="126"/>
      <c r="L358" s="126"/>
      <c r="M358" s="134" t="str">
        <f t="shared" si="1"/>
        <v/>
      </c>
      <c r="N358" s="134" t="str">
        <f t="array" ref="N358">IF(M358="LOANED / ON KOL", INDEX('Step 3 FOC Request'!$G:$G, MATCH(1, ('Step 3 FOC Request'!$A:$A=W358) * ('Step 3 FOC Request'!$F:$F=E358), 0)), "-")</f>
        <v>-</v>
      </c>
      <c r="O358" s="126"/>
      <c r="P358" s="126"/>
      <c r="Q358" s="126"/>
      <c r="R358" s="126"/>
      <c r="U358" s="126"/>
      <c r="V358" s="126"/>
      <c r="W358" s="135">
        <f>MAXIFS('Step 3 FOC Request'!$A:$A, 'Step 3 FOC Request'!$F:$F, $E358)</f>
        <v>0</v>
      </c>
      <c r="X358" s="135">
        <f>MAXIFS('Step 4 FOC Return'!$A:$A, 'Step 4 FOC Return'!$E:$E, $E358)</f>
        <v>0</v>
      </c>
      <c r="Y358" s="126"/>
    </row>
    <row r="359">
      <c r="A359" s="126"/>
      <c r="B359" s="154"/>
      <c r="C359" s="146"/>
      <c r="D359" s="146"/>
      <c r="E359" s="146"/>
      <c r="F359" s="155"/>
      <c r="G359" s="146"/>
      <c r="H359" s="126"/>
      <c r="I359" s="132"/>
      <c r="J359" s="146"/>
      <c r="K359" s="126"/>
      <c r="L359" s="126"/>
      <c r="M359" s="134" t="str">
        <f t="shared" si="1"/>
        <v/>
      </c>
      <c r="N359" s="134" t="str">
        <f t="array" ref="N359">IF(M359="LOANED / ON KOL", INDEX('Step 3 FOC Request'!$G:$G, MATCH(1, ('Step 3 FOC Request'!$A:$A=W359) * ('Step 3 FOC Request'!$F:$F=E359), 0)), "-")</f>
        <v>-</v>
      </c>
      <c r="O359" s="126"/>
      <c r="P359" s="126"/>
      <c r="Q359" s="126"/>
      <c r="R359" s="126"/>
      <c r="U359" s="126"/>
      <c r="V359" s="126"/>
      <c r="W359" s="135">
        <f>MAXIFS('Step 3 FOC Request'!$A:$A, 'Step 3 FOC Request'!$F:$F, $E359)</f>
        <v>0</v>
      </c>
      <c r="X359" s="135">
        <f>MAXIFS('Step 4 FOC Return'!$A:$A, 'Step 4 FOC Return'!$E:$E, $E359)</f>
        <v>0</v>
      </c>
      <c r="Y359" s="126"/>
    </row>
    <row r="360">
      <c r="A360" s="126"/>
      <c r="B360" s="154"/>
      <c r="C360" s="146"/>
      <c r="D360" s="146"/>
      <c r="E360" s="146"/>
      <c r="F360" s="155"/>
      <c r="G360" s="146"/>
      <c r="H360" s="126"/>
      <c r="I360" s="132"/>
      <c r="J360" s="146"/>
      <c r="K360" s="126"/>
      <c r="L360" s="126"/>
      <c r="M360" s="134" t="str">
        <f t="shared" si="1"/>
        <v/>
      </c>
      <c r="N360" s="134" t="str">
        <f t="array" ref="N360">IF(M360="LOANED / ON KOL", INDEX('Step 3 FOC Request'!$G:$G, MATCH(1, ('Step 3 FOC Request'!$A:$A=W360) * ('Step 3 FOC Request'!$F:$F=E360), 0)), "-")</f>
        <v>-</v>
      </c>
      <c r="O360" s="126"/>
      <c r="P360" s="126"/>
      <c r="Q360" s="126"/>
      <c r="R360" s="126"/>
      <c r="U360" s="126"/>
      <c r="V360" s="126"/>
      <c r="W360" s="135">
        <f>MAXIFS('Step 3 FOC Request'!$A:$A, 'Step 3 FOC Request'!$F:$F, $E360)</f>
        <v>0</v>
      </c>
      <c r="X360" s="135">
        <f>MAXIFS('Step 4 FOC Return'!$A:$A, 'Step 4 FOC Return'!$E:$E, $E360)</f>
        <v>0</v>
      </c>
      <c r="Y360" s="126"/>
    </row>
    <row r="361">
      <c r="A361" s="126"/>
      <c r="B361" s="154"/>
      <c r="C361" s="146"/>
      <c r="D361" s="146"/>
      <c r="E361" s="146"/>
      <c r="F361" s="155"/>
      <c r="G361" s="146"/>
      <c r="H361" s="126"/>
      <c r="I361" s="132"/>
      <c r="J361" s="146"/>
      <c r="K361" s="126"/>
      <c r="L361" s="126"/>
      <c r="M361" s="134" t="str">
        <f t="shared" si="1"/>
        <v/>
      </c>
      <c r="N361" s="134" t="str">
        <f t="array" ref="N361">IF(M361="LOANED / ON KOL", INDEX('Step 3 FOC Request'!$G:$G, MATCH(1, ('Step 3 FOC Request'!$A:$A=W361) * ('Step 3 FOC Request'!$F:$F=E361), 0)), "-")</f>
        <v>-</v>
      </c>
      <c r="O361" s="126"/>
      <c r="P361" s="126"/>
      <c r="Q361" s="126"/>
      <c r="R361" s="126"/>
      <c r="U361" s="126"/>
      <c r="V361" s="126"/>
      <c r="W361" s="135">
        <f>MAXIFS('Step 3 FOC Request'!$A:$A, 'Step 3 FOC Request'!$F:$F, $E361)</f>
        <v>0</v>
      </c>
      <c r="X361" s="135">
        <f>MAXIFS('Step 4 FOC Return'!$A:$A, 'Step 4 FOC Return'!$E:$E, $E361)</f>
        <v>0</v>
      </c>
      <c r="Y361" s="126"/>
    </row>
    <row r="362">
      <c r="A362" s="126"/>
      <c r="B362" s="154"/>
      <c r="C362" s="146"/>
      <c r="D362" s="146"/>
      <c r="E362" s="146"/>
      <c r="F362" s="155"/>
      <c r="G362" s="146"/>
      <c r="H362" s="126"/>
      <c r="I362" s="132"/>
      <c r="J362" s="146"/>
      <c r="K362" s="126"/>
      <c r="L362" s="126"/>
      <c r="M362" s="134" t="str">
        <f t="shared" si="1"/>
        <v/>
      </c>
      <c r="N362" s="134" t="str">
        <f t="array" ref="N362">IF(M362="LOANED / ON KOL", INDEX('Step 3 FOC Request'!$G:$G, MATCH(1, ('Step 3 FOC Request'!$A:$A=W362) * ('Step 3 FOC Request'!$F:$F=E362), 0)), "-")</f>
        <v>-</v>
      </c>
      <c r="O362" s="126"/>
      <c r="P362" s="126"/>
      <c r="Q362" s="126"/>
      <c r="R362" s="126"/>
      <c r="U362" s="126"/>
      <c r="V362" s="126"/>
      <c r="W362" s="135">
        <f>MAXIFS('Step 3 FOC Request'!$A:$A, 'Step 3 FOC Request'!$F:$F, $E362)</f>
        <v>0</v>
      </c>
      <c r="X362" s="135">
        <f>MAXIFS('Step 4 FOC Return'!$A:$A, 'Step 4 FOC Return'!$E:$E, $E362)</f>
        <v>0</v>
      </c>
      <c r="Y362" s="126"/>
    </row>
    <row r="363">
      <c r="A363" s="126"/>
      <c r="B363" s="154"/>
      <c r="C363" s="146"/>
      <c r="D363" s="146"/>
      <c r="E363" s="146"/>
      <c r="F363" s="155"/>
      <c r="G363" s="146"/>
      <c r="H363" s="126"/>
      <c r="I363" s="132"/>
      <c r="J363" s="146"/>
      <c r="K363" s="126"/>
      <c r="L363" s="126"/>
      <c r="M363" s="134" t="str">
        <f t="shared" si="1"/>
        <v/>
      </c>
      <c r="N363" s="134" t="str">
        <f t="array" ref="N363">IF(M363="LOANED / ON KOL", INDEX('Step 3 FOC Request'!$G:$G, MATCH(1, ('Step 3 FOC Request'!$A:$A=W363) * ('Step 3 FOC Request'!$F:$F=E363), 0)), "-")</f>
        <v>-</v>
      </c>
      <c r="O363" s="126"/>
      <c r="P363" s="126"/>
      <c r="Q363" s="126"/>
      <c r="R363" s="126"/>
      <c r="U363" s="126"/>
      <c r="V363" s="126"/>
      <c r="W363" s="135">
        <f>MAXIFS('Step 3 FOC Request'!$A:$A, 'Step 3 FOC Request'!$F:$F, $E363)</f>
        <v>0</v>
      </c>
      <c r="X363" s="135">
        <f>MAXIFS('Step 4 FOC Return'!$A:$A, 'Step 4 FOC Return'!$E:$E, $E363)</f>
        <v>0</v>
      </c>
      <c r="Y363" s="126"/>
    </row>
    <row r="364">
      <c r="A364" s="126"/>
      <c r="B364" s="154"/>
      <c r="C364" s="146"/>
      <c r="D364" s="146"/>
      <c r="E364" s="146"/>
      <c r="F364" s="155"/>
      <c r="G364" s="146"/>
      <c r="H364" s="126"/>
      <c r="I364" s="132"/>
      <c r="J364" s="146"/>
      <c r="K364" s="126"/>
      <c r="L364" s="126"/>
      <c r="M364" s="134" t="str">
        <f t="shared" si="1"/>
        <v/>
      </c>
      <c r="N364" s="134" t="str">
        <f t="array" ref="N364">IF(M364="LOANED / ON KOL", INDEX('Step 3 FOC Request'!$G:$G, MATCH(1, ('Step 3 FOC Request'!$A:$A=W364) * ('Step 3 FOC Request'!$F:$F=E364), 0)), "-")</f>
        <v>-</v>
      </c>
      <c r="O364" s="126"/>
      <c r="P364" s="126"/>
      <c r="Q364" s="126"/>
      <c r="R364" s="126"/>
      <c r="U364" s="126"/>
      <c r="V364" s="126"/>
      <c r="W364" s="135">
        <f>MAXIFS('Step 3 FOC Request'!$A:$A, 'Step 3 FOC Request'!$F:$F, $E364)</f>
        <v>0</v>
      </c>
      <c r="X364" s="135">
        <f>MAXIFS('Step 4 FOC Return'!$A:$A, 'Step 4 FOC Return'!$E:$E, $E364)</f>
        <v>0</v>
      </c>
      <c r="Y364" s="126"/>
    </row>
    <row r="365">
      <c r="A365" s="126"/>
      <c r="B365" s="154"/>
      <c r="C365" s="146"/>
      <c r="D365" s="146"/>
      <c r="E365" s="146"/>
      <c r="F365" s="155"/>
      <c r="G365" s="146"/>
      <c r="H365" s="126"/>
      <c r="I365" s="132"/>
      <c r="J365" s="146"/>
      <c r="K365" s="126"/>
      <c r="L365" s="126"/>
      <c r="M365" s="134" t="str">
        <f t="shared" si="1"/>
        <v/>
      </c>
      <c r="N365" s="134" t="str">
        <f t="array" ref="N365">IF(M365="LOANED / ON KOL", INDEX('Step 3 FOC Request'!$G:$G, MATCH(1, ('Step 3 FOC Request'!$A:$A=W365) * ('Step 3 FOC Request'!$F:$F=E365), 0)), "-")</f>
        <v>-</v>
      </c>
      <c r="O365" s="126"/>
      <c r="P365" s="126"/>
      <c r="Q365" s="126"/>
      <c r="R365" s="126"/>
      <c r="U365" s="126"/>
      <c r="V365" s="126"/>
      <c r="W365" s="135">
        <f>MAXIFS('Step 3 FOC Request'!$A:$A, 'Step 3 FOC Request'!$F:$F, $E365)</f>
        <v>0</v>
      </c>
      <c r="X365" s="135">
        <f>MAXIFS('Step 4 FOC Return'!$A:$A, 'Step 4 FOC Return'!$E:$E, $E365)</f>
        <v>0</v>
      </c>
      <c r="Y365" s="126"/>
    </row>
    <row r="366">
      <c r="A366" s="126"/>
      <c r="B366" s="154"/>
      <c r="C366" s="146"/>
      <c r="D366" s="146"/>
      <c r="E366" s="146"/>
      <c r="F366" s="155"/>
      <c r="G366" s="146"/>
      <c r="H366" s="126"/>
      <c r="I366" s="132"/>
      <c r="J366" s="146"/>
      <c r="K366" s="126"/>
      <c r="L366" s="126"/>
      <c r="M366" s="134" t="str">
        <f t="shared" si="1"/>
        <v/>
      </c>
      <c r="N366" s="134" t="str">
        <f t="array" ref="N366">IF(M366="LOANED / ON KOL", INDEX('Step 3 FOC Request'!$G:$G, MATCH(1, ('Step 3 FOC Request'!$A:$A=W366) * ('Step 3 FOC Request'!$F:$F=E366), 0)), "-")</f>
        <v>-</v>
      </c>
      <c r="O366" s="126"/>
      <c r="P366" s="126"/>
      <c r="Q366" s="126"/>
      <c r="R366" s="126"/>
      <c r="U366" s="126"/>
      <c r="V366" s="126"/>
      <c r="W366" s="135">
        <f>MAXIFS('Step 3 FOC Request'!$A:$A, 'Step 3 FOC Request'!$F:$F, $E366)</f>
        <v>0</v>
      </c>
      <c r="X366" s="135">
        <f>MAXIFS('Step 4 FOC Return'!$A:$A, 'Step 4 FOC Return'!$E:$E, $E366)</f>
        <v>0</v>
      </c>
      <c r="Y366" s="126"/>
    </row>
    <row r="367">
      <c r="A367" s="126"/>
      <c r="B367" s="154"/>
      <c r="C367" s="146"/>
      <c r="D367" s="146"/>
      <c r="E367" s="146"/>
      <c r="F367" s="155"/>
      <c r="G367" s="146"/>
      <c r="H367" s="126"/>
      <c r="I367" s="132"/>
      <c r="J367" s="146"/>
      <c r="K367" s="126"/>
      <c r="L367" s="126"/>
      <c r="M367" s="134" t="str">
        <f t="shared" si="1"/>
        <v/>
      </c>
      <c r="N367" s="134" t="str">
        <f t="array" ref="N367">IF(M367="LOANED / ON KOL", INDEX('Step 3 FOC Request'!$G:$G, MATCH(1, ('Step 3 FOC Request'!$A:$A=W367) * ('Step 3 FOC Request'!$F:$F=E367), 0)), "-")</f>
        <v>-</v>
      </c>
      <c r="O367" s="126"/>
      <c r="P367" s="126"/>
      <c r="Q367" s="126"/>
      <c r="R367" s="126"/>
      <c r="U367" s="126"/>
      <c r="V367" s="126"/>
      <c r="W367" s="135">
        <f>MAXIFS('Step 3 FOC Request'!$A:$A, 'Step 3 FOC Request'!$F:$F, $E367)</f>
        <v>0</v>
      </c>
      <c r="X367" s="135">
        <f>MAXIFS('Step 4 FOC Return'!$A:$A, 'Step 4 FOC Return'!$E:$E, $E367)</f>
        <v>0</v>
      </c>
      <c r="Y367" s="126"/>
    </row>
    <row r="368">
      <c r="A368" s="126"/>
      <c r="B368" s="154"/>
      <c r="C368" s="146"/>
      <c r="D368" s="146"/>
      <c r="E368" s="146"/>
      <c r="F368" s="155"/>
      <c r="G368" s="146"/>
      <c r="H368" s="126"/>
      <c r="I368" s="132"/>
      <c r="J368" s="146"/>
      <c r="K368" s="126"/>
      <c r="L368" s="126"/>
      <c r="M368" s="134" t="str">
        <f t="shared" si="1"/>
        <v/>
      </c>
      <c r="N368" s="134" t="str">
        <f t="array" ref="N368">IF(M368="LOANED / ON KOL", INDEX('Step 3 FOC Request'!$G:$G, MATCH(1, ('Step 3 FOC Request'!$A:$A=W368) * ('Step 3 FOC Request'!$F:$F=E368), 0)), "-")</f>
        <v>-</v>
      </c>
      <c r="O368" s="126"/>
      <c r="P368" s="126"/>
      <c r="Q368" s="126"/>
      <c r="R368" s="126"/>
      <c r="U368" s="126"/>
      <c r="V368" s="126"/>
      <c r="W368" s="135">
        <f>MAXIFS('Step 3 FOC Request'!$A:$A, 'Step 3 FOC Request'!$F:$F, $E368)</f>
        <v>0</v>
      </c>
      <c r="X368" s="135">
        <f>MAXIFS('Step 4 FOC Return'!$A:$A, 'Step 4 FOC Return'!$E:$E, $E368)</f>
        <v>0</v>
      </c>
      <c r="Y368" s="126"/>
    </row>
    <row r="369">
      <c r="A369" s="126"/>
      <c r="B369" s="154"/>
      <c r="C369" s="146"/>
      <c r="D369" s="146"/>
      <c r="E369" s="146"/>
      <c r="F369" s="155"/>
      <c r="G369" s="146"/>
      <c r="H369" s="126"/>
      <c r="I369" s="132"/>
      <c r="J369" s="146"/>
      <c r="K369" s="126"/>
      <c r="L369" s="126"/>
      <c r="M369" s="134" t="str">
        <f t="shared" si="1"/>
        <v/>
      </c>
      <c r="N369" s="134" t="str">
        <f t="array" ref="N369">IF(M369="LOANED / ON KOL", INDEX('Step 3 FOC Request'!$G:$G, MATCH(1, ('Step 3 FOC Request'!$A:$A=W369) * ('Step 3 FOC Request'!$F:$F=E369), 0)), "-")</f>
        <v>-</v>
      </c>
      <c r="O369" s="126"/>
      <c r="P369" s="126"/>
      <c r="Q369" s="126"/>
      <c r="R369" s="126"/>
      <c r="U369" s="126"/>
      <c r="V369" s="126"/>
      <c r="W369" s="135">
        <f>MAXIFS('Step 3 FOC Request'!$A:$A, 'Step 3 FOC Request'!$F:$F, $E369)</f>
        <v>0</v>
      </c>
      <c r="X369" s="135">
        <f>MAXIFS('Step 4 FOC Return'!$A:$A, 'Step 4 FOC Return'!$E:$E, $E369)</f>
        <v>0</v>
      </c>
      <c r="Y369" s="126"/>
    </row>
    <row r="370">
      <c r="A370" s="126"/>
      <c r="B370" s="154"/>
      <c r="C370" s="146"/>
      <c r="D370" s="146"/>
      <c r="E370" s="146"/>
      <c r="F370" s="155"/>
      <c r="G370" s="146"/>
      <c r="H370" s="126"/>
      <c r="I370" s="132"/>
      <c r="J370" s="146"/>
      <c r="K370" s="126"/>
      <c r="L370" s="126"/>
      <c r="M370" s="134" t="str">
        <f t="shared" si="1"/>
        <v/>
      </c>
      <c r="N370" s="134" t="str">
        <f t="array" ref="N370">IF(M370="LOANED / ON KOL", INDEX('Step 3 FOC Request'!$G:$G, MATCH(1, ('Step 3 FOC Request'!$A:$A=W370) * ('Step 3 FOC Request'!$F:$F=E370), 0)), "-")</f>
        <v>-</v>
      </c>
      <c r="O370" s="126"/>
      <c r="P370" s="126"/>
      <c r="Q370" s="126"/>
      <c r="R370" s="126"/>
      <c r="U370" s="126"/>
      <c r="V370" s="126"/>
      <c r="W370" s="135">
        <f>MAXIFS('Step 3 FOC Request'!$A:$A, 'Step 3 FOC Request'!$F:$F, $E370)</f>
        <v>0</v>
      </c>
      <c r="X370" s="135">
        <f>MAXIFS('Step 4 FOC Return'!$A:$A, 'Step 4 FOC Return'!$E:$E, $E370)</f>
        <v>0</v>
      </c>
      <c r="Y370" s="126"/>
    </row>
    <row r="371">
      <c r="A371" s="126"/>
      <c r="B371" s="154"/>
      <c r="C371" s="146"/>
      <c r="D371" s="146"/>
      <c r="E371" s="146"/>
      <c r="F371" s="155"/>
      <c r="G371" s="146"/>
      <c r="H371" s="126"/>
      <c r="I371" s="132"/>
      <c r="J371" s="146"/>
      <c r="K371" s="126"/>
      <c r="L371" s="126"/>
      <c r="M371" s="134" t="str">
        <f t="shared" si="1"/>
        <v/>
      </c>
      <c r="N371" s="134" t="str">
        <f t="array" ref="N371">IF(M371="LOANED / ON KOL", INDEX('Step 3 FOC Request'!$G:$G, MATCH(1, ('Step 3 FOC Request'!$A:$A=W371) * ('Step 3 FOC Request'!$F:$F=E371), 0)), "-")</f>
        <v>-</v>
      </c>
      <c r="O371" s="126"/>
      <c r="P371" s="126"/>
      <c r="Q371" s="126"/>
      <c r="R371" s="126"/>
      <c r="U371" s="126"/>
      <c r="V371" s="126"/>
      <c r="W371" s="135">
        <f>MAXIFS('Step 3 FOC Request'!$A:$A, 'Step 3 FOC Request'!$F:$F, $E371)</f>
        <v>0</v>
      </c>
      <c r="X371" s="135">
        <f>MAXIFS('Step 4 FOC Return'!$A:$A, 'Step 4 FOC Return'!$E:$E, $E371)</f>
        <v>0</v>
      </c>
      <c r="Y371" s="126"/>
    </row>
    <row r="372">
      <c r="A372" s="126"/>
      <c r="B372" s="154"/>
      <c r="C372" s="146"/>
      <c r="D372" s="146"/>
      <c r="E372" s="146"/>
      <c r="F372" s="155"/>
      <c r="G372" s="146"/>
      <c r="H372" s="126"/>
      <c r="I372" s="132"/>
      <c r="J372" s="146"/>
      <c r="K372" s="126"/>
      <c r="L372" s="126"/>
      <c r="M372" s="134" t="str">
        <f t="shared" si="1"/>
        <v/>
      </c>
      <c r="N372" s="134" t="str">
        <f t="array" ref="N372">IF(M372="LOANED / ON KOL", INDEX('Step 3 FOC Request'!$G:$G, MATCH(1, ('Step 3 FOC Request'!$A:$A=W372) * ('Step 3 FOC Request'!$F:$F=E372), 0)), "-")</f>
        <v>-</v>
      </c>
      <c r="O372" s="126"/>
      <c r="P372" s="126"/>
      <c r="Q372" s="126"/>
      <c r="R372" s="126"/>
      <c r="U372" s="126"/>
      <c r="V372" s="126"/>
      <c r="W372" s="135">
        <f>MAXIFS('Step 3 FOC Request'!$A:$A, 'Step 3 FOC Request'!$F:$F, $E372)</f>
        <v>0</v>
      </c>
      <c r="X372" s="135">
        <f>MAXIFS('Step 4 FOC Return'!$A:$A, 'Step 4 FOC Return'!$E:$E, $E372)</f>
        <v>0</v>
      </c>
      <c r="Y372" s="126"/>
    </row>
    <row r="373">
      <c r="A373" s="126"/>
      <c r="B373" s="154"/>
      <c r="C373" s="146"/>
      <c r="D373" s="146"/>
      <c r="E373" s="146"/>
      <c r="F373" s="155"/>
      <c r="G373" s="146"/>
      <c r="H373" s="126"/>
      <c r="I373" s="132"/>
      <c r="J373" s="146"/>
      <c r="K373" s="126"/>
      <c r="L373" s="126"/>
      <c r="M373" s="134" t="str">
        <f t="shared" si="1"/>
        <v/>
      </c>
      <c r="N373" s="134" t="str">
        <f t="array" ref="N373">IF(M373="LOANED / ON KOL", INDEX('Step 3 FOC Request'!$G:$G, MATCH(1, ('Step 3 FOC Request'!$A:$A=W373) * ('Step 3 FOC Request'!$F:$F=E373), 0)), "-")</f>
        <v>-</v>
      </c>
      <c r="O373" s="126"/>
      <c r="P373" s="126"/>
      <c r="Q373" s="126"/>
      <c r="R373" s="126"/>
      <c r="U373" s="126"/>
      <c r="V373" s="126"/>
      <c r="W373" s="135">
        <f>MAXIFS('Step 3 FOC Request'!$A:$A, 'Step 3 FOC Request'!$F:$F, $E373)</f>
        <v>0</v>
      </c>
      <c r="X373" s="135">
        <f>MAXIFS('Step 4 FOC Return'!$A:$A, 'Step 4 FOC Return'!$E:$E, $E373)</f>
        <v>0</v>
      </c>
      <c r="Y373" s="126"/>
    </row>
    <row r="374">
      <c r="A374" s="126"/>
      <c r="B374" s="154"/>
      <c r="C374" s="146"/>
      <c r="D374" s="146"/>
      <c r="E374" s="146"/>
      <c r="F374" s="155"/>
      <c r="G374" s="146"/>
      <c r="H374" s="126"/>
      <c r="I374" s="132"/>
      <c r="J374" s="146"/>
      <c r="K374" s="126"/>
      <c r="L374" s="126"/>
      <c r="M374" s="134" t="str">
        <f t="shared" si="1"/>
        <v/>
      </c>
      <c r="N374" s="134" t="str">
        <f t="array" ref="N374">IF(M374="LOANED / ON KOL", INDEX('Step 3 FOC Request'!$G:$G, MATCH(1, ('Step 3 FOC Request'!$A:$A=W374) * ('Step 3 FOC Request'!$F:$F=E374), 0)), "-")</f>
        <v>-</v>
      </c>
      <c r="O374" s="126"/>
      <c r="P374" s="126"/>
      <c r="Q374" s="126"/>
      <c r="R374" s="126"/>
      <c r="U374" s="126"/>
      <c r="V374" s="126"/>
      <c r="W374" s="135">
        <f>MAXIFS('Step 3 FOC Request'!$A:$A, 'Step 3 FOC Request'!$F:$F, $E374)</f>
        <v>0</v>
      </c>
      <c r="X374" s="135">
        <f>MAXIFS('Step 4 FOC Return'!$A:$A, 'Step 4 FOC Return'!$E:$E, $E374)</f>
        <v>0</v>
      </c>
      <c r="Y374" s="126"/>
    </row>
    <row r="375">
      <c r="A375" s="126"/>
      <c r="B375" s="154"/>
      <c r="C375" s="146"/>
      <c r="D375" s="146"/>
      <c r="E375" s="146"/>
      <c r="F375" s="155"/>
      <c r="G375" s="146"/>
      <c r="H375" s="126"/>
      <c r="I375" s="132"/>
      <c r="J375" s="146"/>
      <c r="K375" s="126"/>
      <c r="L375" s="126"/>
      <c r="M375" s="134" t="str">
        <f t="shared" si="1"/>
        <v/>
      </c>
      <c r="N375" s="134" t="str">
        <f t="array" ref="N375">IF(M375="LOANED / ON KOL", INDEX('Step 3 FOC Request'!$G:$G, MATCH(1, ('Step 3 FOC Request'!$A:$A=W375) * ('Step 3 FOC Request'!$F:$F=E375), 0)), "-")</f>
        <v>-</v>
      </c>
      <c r="O375" s="126"/>
      <c r="P375" s="126"/>
      <c r="Q375" s="126"/>
      <c r="R375" s="126"/>
      <c r="U375" s="126"/>
      <c r="V375" s="126"/>
      <c r="W375" s="135">
        <f>MAXIFS('Step 3 FOC Request'!$A:$A, 'Step 3 FOC Request'!$F:$F, $E375)</f>
        <v>0</v>
      </c>
      <c r="X375" s="135">
        <f>MAXIFS('Step 4 FOC Return'!$A:$A, 'Step 4 FOC Return'!$E:$E, $E375)</f>
        <v>0</v>
      </c>
      <c r="Y375" s="126"/>
    </row>
    <row r="376">
      <c r="A376" s="126"/>
      <c r="B376" s="154"/>
      <c r="C376" s="146"/>
      <c r="D376" s="146"/>
      <c r="E376" s="146"/>
      <c r="F376" s="155"/>
      <c r="G376" s="146"/>
      <c r="H376" s="126"/>
      <c r="I376" s="132"/>
      <c r="J376" s="146"/>
      <c r="K376" s="126"/>
      <c r="L376" s="126"/>
      <c r="M376" s="134" t="str">
        <f t="shared" si="1"/>
        <v/>
      </c>
      <c r="N376" s="134" t="str">
        <f t="array" ref="N376">IF(M376="LOANED / ON KOL", INDEX('Step 3 FOC Request'!$G:$G, MATCH(1, ('Step 3 FOC Request'!$A:$A=W376) * ('Step 3 FOC Request'!$F:$F=E376), 0)), "-")</f>
        <v>-</v>
      </c>
      <c r="O376" s="126"/>
      <c r="P376" s="126"/>
      <c r="Q376" s="126"/>
      <c r="R376" s="126"/>
      <c r="U376" s="126"/>
      <c r="V376" s="126"/>
      <c r="W376" s="135">
        <f>MAXIFS('Step 3 FOC Request'!$A:$A, 'Step 3 FOC Request'!$F:$F, $E376)</f>
        <v>0</v>
      </c>
      <c r="X376" s="135">
        <f>MAXIFS('Step 4 FOC Return'!$A:$A, 'Step 4 FOC Return'!$E:$E, $E376)</f>
        <v>0</v>
      </c>
      <c r="Y376" s="126"/>
    </row>
    <row r="377">
      <c r="A377" s="126"/>
      <c r="B377" s="154"/>
      <c r="C377" s="146"/>
      <c r="D377" s="146"/>
      <c r="E377" s="146"/>
      <c r="F377" s="155"/>
      <c r="G377" s="146"/>
      <c r="H377" s="126"/>
      <c r="I377" s="132"/>
      <c r="J377" s="146"/>
      <c r="K377" s="126"/>
      <c r="L377" s="126"/>
      <c r="M377" s="134" t="str">
        <f t="shared" si="1"/>
        <v/>
      </c>
      <c r="N377" s="134" t="str">
        <f t="array" ref="N377">IF(M377="LOANED / ON KOL", INDEX('Step 3 FOC Request'!$G:$G, MATCH(1, ('Step 3 FOC Request'!$A:$A=W377) * ('Step 3 FOC Request'!$F:$F=E377), 0)), "-")</f>
        <v>-</v>
      </c>
      <c r="O377" s="126"/>
      <c r="P377" s="126"/>
      <c r="Q377" s="126"/>
      <c r="R377" s="126"/>
      <c r="U377" s="126"/>
      <c r="V377" s="126"/>
      <c r="W377" s="135">
        <f>MAXIFS('Step 3 FOC Request'!$A:$A, 'Step 3 FOC Request'!$F:$F, $E377)</f>
        <v>0</v>
      </c>
      <c r="X377" s="135">
        <f>MAXIFS('Step 4 FOC Return'!$A:$A, 'Step 4 FOC Return'!$E:$E, $E377)</f>
        <v>0</v>
      </c>
      <c r="Y377" s="126"/>
    </row>
    <row r="378">
      <c r="A378" s="126"/>
      <c r="B378" s="154"/>
      <c r="C378" s="146"/>
      <c r="D378" s="146"/>
      <c r="E378" s="146"/>
      <c r="F378" s="155"/>
      <c r="G378" s="146"/>
      <c r="H378" s="126"/>
      <c r="I378" s="132"/>
      <c r="J378" s="146"/>
      <c r="K378" s="126"/>
      <c r="L378" s="126"/>
      <c r="M378" s="134" t="str">
        <f t="shared" si="1"/>
        <v/>
      </c>
      <c r="N378" s="134" t="str">
        <f t="array" ref="N378">IF(M378="LOANED / ON KOL", INDEX('Step 3 FOC Request'!$G:$G, MATCH(1, ('Step 3 FOC Request'!$A:$A=W378) * ('Step 3 FOC Request'!$F:$F=E378), 0)), "-")</f>
        <v>-</v>
      </c>
      <c r="O378" s="126"/>
      <c r="P378" s="126"/>
      <c r="Q378" s="126"/>
      <c r="R378" s="126"/>
      <c r="U378" s="126"/>
      <c r="V378" s="126"/>
      <c r="W378" s="135">
        <f>MAXIFS('Step 3 FOC Request'!$A:$A, 'Step 3 FOC Request'!$F:$F, $E378)</f>
        <v>0</v>
      </c>
      <c r="X378" s="135">
        <f>MAXIFS('Step 4 FOC Return'!$A:$A, 'Step 4 FOC Return'!$E:$E, $E378)</f>
        <v>0</v>
      </c>
      <c r="Y378" s="126"/>
    </row>
    <row r="379">
      <c r="A379" s="126"/>
      <c r="B379" s="154"/>
      <c r="C379" s="146"/>
      <c r="D379" s="146"/>
      <c r="E379" s="146"/>
      <c r="F379" s="155"/>
      <c r="G379" s="146"/>
      <c r="H379" s="126"/>
      <c r="I379" s="132"/>
      <c r="J379" s="146"/>
      <c r="K379" s="126"/>
      <c r="L379" s="126"/>
      <c r="M379" s="134" t="str">
        <f t="shared" si="1"/>
        <v/>
      </c>
      <c r="N379" s="134" t="str">
        <f t="array" ref="N379">IF(M379="LOANED / ON KOL", INDEX('Step 3 FOC Request'!$G:$G, MATCH(1, ('Step 3 FOC Request'!$A:$A=W379) * ('Step 3 FOC Request'!$F:$F=E379), 0)), "-")</f>
        <v>-</v>
      </c>
      <c r="O379" s="126"/>
      <c r="P379" s="126"/>
      <c r="Q379" s="126"/>
      <c r="R379" s="126"/>
      <c r="U379" s="126"/>
      <c r="V379" s="126"/>
      <c r="W379" s="135">
        <f>MAXIFS('Step 3 FOC Request'!$A:$A, 'Step 3 FOC Request'!$F:$F, $E379)</f>
        <v>0</v>
      </c>
      <c r="X379" s="135">
        <f>MAXIFS('Step 4 FOC Return'!$A:$A, 'Step 4 FOC Return'!$E:$E, $E379)</f>
        <v>0</v>
      </c>
      <c r="Y379" s="126"/>
    </row>
    <row r="380">
      <c r="A380" s="126"/>
      <c r="B380" s="154"/>
      <c r="C380" s="146"/>
      <c r="D380" s="146"/>
      <c r="E380" s="146"/>
      <c r="F380" s="155"/>
      <c r="G380" s="146"/>
      <c r="H380" s="126"/>
      <c r="I380" s="132"/>
      <c r="J380" s="146"/>
      <c r="K380" s="126"/>
      <c r="L380" s="126"/>
      <c r="M380" s="134" t="str">
        <f t="shared" si="1"/>
        <v/>
      </c>
      <c r="N380" s="134" t="str">
        <f t="array" ref="N380">IF(M380="LOANED / ON KOL", INDEX('Step 3 FOC Request'!$G:$G, MATCH(1, ('Step 3 FOC Request'!$A:$A=W380) * ('Step 3 FOC Request'!$F:$F=E380), 0)), "-")</f>
        <v>-</v>
      </c>
      <c r="O380" s="126"/>
      <c r="P380" s="126"/>
      <c r="Q380" s="126"/>
      <c r="R380" s="126"/>
      <c r="U380" s="126"/>
      <c r="V380" s="126"/>
      <c r="W380" s="135">
        <f>MAXIFS('Step 3 FOC Request'!$A:$A, 'Step 3 FOC Request'!$F:$F, $E380)</f>
        <v>0</v>
      </c>
      <c r="X380" s="135">
        <f>MAXIFS('Step 4 FOC Return'!$A:$A, 'Step 4 FOC Return'!$E:$E, $E380)</f>
        <v>0</v>
      </c>
      <c r="Y380" s="126"/>
    </row>
    <row r="381">
      <c r="A381" s="126"/>
      <c r="B381" s="154"/>
      <c r="C381" s="146"/>
      <c r="D381" s="146"/>
      <c r="E381" s="146"/>
      <c r="F381" s="155"/>
      <c r="G381" s="146"/>
      <c r="H381" s="126"/>
      <c r="I381" s="132"/>
      <c r="J381" s="146"/>
      <c r="K381" s="126"/>
      <c r="L381" s="126"/>
      <c r="M381" s="134" t="str">
        <f t="shared" si="1"/>
        <v/>
      </c>
      <c r="N381" s="134" t="str">
        <f t="array" ref="N381">IF(M381="LOANED / ON KOL", INDEX('Step 3 FOC Request'!$G:$G, MATCH(1, ('Step 3 FOC Request'!$A:$A=W381) * ('Step 3 FOC Request'!$F:$F=E381), 0)), "-")</f>
        <v>-</v>
      </c>
      <c r="O381" s="126"/>
      <c r="P381" s="126"/>
      <c r="Q381" s="126"/>
      <c r="R381" s="126"/>
      <c r="U381" s="126"/>
      <c r="V381" s="126"/>
      <c r="W381" s="135">
        <f>MAXIFS('Step 3 FOC Request'!$A:$A, 'Step 3 FOC Request'!$F:$F, $E381)</f>
        <v>0</v>
      </c>
      <c r="X381" s="135">
        <f>MAXIFS('Step 4 FOC Return'!$A:$A, 'Step 4 FOC Return'!$E:$E, $E381)</f>
        <v>0</v>
      </c>
      <c r="Y381" s="126"/>
    </row>
    <row r="382">
      <c r="A382" s="126"/>
      <c r="B382" s="154"/>
      <c r="C382" s="146"/>
      <c r="D382" s="146"/>
      <c r="E382" s="146"/>
      <c r="F382" s="155"/>
      <c r="G382" s="146"/>
      <c r="H382" s="126"/>
      <c r="I382" s="132"/>
      <c r="J382" s="146"/>
      <c r="K382" s="126"/>
      <c r="L382" s="126"/>
      <c r="M382" s="134" t="str">
        <f t="shared" si="1"/>
        <v/>
      </c>
      <c r="N382" s="134" t="str">
        <f t="array" ref="N382">IF(M382="LOANED / ON KOL", INDEX('Step 3 FOC Request'!$G:$G, MATCH(1, ('Step 3 FOC Request'!$A:$A=W382) * ('Step 3 FOC Request'!$F:$F=E382), 0)), "-")</f>
        <v>-</v>
      </c>
      <c r="O382" s="126"/>
      <c r="P382" s="126"/>
      <c r="Q382" s="126"/>
      <c r="R382" s="126"/>
      <c r="U382" s="126"/>
      <c r="V382" s="126"/>
      <c r="W382" s="135">
        <f>MAXIFS('Step 3 FOC Request'!$A:$A, 'Step 3 FOC Request'!$F:$F, $E382)</f>
        <v>0</v>
      </c>
      <c r="X382" s="135">
        <f>MAXIFS('Step 4 FOC Return'!$A:$A, 'Step 4 FOC Return'!$E:$E, $E382)</f>
        <v>0</v>
      </c>
      <c r="Y382" s="126"/>
    </row>
    <row r="383">
      <c r="A383" s="126"/>
      <c r="B383" s="154"/>
      <c r="C383" s="146"/>
      <c r="D383" s="146"/>
      <c r="E383" s="146"/>
      <c r="F383" s="155"/>
      <c r="G383" s="146"/>
      <c r="H383" s="126"/>
      <c r="I383" s="132"/>
      <c r="J383" s="146"/>
      <c r="K383" s="126"/>
      <c r="L383" s="126"/>
      <c r="M383" s="134" t="str">
        <f t="shared" si="1"/>
        <v/>
      </c>
      <c r="N383" s="134" t="str">
        <f t="array" ref="N383">IF(M383="LOANED / ON KOL", INDEX('Step 3 FOC Request'!$G:$G, MATCH(1, ('Step 3 FOC Request'!$A:$A=W383) * ('Step 3 FOC Request'!$F:$F=E383), 0)), "-")</f>
        <v>-</v>
      </c>
      <c r="O383" s="126"/>
      <c r="P383" s="126"/>
      <c r="Q383" s="126"/>
      <c r="R383" s="126"/>
      <c r="U383" s="126"/>
      <c r="V383" s="126"/>
      <c r="W383" s="135">
        <f>MAXIFS('Step 3 FOC Request'!$A:$A, 'Step 3 FOC Request'!$F:$F, $E383)</f>
        <v>0</v>
      </c>
      <c r="X383" s="135">
        <f>MAXIFS('Step 4 FOC Return'!$A:$A, 'Step 4 FOC Return'!$E:$E, $E383)</f>
        <v>0</v>
      </c>
      <c r="Y383" s="126"/>
    </row>
    <row r="384">
      <c r="A384" s="126"/>
      <c r="B384" s="154"/>
      <c r="C384" s="146"/>
      <c r="D384" s="146"/>
      <c r="E384" s="146"/>
      <c r="F384" s="155"/>
      <c r="G384" s="146"/>
      <c r="H384" s="126"/>
      <c r="I384" s="132"/>
      <c r="J384" s="146"/>
      <c r="K384" s="126"/>
      <c r="L384" s="126"/>
      <c r="M384" s="134" t="str">
        <f t="shared" si="1"/>
        <v/>
      </c>
      <c r="N384" s="134" t="str">
        <f t="array" ref="N384">IF(M384="LOANED / ON KOL", INDEX('Step 3 FOC Request'!$G:$G, MATCH(1, ('Step 3 FOC Request'!$A:$A=W384) * ('Step 3 FOC Request'!$F:$F=E384), 0)), "-")</f>
        <v>-</v>
      </c>
      <c r="O384" s="126"/>
      <c r="P384" s="126"/>
      <c r="Q384" s="126"/>
      <c r="R384" s="126"/>
      <c r="U384" s="126"/>
      <c r="V384" s="126"/>
      <c r="W384" s="135">
        <f>MAXIFS('Step 3 FOC Request'!$A:$A, 'Step 3 FOC Request'!$F:$F, $E384)</f>
        <v>0</v>
      </c>
      <c r="X384" s="135">
        <f>MAXIFS('Step 4 FOC Return'!$A:$A, 'Step 4 FOC Return'!$E:$E, $E384)</f>
        <v>0</v>
      </c>
      <c r="Y384" s="126"/>
    </row>
    <row r="385">
      <c r="A385" s="126"/>
      <c r="B385" s="154"/>
      <c r="C385" s="146"/>
      <c r="D385" s="146"/>
      <c r="E385" s="146"/>
      <c r="F385" s="155"/>
      <c r="G385" s="146"/>
      <c r="H385" s="126"/>
      <c r="I385" s="132"/>
      <c r="J385" s="146"/>
      <c r="K385" s="126"/>
      <c r="L385" s="126"/>
      <c r="M385" s="134" t="str">
        <f t="shared" si="1"/>
        <v/>
      </c>
      <c r="N385" s="134" t="str">
        <f t="array" ref="N385">IF(M385="LOANED / ON KOL", INDEX('Step 3 FOC Request'!$G:$G, MATCH(1, ('Step 3 FOC Request'!$A:$A=W385) * ('Step 3 FOC Request'!$F:$F=E385), 0)), "-")</f>
        <v>-</v>
      </c>
      <c r="O385" s="126"/>
      <c r="P385" s="126"/>
      <c r="Q385" s="126"/>
      <c r="R385" s="126"/>
      <c r="U385" s="126"/>
      <c r="V385" s="126"/>
      <c r="W385" s="135">
        <f>MAXIFS('Step 3 FOC Request'!$A:$A, 'Step 3 FOC Request'!$F:$F, $E385)</f>
        <v>0</v>
      </c>
      <c r="X385" s="135">
        <f>MAXIFS('Step 4 FOC Return'!$A:$A, 'Step 4 FOC Return'!$E:$E, $E385)</f>
        <v>0</v>
      </c>
      <c r="Y385" s="126"/>
    </row>
    <row r="386">
      <c r="A386" s="126"/>
      <c r="B386" s="154"/>
      <c r="C386" s="146"/>
      <c r="D386" s="146"/>
      <c r="E386" s="146"/>
      <c r="F386" s="155"/>
      <c r="G386" s="146"/>
      <c r="H386" s="126"/>
      <c r="I386" s="132"/>
      <c r="J386" s="146"/>
      <c r="K386" s="126"/>
      <c r="L386" s="126"/>
      <c r="M386" s="134" t="str">
        <f t="shared" si="1"/>
        <v/>
      </c>
      <c r="N386" s="134" t="str">
        <f t="array" ref="N386">IF(M386="LOANED / ON KOL", INDEX('Step 3 FOC Request'!$G:$G, MATCH(1, ('Step 3 FOC Request'!$A:$A=W386) * ('Step 3 FOC Request'!$F:$F=E386), 0)), "-")</f>
        <v>-</v>
      </c>
      <c r="O386" s="126"/>
      <c r="P386" s="126"/>
      <c r="Q386" s="126"/>
      <c r="R386" s="126"/>
      <c r="U386" s="126"/>
      <c r="V386" s="126"/>
      <c r="W386" s="135">
        <f>MAXIFS('Step 3 FOC Request'!$A:$A, 'Step 3 FOC Request'!$F:$F, $E386)</f>
        <v>0</v>
      </c>
      <c r="X386" s="135">
        <f>MAXIFS('Step 4 FOC Return'!$A:$A, 'Step 4 FOC Return'!$E:$E, $E386)</f>
        <v>0</v>
      </c>
      <c r="Y386" s="126"/>
    </row>
    <row r="387">
      <c r="A387" s="126"/>
      <c r="B387" s="154"/>
      <c r="C387" s="146"/>
      <c r="D387" s="146"/>
      <c r="E387" s="146"/>
      <c r="F387" s="155"/>
      <c r="G387" s="146"/>
      <c r="H387" s="126"/>
      <c r="I387" s="132"/>
      <c r="J387" s="146"/>
      <c r="K387" s="126"/>
      <c r="L387" s="126"/>
      <c r="M387" s="134" t="str">
        <f t="shared" si="1"/>
        <v/>
      </c>
      <c r="N387" s="134" t="str">
        <f t="array" ref="N387">IF(M387="LOANED / ON KOL", INDEX('Step 3 FOC Request'!$G:$G, MATCH(1, ('Step 3 FOC Request'!$A:$A=W387) * ('Step 3 FOC Request'!$F:$F=E387), 0)), "-")</f>
        <v>-</v>
      </c>
      <c r="O387" s="126"/>
      <c r="P387" s="126"/>
      <c r="Q387" s="126"/>
      <c r="R387" s="126"/>
      <c r="U387" s="126"/>
      <c r="V387" s="126"/>
      <c r="W387" s="135">
        <f>MAXIFS('Step 3 FOC Request'!$A:$A, 'Step 3 FOC Request'!$F:$F, $E387)</f>
        <v>0</v>
      </c>
      <c r="X387" s="135">
        <f>MAXIFS('Step 4 FOC Return'!$A:$A, 'Step 4 FOC Return'!$E:$E, $E387)</f>
        <v>0</v>
      </c>
      <c r="Y387" s="126"/>
    </row>
    <row r="388">
      <c r="A388" s="126"/>
      <c r="B388" s="154"/>
      <c r="C388" s="146"/>
      <c r="D388" s="146"/>
      <c r="E388" s="146"/>
      <c r="F388" s="155"/>
      <c r="G388" s="146"/>
      <c r="H388" s="126"/>
      <c r="I388" s="132"/>
      <c r="J388" s="146"/>
      <c r="K388" s="126"/>
      <c r="L388" s="126"/>
      <c r="M388" s="134" t="str">
        <f t="shared" si="1"/>
        <v/>
      </c>
      <c r="N388" s="134" t="str">
        <f t="array" ref="N388">IF(M388="LOANED / ON KOL", INDEX('Step 3 FOC Request'!$G:$G, MATCH(1, ('Step 3 FOC Request'!$A:$A=W388) * ('Step 3 FOC Request'!$F:$F=E388), 0)), "-")</f>
        <v>-</v>
      </c>
      <c r="O388" s="126"/>
      <c r="P388" s="126"/>
      <c r="Q388" s="126"/>
      <c r="R388" s="126"/>
      <c r="U388" s="126"/>
      <c r="V388" s="126"/>
      <c r="W388" s="135">
        <f>MAXIFS('Step 3 FOC Request'!$A:$A, 'Step 3 FOC Request'!$F:$F, $E388)</f>
        <v>0</v>
      </c>
      <c r="X388" s="135">
        <f>MAXIFS('Step 4 FOC Return'!$A:$A, 'Step 4 FOC Return'!$E:$E, $E388)</f>
        <v>0</v>
      </c>
      <c r="Y388" s="126"/>
    </row>
    <row r="389">
      <c r="A389" s="126"/>
      <c r="B389" s="154"/>
      <c r="C389" s="146"/>
      <c r="D389" s="146"/>
      <c r="E389" s="146"/>
      <c r="F389" s="155"/>
      <c r="G389" s="146"/>
      <c r="H389" s="126"/>
      <c r="I389" s="132"/>
      <c r="J389" s="146"/>
      <c r="K389" s="126"/>
      <c r="L389" s="126"/>
      <c r="M389" s="134" t="str">
        <f t="shared" si="1"/>
        <v/>
      </c>
      <c r="N389" s="134" t="str">
        <f t="array" ref="N389">IF(M389="LOANED / ON KOL", INDEX('Step 3 FOC Request'!$G:$G, MATCH(1, ('Step 3 FOC Request'!$A:$A=W389) * ('Step 3 FOC Request'!$F:$F=E389), 0)), "-")</f>
        <v>-</v>
      </c>
      <c r="O389" s="126"/>
      <c r="P389" s="126"/>
      <c r="Q389" s="126"/>
      <c r="R389" s="126"/>
      <c r="U389" s="126"/>
      <c r="V389" s="126"/>
      <c r="W389" s="135">
        <f>MAXIFS('Step 3 FOC Request'!$A:$A, 'Step 3 FOC Request'!$F:$F, $E389)</f>
        <v>0</v>
      </c>
      <c r="X389" s="135">
        <f>MAXIFS('Step 4 FOC Return'!$A:$A, 'Step 4 FOC Return'!$E:$E, $E389)</f>
        <v>0</v>
      </c>
      <c r="Y389" s="126"/>
    </row>
    <row r="390">
      <c r="A390" s="126"/>
      <c r="B390" s="154"/>
      <c r="C390" s="146"/>
      <c r="D390" s="146"/>
      <c r="E390" s="146"/>
      <c r="F390" s="155"/>
      <c r="G390" s="146"/>
      <c r="H390" s="126"/>
      <c r="I390" s="132"/>
      <c r="J390" s="146"/>
      <c r="K390" s="126"/>
      <c r="L390" s="126"/>
      <c r="M390" s="134" t="str">
        <f t="shared" si="1"/>
        <v/>
      </c>
      <c r="N390" s="134" t="str">
        <f t="array" ref="N390">IF(M390="LOANED / ON KOL", INDEX('Step 3 FOC Request'!$G:$G, MATCH(1, ('Step 3 FOC Request'!$A:$A=W390) * ('Step 3 FOC Request'!$F:$F=E390), 0)), "-")</f>
        <v>-</v>
      </c>
      <c r="O390" s="126"/>
      <c r="P390" s="126"/>
      <c r="Q390" s="126"/>
      <c r="R390" s="126"/>
      <c r="U390" s="126"/>
      <c r="V390" s="126"/>
      <c r="W390" s="135">
        <f>MAXIFS('Step 3 FOC Request'!$A:$A, 'Step 3 FOC Request'!$F:$F, $E390)</f>
        <v>0</v>
      </c>
      <c r="X390" s="135">
        <f>MAXIFS('Step 4 FOC Return'!$A:$A, 'Step 4 FOC Return'!$E:$E, $E390)</f>
        <v>0</v>
      </c>
      <c r="Y390" s="126"/>
    </row>
    <row r="391">
      <c r="A391" s="126"/>
      <c r="B391" s="154"/>
      <c r="C391" s="146"/>
      <c r="D391" s="146"/>
      <c r="E391" s="146"/>
      <c r="F391" s="155"/>
      <c r="G391" s="146"/>
      <c r="H391" s="126"/>
      <c r="I391" s="132"/>
      <c r="J391" s="146"/>
      <c r="K391" s="126"/>
      <c r="L391" s="126"/>
      <c r="M391" s="134" t="str">
        <f t="shared" si="1"/>
        <v/>
      </c>
      <c r="N391" s="134" t="str">
        <f t="array" ref="N391">IF(M391="LOANED / ON KOL", INDEX('Step 3 FOC Request'!$G:$G, MATCH(1, ('Step 3 FOC Request'!$A:$A=W391) * ('Step 3 FOC Request'!$F:$F=E391), 0)), "-")</f>
        <v>-</v>
      </c>
      <c r="O391" s="126"/>
      <c r="P391" s="126"/>
      <c r="Q391" s="126"/>
      <c r="R391" s="126"/>
      <c r="U391" s="126"/>
      <c r="V391" s="126"/>
      <c r="W391" s="135">
        <f>MAXIFS('Step 3 FOC Request'!$A:$A, 'Step 3 FOC Request'!$F:$F, $E391)</f>
        <v>0</v>
      </c>
      <c r="X391" s="135">
        <f>MAXIFS('Step 4 FOC Return'!$A:$A, 'Step 4 FOC Return'!$E:$E, $E391)</f>
        <v>0</v>
      </c>
      <c r="Y391" s="126"/>
    </row>
    <row r="392">
      <c r="A392" s="126"/>
      <c r="B392" s="154"/>
      <c r="C392" s="146"/>
      <c r="D392" s="146"/>
      <c r="E392" s="146"/>
      <c r="F392" s="155"/>
      <c r="G392" s="146"/>
      <c r="H392" s="126"/>
      <c r="I392" s="132"/>
      <c r="J392" s="146"/>
      <c r="K392" s="126"/>
      <c r="L392" s="126"/>
      <c r="M392" s="134" t="str">
        <f t="shared" si="1"/>
        <v/>
      </c>
      <c r="N392" s="134" t="str">
        <f t="array" ref="N392">IF(M392="LOANED / ON KOL", INDEX('Step 3 FOC Request'!$G:$G, MATCH(1, ('Step 3 FOC Request'!$A:$A=W392) * ('Step 3 FOC Request'!$F:$F=E392), 0)), "-")</f>
        <v>-</v>
      </c>
      <c r="O392" s="126"/>
      <c r="P392" s="126"/>
      <c r="Q392" s="126"/>
      <c r="R392" s="126"/>
      <c r="U392" s="126"/>
      <c r="V392" s="126"/>
      <c r="W392" s="135">
        <f>MAXIFS('Step 3 FOC Request'!$A:$A, 'Step 3 FOC Request'!$F:$F, $E392)</f>
        <v>0</v>
      </c>
      <c r="X392" s="135">
        <f>MAXIFS('Step 4 FOC Return'!$A:$A, 'Step 4 FOC Return'!$E:$E, $E392)</f>
        <v>0</v>
      </c>
      <c r="Y392" s="126"/>
    </row>
    <row r="393">
      <c r="A393" s="126"/>
      <c r="B393" s="154"/>
      <c r="C393" s="146"/>
      <c r="D393" s="146"/>
      <c r="E393" s="146"/>
      <c r="F393" s="155"/>
      <c r="G393" s="146"/>
      <c r="H393" s="126"/>
      <c r="I393" s="132"/>
      <c r="J393" s="146"/>
      <c r="K393" s="126"/>
      <c r="L393" s="126"/>
      <c r="M393" s="134" t="str">
        <f t="shared" si="1"/>
        <v/>
      </c>
      <c r="N393" s="134" t="str">
        <f t="array" ref="N393">IF(M393="LOANED / ON KOL", INDEX('Step 3 FOC Request'!$G:$G, MATCH(1, ('Step 3 FOC Request'!$A:$A=W393) * ('Step 3 FOC Request'!$F:$F=E393), 0)), "-")</f>
        <v>-</v>
      </c>
      <c r="O393" s="126"/>
      <c r="P393" s="126"/>
      <c r="Q393" s="126"/>
      <c r="R393" s="126"/>
      <c r="U393" s="126"/>
      <c r="V393" s="126"/>
      <c r="W393" s="135">
        <f>MAXIFS('Step 3 FOC Request'!$A:$A, 'Step 3 FOC Request'!$F:$F, $E393)</f>
        <v>0</v>
      </c>
      <c r="X393" s="135">
        <f>MAXIFS('Step 4 FOC Return'!$A:$A, 'Step 4 FOC Return'!$E:$E, $E393)</f>
        <v>0</v>
      </c>
      <c r="Y393" s="126"/>
    </row>
    <row r="394">
      <c r="A394" s="126"/>
      <c r="B394" s="154"/>
      <c r="C394" s="146"/>
      <c r="D394" s="146"/>
      <c r="E394" s="146"/>
      <c r="F394" s="155"/>
      <c r="G394" s="146"/>
      <c r="H394" s="126"/>
      <c r="I394" s="132"/>
      <c r="J394" s="146"/>
      <c r="K394" s="126"/>
      <c r="L394" s="126"/>
      <c r="M394" s="134" t="str">
        <f t="shared" si="1"/>
        <v/>
      </c>
      <c r="N394" s="134" t="str">
        <f t="array" ref="N394">IF(M394="LOANED / ON KOL", INDEX('Step 3 FOC Request'!$G:$G, MATCH(1, ('Step 3 FOC Request'!$A:$A=W394) * ('Step 3 FOC Request'!$F:$F=E394), 0)), "-")</f>
        <v>-</v>
      </c>
      <c r="O394" s="126"/>
      <c r="P394" s="126"/>
      <c r="Q394" s="126"/>
      <c r="R394" s="126"/>
      <c r="U394" s="126"/>
      <c r="V394" s="126"/>
      <c r="W394" s="135">
        <f>MAXIFS('Step 3 FOC Request'!$A:$A, 'Step 3 FOC Request'!$F:$F, $E394)</f>
        <v>0</v>
      </c>
      <c r="X394" s="135">
        <f>MAXIFS('Step 4 FOC Return'!$A:$A, 'Step 4 FOC Return'!$E:$E, $E394)</f>
        <v>0</v>
      </c>
      <c r="Y394" s="126"/>
    </row>
    <row r="395">
      <c r="A395" s="126"/>
      <c r="B395" s="154"/>
      <c r="C395" s="146"/>
      <c r="D395" s="146"/>
      <c r="E395" s="146"/>
      <c r="F395" s="155"/>
      <c r="G395" s="146"/>
      <c r="H395" s="126"/>
      <c r="I395" s="132"/>
      <c r="J395" s="146"/>
      <c r="K395" s="126"/>
      <c r="L395" s="126"/>
      <c r="M395" s="134" t="str">
        <f t="shared" si="1"/>
        <v/>
      </c>
      <c r="N395" s="134" t="str">
        <f t="array" ref="N395">IF(M395="LOANED / ON KOL", INDEX('Step 3 FOC Request'!$G:$G, MATCH(1, ('Step 3 FOC Request'!$A:$A=W395) * ('Step 3 FOC Request'!$F:$F=E395), 0)), "-")</f>
        <v>-</v>
      </c>
      <c r="O395" s="126"/>
      <c r="P395" s="126"/>
      <c r="Q395" s="126"/>
      <c r="R395" s="126"/>
      <c r="U395" s="126"/>
      <c r="V395" s="126"/>
      <c r="W395" s="135">
        <f>MAXIFS('Step 3 FOC Request'!$A:$A, 'Step 3 FOC Request'!$F:$F, $E395)</f>
        <v>0</v>
      </c>
      <c r="X395" s="135">
        <f>MAXIFS('Step 4 FOC Return'!$A:$A, 'Step 4 FOC Return'!$E:$E, $E395)</f>
        <v>0</v>
      </c>
      <c r="Y395" s="126"/>
    </row>
    <row r="396">
      <c r="A396" s="126"/>
      <c r="B396" s="154"/>
      <c r="C396" s="146"/>
      <c r="D396" s="146"/>
      <c r="E396" s="146"/>
      <c r="F396" s="155"/>
      <c r="G396" s="146"/>
      <c r="H396" s="126"/>
      <c r="I396" s="132"/>
      <c r="J396" s="146"/>
      <c r="K396" s="126"/>
      <c r="L396" s="126"/>
      <c r="M396" s="134" t="str">
        <f t="shared" si="1"/>
        <v/>
      </c>
      <c r="N396" s="134" t="str">
        <f t="array" ref="N396">IF(M396="LOANED / ON KOL", INDEX('Step 3 FOC Request'!$G:$G, MATCH(1, ('Step 3 FOC Request'!$A:$A=W396) * ('Step 3 FOC Request'!$F:$F=E396), 0)), "-")</f>
        <v>-</v>
      </c>
      <c r="O396" s="126"/>
      <c r="P396" s="126"/>
      <c r="Q396" s="126"/>
      <c r="R396" s="126"/>
      <c r="U396" s="126"/>
      <c r="V396" s="126"/>
      <c r="W396" s="135">
        <f>MAXIFS('Step 3 FOC Request'!$A:$A, 'Step 3 FOC Request'!$F:$F, $E396)</f>
        <v>0</v>
      </c>
      <c r="X396" s="135">
        <f>MAXIFS('Step 4 FOC Return'!$A:$A, 'Step 4 FOC Return'!$E:$E, $E396)</f>
        <v>0</v>
      </c>
      <c r="Y396" s="126"/>
    </row>
    <row r="397">
      <c r="A397" s="126"/>
      <c r="B397" s="154"/>
      <c r="C397" s="146"/>
      <c r="D397" s="146"/>
      <c r="E397" s="146"/>
      <c r="F397" s="155"/>
      <c r="G397" s="146"/>
      <c r="H397" s="126"/>
      <c r="I397" s="132"/>
      <c r="J397" s="146"/>
      <c r="K397" s="126"/>
      <c r="L397" s="126"/>
      <c r="M397" s="134" t="str">
        <f t="shared" si="1"/>
        <v/>
      </c>
      <c r="N397" s="134" t="str">
        <f t="array" ref="N397">IF(M397="LOANED / ON KOL", INDEX('Step 3 FOC Request'!$G:$G, MATCH(1, ('Step 3 FOC Request'!$A:$A=W397) * ('Step 3 FOC Request'!$F:$F=E397), 0)), "-")</f>
        <v>-</v>
      </c>
      <c r="O397" s="126"/>
      <c r="P397" s="126"/>
      <c r="Q397" s="126"/>
      <c r="R397" s="126"/>
      <c r="U397" s="126"/>
      <c r="V397" s="126"/>
      <c r="W397" s="135">
        <f>MAXIFS('Step 3 FOC Request'!$A:$A, 'Step 3 FOC Request'!$F:$F, $E397)</f>
        <v>0</v>
      </c>
      <c r="X397" s="135">
        <f>MAXIFS('Step 4 FOC Return'!$A:$A, 'Step 4 FOC Return'!$E:$E, $E397)</f>
        <v>0</v>
      </c>
      <c r="Y397" s="126"/>
    </row>
    <row r="398">
      <c r="A398" s="126"/>
      <c r="B398" s="154"/>
      <c r="C398" s="146"/>
      <c r="D398" s="146"/>
      <c r="E398" s="146"/>
      <c r="F398" s="155"/>
      <c r="G398" s="146"/>
      <c r="H398" s="126"/>
      <c r="I398" s="132"/>
      <c r="J398" s="146"/>
      <c r="K398" s="126"/>
      <c r="L398" s="126"/>
      <c r="M398" s="134" t="str">
        <f t="shared" si="1"/>
        <v/>
      </c>
      <c r="N398" s="134" t="str">
        <f t="array" ref="N398">IF(M398="LOANED / ON KOL", INDEX('Step 3 FOC Request'!$G:$G, MATCH(1, ('Step 3 FOC Request'!$A:$A=W398) * ('Step 3 FOC Request'!$F:$F=E398), 0)), "-")</f>
        <v>-</v>
      </c>
      <c r="O398" s="126"/>
      <c r="P398" s="126"/>
      <c r="Q398" s="126"/>
      <c r="R398" s="126"/>
      <c r="U398" s="126"/>
      <c r="V398" s="126"/>
      <c r="W398" s="135">
        <f>MAXIFS('Step 3 FOC Request'!$A:$A, 'Step 3 FOC Request'!$F:$F, $E398)</f>
        <v>0</v>
      </c>
      <c r="X398" s="135">
        <f>MAXIFS('Step 4 FOC Return'!$A:$A, 'Step 4 FOC Return'!$E:$E, $E398)</f>
        <v>0</v>
      </c>
      <c r="Y398" s="126"/>
    </row>
    <row r="399">
      <c r="A399" s="126"/>
      <c r="B399" s="154"/>
      <c r="C399" s="146"/>
      <c r="D399" s="146"/>
      <c r="E399" s="146"/>
      <c r="F399" s="155"/>
      <c r="G399" s="146"/>
      <c r="H399" s="126"/>
      <c r="I399" s="132"/>
      <c r="J399" s="146"/>
      <c r="K399" s="126"/>
      <c r="L399" s="126"/>
      <c r="M399" s="134" t="str">
        <f t="shared" si="1"/>
        <v/>
      </c>
      <c r="N399" s="134" t="str">
        <f t="array" ref="N399">IF(M399="LOANED / ON KOL", INDEX('Step 3 FOC Request'!$G:$G, MATCH(1, ('Step 3 FOC Request'!$A:$A=W399) * ('Step 3 FOC Request'!$F:$F=E399), 0)), "-")</f>
        <v>-</v>
      </c>
      <c r="O399" s="126"/>
      <c r="P399" s="126"/>
      <c r="Q399" s="126"/>
      <c r="R399" s="126"/>
      <c r="U399" s="126"/>
      <c r="V399" s="126"/>
      <c r="W399" s="135">
        <f>MAXIFS('Step 3 FOC Request'!$A:$A, 'Step 3 FOC Request'!$F:$F, $E399)</f>
        <v>0</v>
      </c>
      <c r="X399" s="135">
        <f>MAXIFS('Step 4 FOC Return'!$A:$A, 'Step 4 FOC Return'!$E:$E, $E399)</f>
        <v>0</v>
      </c>
      <c r="Y399" s="126"/>
    </row>
    <row r="400">
      <c r="A400" s="126"/>
      <c r="B400" s="154"/>
      <c r="C400" s="146"/>
      <c r="D400" s="146"/>
      <c r="E400" s="146"/>
      <c r="F400" s="155"/>
      <c r="G400" s="146"/>
      <c r="H400" s="126"/>
      <c r="I400" s="132"/>
      <c r="J400" s="146"/>
      <c r="K400" s="126"/>
      <c r="L400" s="126"/>
      <c r="M400" s="134" t="str">
        <f t="shared" si="1"/>
        <v/>
      </c>
      <c r="N400" s="134" t="str">
        <f t="array" ref="N400">IF(M400="LOANED / ON KOL", INDEX('Step 3 FOC Request'!$G:$G, MATCH(1, ('Step 3 FOC Request'!$A:$A=W400) * ('Step 3 FOC Request'!$F:$F=E400), 0)), "-")</f>
        <v>-</v>
      </c>
      <c r="O400" s="126"/>
      <c r="P400" s="126"/>
      <c r="Q400" s="126"/>
      <c r="R400" s="126"/>
      <c r="U400" s="126"/>
      <c r="V400" s="126"/>
      <c r="W400" s="135">
        <f>MAXIFS('Step 3 FOC Request'!$A:$A, 'Step 3 FOC Request'!$F:$F, $E400)</f>
        <v>0</v>
      </c>
      <c r="X400" s="135">
        <f>MAXIFS('Step 4 FOC Return'!$A:$A, 'Step 4 FOC Return'!$E:$E, $E400)</f>
        <v>0</v>
      </c>
      <c r="Y400" s="126"/>
    </row>
    <row r="401">
      <c r="A401" s="126"/>
      <c r="B401" s="154"/>
      <c r="C401" s="146"/>
      <c r="D401" s="146"/>
      <c r="E401" s="146"/>
      <c r="F401" s="155"/>
      <c r="G401" s="146"/>
      <c r="H401" s="126"/>
      <c r="I401" s="132"/>
      <c r="J401" s="146"/>
      <c r="K401" s="126"/>
      <c r="L401" s="126"/>
      <c r="M401" s="134" t="str">
        <f t="shared" si="1"/>
        <v/>
      </c>
      <c r="N401" s="134" t="str">
        <f t="array" ref="N401">IF(M401="LOANED / ON KOL", INDEX('Step 3 FOC Request'!$G:$G, MATCH(1, ('Step 3 FOC Request'!$A:$A=W401) * ('Step 3 FOC Request'!$F:$F=E401), 0)), "-")</f>
        <v>-</v>
      </c>
      <c r="O401" s="126"/>
      <c r="P401" s="126"/>
      <c r="Q401" s="126"/>
      <c r="R401" s="126"/>
      <c r="U401" s="126"/>
      <c r="V401" s="126"/>
      <c r="W401" s="135">
        <f>MAXIFS('Step 3 FOC Request'!$A:$A, 'Step 3 FOC Request'!$F:$F, $E401)</f>
        <v>0</v>
      </c>
      <c r="X401" s="135">
        <f>MAXIFS('Step 4 FOC Return'!$A:$A, 'Step 4 FOC Return'!$E:$E, $E401)</f>
        <v>0</v>
      </c>
      <c r="Y401" s="126"/>
    </row>
    <row r="402">
      <c r="A402" s="126"/>
      <c r="B402" s="154"/>
      <c r="C402" s="146"/>
      <c r="D402" s="146"/>
      <c r="E402" s="146"/>
      <c r="F402" s="155"/>
      <c r="G402" s="146"/>
      <c r="H402" s="126"/>
      <c r="I402" s="132"/>
      <c r="J402" s="146"/>
      <c r="K402" s="126"/>
      <c r="L402" s="126"/>
      <c r="M402" s="134" t="str">
        <f t="shared" si="1"/>
        <v/>
      </c>
      <c r="N402" s="134" t="str">
        <f t="array" ref="N402">IF(M402="LOANED / ON KOL", INDEX('Step 3 FOC Request'!$G:$G, MATCH(1, ('Step 3 FOC Request'!$A:$A=W402) * ('Step 3 FOC Request'!$F:$F=E402), 0)), "-")</f>
        <v>-</v>
      </c>
      <c r="O402" s="126"/>
      <c r="P402" s="126"/>
      <c r="Q402" s="126"/>
      <c r="R402" s="126"/>
      <c r="U402" s="126"/>
      <c r="V402" s="126"/>
      <c r="W402" s="135">
        <f>MAXIFS('Step 3 FOC Request'!$A:$A, 'Step 3 FOC Request'!$F:$F, $E402)</f>
        <v>0</v>
      </c>
      <c r="X402" s="135">
        <f>MAXIFS('Step 4 FOC Return'!$A:$A, 'Step 4 FOC Return'!$E:$E, $E402)</f>
        <v>0</v>
      </c>
      <c r="Y402" s="126"/>
    </row>
    <row r="403">
      <c r="A403" s="126"/>
      <c r="B403" s="154"/>
      <c r="C403" s="146"/>
      <c r="D403" s="146"/>
      <c r="E403" s="146"/>
      <c r="F403" s="155"/>
      <c r="G403" s="146"/>
      <c r="H403" s="126"/>
      <c r="I403" s="132"/>
      <c r="J403" s="146"/>
      <c r="K403" s="126"/>
      <c r="L403" s="126"/>
      <c r="M403" s="134" t="str">
        <f t="shared" si="1"/>
        <v/>
      </c>
      <c r="N403" s="134" t="str">
        <f t="array" ref="N403">IF(M403="LOANED / ON KOL", INDEX('Step 3 FOC Request'!$G:$G, MATCH(1, ('Step 3 FOC Request'!$A:$A=W403) * ('Step 3 FOC Request'!$F:$F=E403), 0)), "-")</f>
        <v>-</v>
      </c>
      <c r="O403" s="126"/>
      <c r="P403" s="126"/>
      <c r="Q403" s="126"/>
      <c r="R403" s="126"/>
      <c r="U403" s="126"/>
      <c r="V403" s="126"/>
      <c r="W403" s="135">
        <f>MAXIFS('Step 3 FOC Request'!$A:$A, 'Step 3 FOC Request'!$F:$F, $E403)</f>
        <v>0</v>
      </c>
      <c r="X403" s="135">
        <f>MAXIFS('Step 4 FOC Return'!$A:$A, 'Step 4 FOC Return'!$E:$E, $E403)</f>
        <v>0</v>
      </c>
      <c r="Y403" s="126"/>
    </row>
    <row r="404">
      <c r="A404" s="126"/>
      <c r="B404" s="154"/>
      <c r="C404" s="146"/>
      <c r="D404" s="146"/>
      <c r="E404" s="146"/>
      <c r="F404" s="155"/>
      <c r="G404" s="146"/>
      <c r="H404" s="126"/>
      <c r="I404" s="132"/>
      <c r="J404" s="146"/>
      <c r="K404" s="126"/>
      <c r="L404" s="126"/>
      <c r="M404" s="134" t="str">
        <f t="shared" si="1"/>
        <v/>
      </c>
      <c r="N404" s="134" t="str">
        <f t="array" ref="N404">IF(M404="LOANED / ON KOL", INDEX('Step 3 FOC Request'!$G:$G, MATCH(1, ('Step 3 FOC Request'!$A:$A=W404) * ('Step 3 FOC Request'!$F:$F=E404), 0)), "-")</f>
        <v>-</v>
      </c>
      <c r="O404" s="126"/>
      <c r="P404" s="126"/>
      <c r="Q404" s="126"/>
      <c r="R404" s="126"/>
      <c r="U404" s="126"/>
      <c r="V404" s="126"/>
      <c r="W404" s="135">
        <f>MAXIFS('Step 3 FOC Request'!$A:$A, 'Step 3 FOC Request'!$F:$F, $E404)</f>
        <v>0</v>
      </c>
      <c r="X404" s="135">
        <f>MAXIFS('Step 4 FOC Return'!$A:$A, 'Step 4 FOC Return'!$E:$E, $E404)</f>
        <v>0</v>
      </c>
      <c r="Y404" s="126"/>
    </row>
    <row r="405">
      <c r="A405" s="126"/>
      <c r="B405" s="154"/>
      <c r="C405" s="146"/>
      <c r="D405" s="146"/>
      <c r="E405" s="146"/>
      <c r="F405" s="155"/>
      <c r="G405" s="146"/>
      <c r="H405" s="126"/>
      <c r="I405" s="132"/>
      <c r="J405" s="146"/>
      <c r="K405" s="126"/>
      <c r="L405" s="126"/>
      <c r="M405" s="134" t="str">
        <f t="shared" si="1"/>
        <v/>
      </c>
      <c r="N405" s="134" t="str">
        <f t="array" ref="N405">IF(M405="LOANED / ON KOL", INDEX('Step 3 FOC Request'!$G:$G, MATCH(1, ('Step 3 FOC Request'!$A:$A=W405) * ('Step 3 FOC Request'!$F:$F=E405), 0)), "-")</f>
        <v>-</v>
      </c>
      <c r="O405" s="126"/>
      <c r="P405" s="126"/>
      <c r="Q405" s="126"/>
      <c r="R405" s="126"/>
      <c r="U405" s="126"/>
      <c r="V405" s="126"/>
      <c r="W405" s="135">
        <f>MAXIFS('Step 3 FOC Request'!$A:$A, 'Step 3 FOC Request'!$F:$F, $E405)</f>
        <v>0</v>
      </c>
      <c r="X405" s="135">
        <f>MAXIFS('Step 4 FOC Return'!$A:$A, 'Step 4 FOC Return'!$E:$E, $E405)</f>
        <v>0</v>
      </c>
      <c r="Y405" s="126"/>
    </row>
    <row r="406">
      <c r="A406" s="126"/>
      <c r="B406" s="154"/>
      <c r="C406" s="146"/>
      <c r="D406" s="146"/>
      <c r="E406" s="146"/>
      <c r="F406" s="155"/>
      <c r="G406" s="146"/>
      <c r="H406" s="126"/>
      <c r="I406" s="132"/>
      <c r="J406" s="146"/>
      <c r="K406" s="126"/>
      <c r="L406" s="126"/>
      <c r="M406" s="134" t="str">
        <f t="shared" si="1"/>
        <v/>
      </c>
      <c r="N406" s="134" t="str">
        <f t="array" ref="N406">IF(M406="LOANED / ON KOL", INDEX('Step 3 FOC Request'!$G:$G, MATCH(1, ('Step 3 FOC Request'!$A:$A=W406) * ('Step 3 FOC Request'!$F:$F=E406), 0)), "-")</f>
        <v>-</v>
      </c>
      <c r="O406" s="126"/>
      <c r="P406" s="126"/>
      <c r="Q406" s="126"/>
      <c r="R406" s="126"/>
      <c r="U406" s="126"/>
      <c r="V406" s="126"/>
      <c r="W406" s="135">
        <f>MAXIFS('Step 3 FOC Request'!$A:$A, 'Step 3 FOC Request'!$F:$F, $E406)</f>
        <v>0</v>
      </c>
      <c r="X406" s="135">
        <f>MAXIFS('Step 4 FOC Return'!$A:$A, 'Step 4 FOC Return'!$E:$E, $E406)</f>
        <v>0</v>
      </c>
      <c r="Y406" s="126"/>
    </row>
    <row r="407">
      <c r="A407" s="126"/>
      <c r="B407" s="154"/>
      <c r="C407" s="146"/>
      <c r="D407" s="146"/>
      <c r="E407" s="146"/>
      <c r="F407" s="155"/>
      <c r="G407" s="146"/>
      <c r="H407" s="126"/>
      <c r="I407" s="132"/>
      <c r="J407" s="146"/>
      <c r="K407" s="126"/>
      <c r="L407" s="126"/>
      <c r="M407" s="134" t="str">
        <f t="shared" si="1"/>
        <v/>
      </c>
      <c r="N407" s="134" t="str">
        <f t="array" ref="N407">IF(M407="LOANED / ON KOL", INDEX('Step 3 FOC Request'!$G:$G, MATCH(1, ('Step 3 FOC Request'!$A:$A=W407) * ('Step 3 FOC Request'!$F:$F=E407), 0)), "-")</f>
        <v>-</v>
      </c>
      <c r="O407" s="126"/>
      <c r="P407" s="126"/>
      <c r="Q407" s="126"/>
      <c r="R407" s="126"/>
      <c r="U407" s="126"/>
      <c r="V407" s="126"/>
      <c r="W407" s="135">
        <f>MAXIFS('Step 3 FOC Request'!$A:$A, 'Step 3 FOC Request'!$F:$F, $E407)</f>
        <v>0</v>
      </c>
      <c r="X407" s="135">
        <f>MAXIFS('Step 4 FOC Return'!$A:$A, 'Step 4 FOC Return'!$E:$E, $E407)</f>
        <v>0</v>
      </c>
      <c r="Y407" s="126"/>
    </row>
    <row r="408">
      <c r="A408" s="126"/>
      <c r="B408" s="154"/>
      <c r="C408" s="146"/>
      <c r="D408" s="146"/>
      <c r="E408" s="146"/>
      <c r="F408" s="155"/>
      <c r="G408" s="146"/>
      <c r="H408" s="126"/>
      <c r="I408" s="132"/>
      <c r="J408" s="146"/>
      <c r="K408" s="126"/>
      <c r="L408" s="126"/>
      <c r="M408" s="134" t="str">
        <f t="shared" si="1"/>
        <v/>
      </c>
      <c r="N408" s="134" t="str">
        <f t="array" ref="N408">IF(M408="LOANED / ON KOL", INDEX('Step 3 FOC Request'!$G:$G, MATCH(1, ('Step 3 FOC Request'!$A:$A=W408) * ('Step 3 FOC Request'!$F:$F=E408), 0)), "-")</f>
        <v>-</v>
      </c>
      <c r="O408" s="126"/>
      <c r="P408" s="126"/>
      <c r="Q408" s="126"/>
      <c r="R408" s="126"/>
      <c r="U408" s="126"/>
      <c r="V408" s="126"/>
      <c r="W408" s="135">
        <f>MAXIFS('Step 3 FOC Request'!$A:$A, 'Step 3 FOC Request'!$F:$F, $E408)</f>
        <v>0</v>
      </c>
      <c r="X408" s="135">
        <f>MAXIFS('Step 4 FOC Return'!$A:$A, 'Step 4 FOC Return'!$E:$E, $E408)</f>
        <v>0</v>
      </c>
      <c r="Y408" s="126"/>
    </row>
    <row r="409">
      <c r="A409" s="126"/>
      <c r="B409" s="154"/>
      <c r="C409" s="146"/>
      <c r="D409" s="146"/>
      <c r="E409" s="146"/>
      <c r="F409" s="155"/>
      <c r="G409" s="146"/>
      <c r="H409" s="126"/>
      <c r="I409" s="132"/>
      <c r="J409" s="146"/>
      <c r="K409" s="126"/>
      <c r="L409" s="126"/>
      <c r="M409" s="134" t="str">
        <f t="shared" si="1"/>
        <v/>
      </c>
      <c r="N409" s="134" t="str">
        <f t="array" ref="N409">IF(M409="LOANED / ON KOL", INDEX('Step 3 FOC Request'!$G:$G, MATCH(1, ('Step 3 FOC Request'!$A:$A=W409) * ('Step 3 FOC Request'!$F:$F=E409), 0)), "-")</f>
        <v>-</v>
      </c>
      <c r="O409" s="126"/>
      <c r="P409" s="126"/>
      <c r="Q409" s="126"/>
      <c r="R409" s="126"/>
      <c r="U409" s="126"/>
      <c r="V409" s="126"/>
      <c r="W409" s="135">
        <f>MAXIFS('Step 3 FOC Request'!$A:$A, 'Step 3 FOC Request'!$F:$F, $E409)</f>
        <v>0</v>
      </c>
      <c r="X409" s="135">
        <f>MAXIFS('Step 4 FOC Return'!$A:$A, 'Step 4 FOC Return'!$E:$E, $E409)</f>
        <v>0</v>
      </c>
      <c r="Y409" s="126"/>
    </row>
    <row r="410">
      <c r="A410" s="126"/>
      <c r="B410" s="154"/>
      <c r="C410" s="146"/>
      <c r="D410" s="146"/>
      <c r="E410" s="146"/>
      <c r="F410" s="155"/>
      <c r="G410" s="146"/>
      <c r="H410" s="126"/>
      <c r="I410" s="132"/>
      <c r="J410" s="146"/>
      <c r="K410" s="126"/>
      <c r="L410" s="126"/>
      <c r="M410" s="134" t="str">
        <f t="shared" si="1"/>
        <v/>
      </c>
      <c r="N410" s="134" t="str">
        <f t="array" ref="N410">IF(M410="LOANED / ON KOL", INDEX('Step 3 FOC Request'!$G:$G, MATCH(1, ('Step 3 FOC Request'!$A:$A=W410) * ('Step 3 FOC Request'!$F:$F=E410), 0)), "-")</f>
        <v>-</v>
      </c>
      <c r="O410" s="126"/>
      <c r="P410" s="126"/>
      <c r="Q410" s="126"/>
      <c r="R410" s="126"/>
      <c r="U410" s="126"/>
      <c r="V410" s="126"/>
      <c r="W410" s="135">
        <f>MAXIFS('Step 3 FOC Request'!$A:$A, 'Step 3 FOC Request'!$F:$F, $E410)</f>
        <v>0</v>
      </c>
      <c r="X410" s="135">
        <f>MAXIFS('Step 4 FOC Return'!$A:$A, 'Step 4 FOC Return'!$E:$E, $E410)</f>
        <v>0</v>
      </c>
      <c r="Y410" s="126"/>
    </row>
    <row r="411">
      <c r="A411" s="126"/>
      <c r="B411" s="154"/>
      <c r="C411" s="146"/>
      <c r="D411" s="146"/>
      <c r="E411" s="146"/>
      <c r="F411" s="155"/>
      <c r="G411" s="146"/>
      <c r="H411" s="126"/>
      <c r="I411" s="132"/>
      <c r="J411" s="146"/>
      <c r="K411" s="126"/>
      <c r="L411" s="126"/>
      <c r="M411" s="134" t="str">
        <f t="shared" si="1"/>
        <v/>
      </c>
      <c r="N411" s="134" t="str">
        <f t="array" ref="N411">IF(M411="LOANED / ON KOL", INDEX('Step 3 FOC Request'!$G:$G, MATCH(1, ('Step 3 FOC Request'!$A:$A=W411) * ('Step 3 FOC Request'!$F:$F=E411), 0)), "-")</f>
        <v>-</v>
      </c>
      <c r="O411" s="126"/>
      <c r="P411" s="126"/>
      <c r="Q411" s="126"/>
      <c r="R411" s="126"/>
      <c r="U411" s="126"/>
      <c r="V411" s="126"/>
      <c r="W411" s="135">
        <f>MAXIFS('Step 3 FOC Request'!$A:$A, 'Step 3 FOC Request'!$F:$F, $E411)</f>
        <v>0</v>
      </c>
      <c r="X411" s="135">
        <f>MAXIFS('Step 4 FOC Return'!$A:$A, 'Step 4 FOC Return'!$E:$E, $E411)</f>
        <v>0</v>
      </c>
      <c r="Y411" s="126"/>
    </row>
    <row r="412">
      <c r="A412" s="126"/>
      <c r="B412" s="154"/>
      <c r="C412" s="146"/>
      <c r="D412" s="146"/>
      <c r="E412" s="146"/>
      <c r="F412" s="155"/>
      <c r="G412" s="146"/>
      <c r="H412" s="126"/>
      <c r="I412" s="132"/>
      <c r="J412" s="146"/>
      <c r="K412" s="126"/>
      <c r="L412" s="126"/>
      <c r="M412" s="134" t="str">
        <f t="shared" si="1"/>
        <v/>
      </c>
      <c r="N412" s="134" t="str">
        <f t="array" ref="N412">IF(M412="LOANED / ON KOL", INDEX('Step 3 FOC Request'!$G:$G, MATCH(1, ('Step 3 FOC Request'!$A:$A=W412) * ('Step 3 FOC Request'!$F:$F=E412), 0)), "-")</f>
        <v>-</v>
      </c>
      <c r="O412" s="126"/>
      <c r="P412" s="126"/>
      <c r="Q412" s="126"/>
      <c r="R412" s="126"/>
      <c r="U412" s="126"/>
      <c r="V412" s="126"/>
      <c r="W412" s="135">
        <f>MAXIFS('Step 3 FOC Request'!$A:$A, 'Step 3 FOC Request'!$F:$F, $E412)</f>
        <v>0</v>
      </c>
      <c r="X412" s="135">
        <f>MAXIFS('Step 4 FOC Return'!$A:$A, 'Step 4 FOC Return'!$E:$E, $E412)</f>
        <v>0</v>
      </c>
      <c r="Y412" s="126"/>
    </row>
    <row r="413">
      <c r="A413" s="126"/>
      <c r="B413" s="154"/>
      <c r="C413" s="146"/>
      <c r="D413" s="146"/>
      <c r="E413" s="146"/>
      <c r="F413" s="155"/>
      <c r="G413" s="146"/>
      <c r="H413" s="126"/>
      <c r="I413" s="132"/>
      <c r="J413" s="146"/>
      <c r="K413" s="126"/>
      <c r="L413" s="126"/>
      <c r="M413" s="134" t="str">
        <f t="shared" si="1"/>
        <v/>
      </c>
      <c r="N413" s="134" t="str">
        <f t="array" ref="N413">IF(M413="LOANED / ON KOL", INDEX('Step 3 FOC Request'!$G:$G, MATCH(1, ('Step 3 FOC Request'!$A:$A=W413) * ('Step 3 FOC Request'!$F:$F=E413), 0)), "-")</f>
        <v>-</v>
      </c>
      <c r="O413" s="126"/>
      <c r="P413" s="126"/>
      <c r="Q413" s="126"/>
      <c r="R413" s="126"/>
      <c r="U413" s="126"/>
      <c r="V413" s="126"/>
      <c r="W413" s="135">
        <f>MAXIFS('Step 3 FOC Request'!$A:$A, 'Step 3 FOC Request'!$F:$F, $E413)</f>
        <v>0</v>
      </c>
      <c r="X413" s="135">
        <f>MAXIFS('Step 4 FOC Return'!$A:$A, 'Step 4 FOC Return'!$E:$E, $E413)</f>
        <v>0</v>
      </c>
      <c r="Y413" s="126"/>
    </row>
    <row r="414">
      <c r="A414" s="126"/>
      <c r="B414" s="154"/>
      <c r="C414" s="146"/>
      <c r="D414" s="146"/>
      <c r="E414" s="146"/>
      <c r="F414" s="155"/>
      <c r="G414" s="146"/>
      <c r="H414" s="126"/>
      <c r="I414" s="132"/>
      <c r="J414" s="146"/>
      <c r="K414" s="126"/>
      <c r="L414" s="126"/>
      <c r="M414" s="134" t="str">
        <f t="shared" si="1"/>
        <v/>
      </c>
      <c r="N414" s="134" t="str">
        <f t="array" ref="N414">IF(M414="LOANED / ON KOL", INDEX('Step 3 FOC Request'!$G:$G, MATCH(1, ('Step 3 FOC Request'!$A:$A=W414) * ('Step 3 FOC Request'!$F:$F=E414), 0)), "-")</f>
        <v>-</v>
      </c>
      <c r="O414" s="126"/>
      <c r="P414" s="126"/>
      <c r="Q414" s="126"/>
      <c r="R414" s="126"/>
      <c r="U414" s="126"/>
      <c r="V414" s="126"/>
      <c r="W414" s="135">
        <f>MAXIFS('Step 3 FOC Request'!$A:$A, 'Step 3 FOC Request'!$F:$F, $E414)</f>
        <v>0</v>
      </c>
      <c r="X414" s="135">
        <f>MAXIFS('Step 4 FOC Return'!$A:$A, 'Step 4 FOC Return'!$E:$E, $E414)</f>
        <v>0</v>
      </c>
      <c r="Y414" s="126"/>
    </row>
    <row r="415">
      <c r="A415" s="126"/>
      <c r="B415" s="154"/>
      <c r="C415" s="146"/>
      <c r="D415" s="146"/>
      <c r="E415" s="146"/>
      <c r="F415" s="155"/>
      <c r="G415" s="146"/>
      <c r="H415" s="126"/>
      <c r="I415" s="132"/>
      <c r="J415" s="146"/>
      <c r="K415" s="126"/>
      <c r="L415" s="126"/>
      <c r="M415" s="134" t="str">
        <f t="shared" si="1"/>
        <v/>
      </c>
      <c r="N415" s="134" t="str">
        <f t="array" ref="N415">IF(M415="LOANED / ON KOL", INDEX('Step 3 FOC Request'!$G:$G, MATCH(1, ('Step 3 FOC Request'!$A:$A=W415) * ('Step 3 FOC Request'!$F:$F=E415), 0)), "-")</f>
        <v>-</v>
      </c>
      <c r="O415" s="126"/>
      <c r="P415" s="126"/>
      <c r="Q415" s="126"/>
      <c r="R415" s="126"/>
      <c r="U415" s="126"/>
      <c r="V415" s="126"/>
      <c r="W415" s="135">
        <f>MAXIFS('Step 3 FOC Request'!$A:$A, 'Step 3 FOC Request'!$F:$F, $E415)</f>
        <v>0</v>
      </c>
      <c r="X415" s="135">
        <f>MAXIFS('Step 4 FOC Return'!$A:$A, 'Step 4 FOC Return'!$E:$E, $E415)</f>
        <v>0</v>
      </c>
      <c r="Y415" s="126"/>
    </row>
    <row r="416">
      <c r="A416" s="126"/>
      <c r="B416" s="154"/>
      <c r="C416" s="146"/>
      <c r="D416" s="146"/>
      <c r="E416" s="146"/>
      <c r="F416" s="155"/>
      <c r="G416" s="146"/>
      <c r="H416" s="126"/>
      <c r="I416" s="132"/>
      <c r="J416" s="146"/>
      <c r="K416" s="126"/>
      <c r="L416" s="126"/>
      <c r="M416" s="134" t="str">
        <f t="shared" si="1"/>
        <v/>
      </c>
      <c r="N416" s="134" t="str">
        <f t="array" ref="N416">IF(M416="LOANED / ON KOL", INDEX('Step 3 FOC Request'!$G:$G, MATCH(1, ('Step 3 FOC Request'!$A:$A=W416) * ('Step 3 FOC Request'!$F:$F=E416), 0)), "-")</f>
        <v>-</v>
      </c>
      <c r="O416" s="126"/>
      <c r="P416" s="126"/>
      <c r="Q416" s="126"/>
      <c r="R416" s="126"/>
      <c r="U416" s="126"/>
      <c r="V416" s="126"/>
      <c r="W416" s="135">
        <f>MAXIFS('Step 3 FOC Request'!$A:$A, 'Step 3 FOC Request'!$F:$F, $E416)</f>
        <v>0</v>
      </c>
      <c r="X416" s="135">
        <f>MAXIFS('Step 4 FOC Return'!$A:$A, 'Step 4 FOC Return'!$E:$E, $E416)</f>
        <v>0</v>
      </c>
      <c r="Y416" s="126"/>
    </row>
    <row r="417">
      <c r="A417" s="126"/>
      <c r="B417" s="154"/>
      <c r="C417" s="146"/>
      <c r="D417" s="146"/>
      <c r="E417" s="146"/>
      <c r="F417" s="155"/>
      <c r="G417" s="146"/>
      <c r="H417" s="126"/>
      <c r="I417" s="132"/>
      <c r="J417" s="146"/>
      <c r="K417" s="126"/>
      <c r="L417" s="126"/>
      <c r="M417" s="134" t="str">
        <f t="shared" si="1"/>
        <v/>
      </c>
      <c r="N417" s="134" t="str">
        <f t="array" ref="N417">IF(M417="LOANED / ON KOL", INDEX('Step 3 FOC Request'!$G:$G, MATCH(1, ('Step 3 FOC Request'!$A:$A=W417) * ('Step 3 FOC Request'!$F:$F=E417), 0)), "-")</f>
        <v>-</v>
      </c>
      <c r="O417" s="126"/>
      <c r="P417" s="126"/>
      <c r="Q417" s="126"/>
      <c r="R417" s="126"/>
      <c r="U417" s="126"/>
      <c r="V417" s="126"/>
      <c r="W417" s="135">
        <f>MAXIFS('Step 3 FOC Request'!$A:$A, 'Step 3 FOC Request'!$F:$F, $E417)</f>
        <v>0</v>
      </c>
      <c r="X417" s="135">
        <f>MAXIFS('Step 4 FOC Return'!$A:$A, 'Step 4 FOC Return'!$E:$E, $E417)</f>
        <v>0</v>
      </c>
      <c r="Y417" s="126"/>
    </row>
    <row r="418">
      <c r="A418" s="126"/>
      <c r="B418" s="154"/>
      <c r="C418" s="146"/>
      <c r="D418" s="146"/>
      <c r="E418" s="146"/>
      <c r="F418" s="155"/>
      <c r="G418" s="146"/>
      <c r="H418" s="126"/>
      <c r="I418" s="132"/>
      <c r="J418" s="146"/>
      <c r="K418" s="126"/>
      <c r="L418" s="126"/>
      <c r="M418" s="134" t="str">
        <f t="shared" si="1"/>
        <v/>
      </c>
      <c r="N418" s="134" t="str">
        <f t="array" ref="N418">IF(M418="LOANED / ON KOL", INDEX('Step 3 FOC Request'!$G:$G, MATCH(1, ('Step 3 FOC Request'!$A:$A=W418) * ('Step 3 FOC Request'!$F:$F=E418), 0)), "-")</f>
        <v>-</v>
      </c>
      <c r="O418" s="126"/>
      <c r="P418" s="126"/>
      <c r="Q418" s="126"/>
      <c r="R418" s="126"/>
      <c r="U418" s="126"/>
      <c r="V418" s="126"/>
      <c r="W418" s="135">
        <f>MAXIFS('Step 3 FOC Request'!$A:$A, 'Step 3 FOC Request'!$F:$F, $E418)</f>
        <v>0</v>
      </c>
      <c r="X418" s="135">
        <f>MAXIFS('Step 4 FOC Return'!$A:$A, 'Step 4 FOC Return'!$E:$E, $E418)</f>
        <v>0</v>
      </c>
      <c r="Y418" s="126"/>
    </row>
    <row r="419">
      <c r="A419" s="126"/>
      <c r="B419" s="154"/>
      <c r="C419" s="146"/>
      <c r="D419" s="146"/>
      <c r="E419" s="146"/>
      <c r="F419" s="155"/>
      <c r="G419" s="146"/>
      <c r="H419" s="126"/>
      <c r="I419" s="132"/>
      <c r="J419" s="146"/>
      <c r="K419" s="126"/>
      <c r="L419" s="126"/>
      <c r="M419" s="134" t="str">
        <f t="shared" si="1"/>
        <v/>
      </c>
      <c r="N419" s="134" t="str">
        <f t="array" ref="N419">IF(M419="LOANED / ON KOL", INDEX('Step 3 FOC Request'!$G:$G, MATCH(1, ('Step 3 FOC Request'!$A:$A=W419) * ('Step 3 FOC Request'!$F:$F=E419), 0)), "-")</f>
        <v>-</v>
      </c>
      <c r="O419" s="126"/>
      <c r="P419" s="126"/>
      <c r="Q419" s="126"/>
      <c r="R419" s="126"/>
      <c r="U419" s="126"/>
      <c r="V419" s="126"/>
      <c r="W419" s="135">
        <f>MAXIFS('Step 3 FOC Request'!$A:$A, 'Step 3 FOC Request'!$F:$F, $E419)</f>
        <v>0</v>
      </c>
      <c r="X419" s="135">
        <f>MAXIFS('Step 4 FOC Return'!$A:$A, 'Step 4 FOC Return'!$E:$E, $E419)</f>
        <v>0</v>
      </c>
      <c r="Y419" s="126"/>
    </row>
    <row r="420">
      <c r="A420" s="126"/>
      <c r="B420" s="154"/>
      <c r="C420" s="146"/>
      <c r="D420" s="146"/>
      <c r="E420" s="146"/>
      <c r="F420" s="155"/>
      <c r="G420" s="146"/>
      <c r="H420" s="126"/>
      <c r="I420" s="132"/>
      <c r="J420" s="146"/>
      <c r="K420" s="126"/>
      <c r="L420" s="126"/>
      <c r="M420" s="134" t="str">
        <f t="shared" si="1"/>
        <v/>
      </c>
      <c r="N420" s="134" t="str">
        <f t="array" ref="N420">IF(M420="LOANED / ON KOL", INDEX('Step 3 FOC Request'!$G:$G, MATCH(1, ('Step 3 FOC Request'!$A:$A=W420) * ('Step 3 FOC Request'!$F:$F=E420), 0)), "-")</f>
        <v>-</v>
      </c>
      <c r="O420" s="126"/>
      <c r="P420" s="126"/>
      <c r="Q420" s="126"/>
      <c r="R420" s="126"/>
      <c r="U420" s="126"/>
      <c r="V420" s="126"/>
      <c r="W420" s="135">
        <f>MAXIFS('Step 3 FOC Request'!$A:$A, 'Step 3 FOC Request'!$F:$F, $E420)</f>
        <v>0</v>
      </c>
      <c r="X420" s="135">
        <f>MAXIFS('Step 4 FOC Return'!$A:$A, 'Step 4 FOC Return'!$E:$E, $E420)</f>
        <v>0</v>
      </c>
      <c r="Y420" s="126"/>
    </row>
    <row r="421">
      <c r="A421" s="126"/>
      <c r="B421" s="154"/>
      <c r="C421" s="146"/>
      <c r="D421" s="146"/>
      <c r="E421" s="146"/>
      <c r="F421" s="155"/>
      <c r="G421" s="146"/>
      <c r="H421" s="126"/>
      <c r="I421" s="132"/>
      <c r="J421" s="146"/>
      <c r="K421" s="126"/>
      <c r="L421" s="126"/>
      <c r="M421" s="134" t="str">
        <f t="shared" si="1"/>
        <v/>
      </c>
      <c r="N421" s="134" t="str">
        <f t="array" ref="N421">IF(M421="LOANED / ON KOL", INDEX('Step 3 FOC Request'!$G:$G, MATCH(1, ('Step 3 FOC Request'!$A:$A=W421) * ('Step 3 FOC Request'!$F:$F=E421), 0)), "-")</f>
        <v>-</v>
      </c>
      <c r="O421" s="126"/>
      <c r="P421" s="126"/>
      <c r="Q421" s="126"/>
      <c r="R421" s="126"/>
      <c r="U421" s="126"/>
      <c r="V421" s="126"/>
      <c r="W421" s="135">
        <f>MAXIFS('Step 3 FOC Request'!$A:$A, 'Step 3 FOC Request'!$F:$F, $E421)</f>
        <v>0</v>
      </c>
      <c r="X421" s="135">
        <f>MAXIFS('Step 4 FOC Return'!$A:$A, 'Step 4 FOC Return'!$E:$E, $E421)</f>
        <v>0</v>
      </c>
      <c r="Y421" s="126"/>
    </row>
    <row r="422">
      <c r="A422" s="126"/>
      <c r="B422" s="154"/>
      <c r="C422" s="146"/>
      <c r="D422" s="146"/>
      <c r="E422" s="146"/>
      <c r="F422" s="155"/>
      <c r="G422" s="146"/>
      <c r="H422" s="126"/>
      <c r="I422" s="132"/>
      <c r="J422" s="146"/>
      <c r="K422" s="126"/>
      <c r="L422" s="126"/>
      <c r="M422" s="134" t="str">
        <f t="shared" si="1"/>
        <v/>
      </c>
      <c r="N422" s="134" t="str">
        <f t="array" ref="N422">IF(M422="LOANED / ON KOL", INDEX('Step 3 FOC Request'!$G:$G, MATCH(1, ('Step 3 FOC Request'!$A:$A=W422) * ('Step 3 FOC Request'!$F:$F=E422), 0)), "-")</f>
        <v>-</v>
      </c>
      <c r="O422" s="126"/>
      <c r="P422" s="126"/>
      <c r="Q422" s="126"/>
      <c r="R422" s="126"/>
      <c r="U422" s="126"/>
      <c r="V422" s="126"/>
      <c r="W422" s="135">
        <f>MAXIFS('Step 3 FOC Request'!$A:$A, 'Step 3 FOC Request'!$F:$F, $E422)</f>
        <v>0</v>
      </c>
      <c r="X422" s="135">
        <f>MAXIFS('Step 4 FOC Return'!$A:$A, 'Step 4 FOC Return'!$E:$E, $E422)</f>
        <v>0</v>
      </c>
      <c r="Y422" s="126"/>
    </row>
    <row r="423">
      <c r="A423" s="126"/>
      <c r="B423" s="154"/>
      <c r="C423" s="146"/>
      <c r="D423" s="146"/>
      <c r="E423" s="146"/>
      <c r="F423" s="155"/>
      <c r="G423" s="146"/>
      <c r="H423" s="126"/>
      <c r="I423" s="132"/>
      <c r="J423" s="146"/>
      <c r="K423" s="126"/>
      <c r="L423" s="126"/>
      <c r="M423" s="134" t="str">
        <f t="shared" si="1"/>
        <v/>
      </c>
      <c r="N423" s="134" t="str">
        <f t="array" ref="N423">IF(M423="LOANED / ON KOL", INDEX('Step 3 FOC Request'!$G:$G, MATCH(1, ('Step 3 FOC Request'!$A:$A=W423) * ('Step 3 FOC Request'!$F:$F=E423), 0)), "-")</f>
        <v>-</v>
      </c>
      <c r="O423" s="126"/>
      <c r="P423" s="126"/>
      <c r="Q423" s="126"/>
      <c r="R423" s="126"/>
      <c r="U423" s="126"/>
      <c r="V423" s="126"/>
      <c r="W423" s="135">
        <f>MAXIFS('Step 3 FOC Request'!$A:$A, 'Step 3 FOC Request'!$F:$F, $E423)</f>
        <v>0</v>
      </c>
      <c r="X423" s="135">
        <f>MAXIFS('Step 4 FOC Return'!$A:$A, 'Step 4 FOC Return'!$E:$E, $E423)</f>
        <v>0</v>
      </c>
      <c r="Y423" s="126"/>
    </row>
    <row r="424">
      <c r="A424" s="126"/>
      <c r="B424" s="154"/>
      <c r="C424" s="146"/>
      <c r="D424" s="146"/>
      <c r="E424" s="146"/>
      <c r="F424" s="155"/>
      <c r="G424" s="146"/>
      <c r="H424" s="126"/>
      <c r="I424" s="132"/>
      <c r="J424" s="146"/>
      <c r="K424" s="126"/>
      <c r="L424" s="126"/>
      <c r="M424" s="134" t="str">
        <f t="shared" si="1"/>
        <v/>
      </c>
      <c r="N424" s="134" t="str">
        <f t="array" ref="N424">IF(M424="LOANED / ON KOL", INDEX('Step 3 FOC Request'!$G:$G, MATCH(1, ('Step 3 FOC Request'!$A:$A=W424) * ('Step 3 FOC Request'!$F:$F=E424), 0)), "-")</f>
        <v>-</v>
      </c>
      <c r="O424" s="126"/>
      <c r="P424" s="126"/>
      <c r="Q424" s="126"/>
      <c r="R424" s="126"/>
      <c r="U424" s="126"/>
      <c r="V424" s="126"/>
      <c r="W424" s="135">
        <f>MAXIFS('Step 3 FOC Request'!$A:$A, 'Step 3 FOC Request'!$F:$F, $E424)</f>
        <v>0</v>
      </c>
      <c r="X424" s="135">
        <f>MAXIFS('Step 4 FOC Return'!$A:$A, 'Step 4 FOC Return'!$E:$E, $E424)</f>
        <v>0</v>
      </c>
      <c r="Y424" s="126"/>
    </row>
    <row r="425">
      <c r="A425" s="126"/>
      <c r="B425" s="154"/>
      <c r="C425" s="146"/>
      <c r="D425" s="146"/>
      <c r="E425" s="146"/>
      <c r="F425" s="155"/>
      <c r="G425" s="146"/>
      <c r="H425" s="126"/>
      <c r="I425" s="132"/>
      <c r="J425" s="146"/>
      <c r="K425" s="126"/>
      <c r="L425" s="126"/>
      <c r="M425" s="134" t="str">
        <f t="shared" si="1"/>
        <v/>
      </c>
      <c r="N425" s="134" t="str">
        <f t="array" ref="N425">IF(M425="LOANED / ON KOL", INDEX('Step 3 FOC Request'!$G:$G, MATCH(1, ('Step 3 FOC Request'!$A:$A=W425) * ('Step 3 FOC Request'!$F:$F=E425), 0)), "-")</f>
        <v>-</v>
      </c>
      <c r="O425" s="126"/>
      <c r="P425" s="126"/>
      <c r="Q425" s="126"/>
      <c r="R425" s="126"/>
      <c r="U425" s="126"/>
      <c r="V425" s="126"/>
      <c r="W425" s="135">
        <f>MAXIFS('Step 3 FOC Request'!$A:$A, 'Step 3 FOC Request'!$F:$F, $E425)</f>
        <v>0</v>
      </c>
      <c r="X425" s="135">
        <f>MAXIFS('Step 4 FOC Return'!$A:$A, 'Step 4 FOC Return'!$E:$E, $E425)</f>
        <v>0</v>
      </c>
      <c r="Y425" s="126"/>
    </row>
    <row r="426">
      <c r="A426" s="126"/>
      <c r="B426" s="154"/>
      <c r="C426" s="146"/>
      <c r="D426" s="146"/>
      <c r="E426" s="146"/>
      <c r="F426" s="155"/>
      <c r="G426" s="146"/>
      <c r="H426" s="126"/>
      <c r="I426" s="132"/>
      <c r="J426" s="146"/>
      <c r="K426" s="126"/>
      <c r="L426" s="126"/>
      <c r="M426" s="134" t="str">
        <f t="shared" si="1"/>
        <v/>
      </c>
      <c r="N426" s="134" t="str">
        <f t="array" ref="N426">IF(M426="LOANED / ON KOL", INDEX('Step 3 FOC Request'!$G:$G, MATCH(1, ('Step 3 FOC Request'!$A:$A=W426) * ('Step 3 FOC Request'!$F:$F=E426), 0)), "-")</f>
        <v>-</v>
      </c>
      <c r="O426" s="126"/>
      <c r="P426" s="126"/>
      <c r="Q426" s="126"/>
      <c r="R426" s="126"/>
      <c r="U426" s="126"/>
      <c r="V426" s="126"/>
      <c r="W426" s="135">
        <f>MAXIFS('Step 3 FOC Request'!$A:$A, 'Step 3 FOC Request'!$F:$F, $E426)</f>
        <v>0</v>
      </c>
      <c r="X426" s="135">
        <f>MAXIFS('Step 4 FOC Return'!$A:$A, 'Step 4 FOC Return'!$E:$E, $E426)</f>
        <v>0</v>
      </c>
      <c r="Y426" s="126"/>
    </row>
    <row r="427">
      <c r="A427" s="126"/>
      <c r="B427" s="154"/>
      <c r="C427" s="146"/>
      <c r="D427" s="146"/>
      <c r="E427" s="146"/>
      <c r="F427" s="155"/>
      <c r="G427" s="146"/>
      <c r="H427" s="126"/>
      <c r="I427" s="132"/>
      <c r="J427" s="146"/>
      <c r="K427" s="126"/>
      <c r="L427" s="126"/>
      <c r="M427" s="134" t="str">
        <f t="shared" si="1"/>
        <v/>
      </c>
      <c r="N427" s="134" t="str">
        <f t="array" ref="N427">IF(M427="LOANED / ON KOL", INDEX('Step 3 FOC Request'!$G:$G, MATCH(1, ('Step 3 FOC Request'!$A:$A=W427) * ('Step 3 FOC Request'!$F:$F=E427), 0)), "-")</f>
        <v>-</v>
      </c>
      <c r="O427" s="126"/>
      <c r="P427" s="126"/>
      <c r="Q427" s="126"/>
      <c r="R427" s="126"/>
      <c r="U427" s="126"/>
      <c r="V427" s="126"/>
      <c r="W427" s="135">
        <f>MAXIFS('Step 3 FOC Request'!$A:$A, 'Step 3 FOC Request'!$F:$F, $E427)</f>
        <v>0</v>
      </c>
      <c r="X427" s="135">
        <f>MAXIFS('Step 4 FOC Return'!$A:$A, 'Step 4 FOC Return'!$E:$E, $E427)</f>
        <v>0</v>
      </c>
      <c r="Y427" s="126"/>
    </row>
    <row r="428">
      <c r="A428" s="126"/>
      <c r="B428" s="154"/>
      <c r="C428" s="146"/>
      <c r="D428" s="146"/>
      <c r="E428" s="146"/>
      <c r="F428" s="155"/>
      <c r="G428" s="146"/>
      <c r="H428" s="126"/>
      <c r="I428" s="132"/>
      <c r="J428" s="146"/>
      <c r="K428" s="126"/>
      <c r="L428" s="126"/>
      <c r="M428" s="134" t="str">
        <f t="shared" si="1"/>
        <v/>
      </c>
      <c r="N428" s="134" t="str">
        <f t="array" ref="N428">IF(M428="LOANED / ON KOL", INDEX('Step 3 FOC Request'!$G:$G, MATCH(1, ('Step 3 FOC Request'!$A:$A=W428) * ('Step 3 FOC Request'!$F:$F=E428), 0)), "-")</f>
        <v>-</v>
      </c>
      <c r="O428" s="126"/>
      <c r="P428" s="126"/>
      <c r="Q428" s="126"/>
      <c r="R428" s="126"/>
      <c r="U428" s="126"/>
      <c r="V428" s="126"/>
      <c r="W428" s="135">
        <f>MAXIFS('Step 3 FOC Request'!$A:$A, 'Step 3 FOC Request'!$F:$F, $E428)</f>
        <v>0</v>
      </c>
      <c r="X428" s="135">
        <f>MAXIFS('Step 4 FOC Return'!$A:$A, 'Step 4 FOC Return'!$E:$E, $E428)</f>
        <v>0</v>
      </c>
      <c r="Y428" s="126"/>
    </row>
    <row r="429">
      <c r="A429" s="126"/>
      <c r="B429" s="154"/>
      <c r="C429" s="146"/>
      <c r="D429" s="146"/>
      <c r="E429" s="146"/>
      <c r="F429" s="155"/>
      <c r="G429" s="146"/>
      <c r="H429" s="126"/>
      <c r="I429" s="132"/>
      <c r="J429" s="146"/>
      <c r="K429" s="126"/>
      <c r="L429" s="126"/>
      <c r="M429" s="134" t="str">
        <f t="shared" si="1"/>
        <v/>
      </c>
      <c r="N429" s="134" t="str">
        <f t="array" ref="N429">IF(M429="LOANED / ON KOL", INDEX('Step 3 FOC Request'!$G:$G, MATCH(1, ('Step 3 FOC Request'!$A:$A=W429) * ('Step 3 FOC Request'!$F:$F=E429), 0)), "-")</f>
        <v>-</v>
      </c>
      <c r="O429" s="126"/>
      <c r="P429" s="126"/>
      <c r="Q429" s="126"/>
      <c r="R429" s="126"/>
      <c r="U429" s="126"/>
      <c r="V429" s="126"/>
      <c r="W429" s="135">
        <f>MAXIFS('Step 3 FOC Request'!$A:$A, 'Step 3 FOC Request'!$F:$F, $E429)</f>
        <v>0</v>
      </c>
      <c r="X429" s="135">
        <f>MAXIFS('Step 4 FOC Return'!$A:$A, 'Step 4 FOC Return'!$E:$E, $E429)</f>
        <v>0</v>
      </c>
      <c r="Y429" s="126"/>
    </row>
    <row r="430">
      <c r="A430" s="126"/>
      <c r="B430" s="154"/>
      <c r="C430" s="146"/>
      <c r="D430" s="146"/>
      <c r="E430" s="146"/>
      <c r="F430" s="155"/>
      <c r="G430" s="146"/>
      <c r="H430" s="126"/>
      <c r="I430" s="132"/>
      <c r="J430" s="146"/>
      <c r="K430" s="126"/>
      <c r="L430" s="126"/>
      <c r="M430" s="134" t="str">
        <f t="shared" si="1"/>
        <v/>
      </c>
      <c r="N430" s="134" t="str">
        <f t="array" ref="N430">IF(M430="LOANED / ON KOL", INDEX('Step 3 FOC Request'!$G:$G, MATCH(1, ('Step 3 FOC Request'!$A:$A=W430) * ('Step 3 FOC Request'!$F:$F=E430), 0)), "-")</f>
        <v>-</v>
      </c>
      <c r="O430" s="126"/>
      <c r="P430" s="126"/>
      <c r="Q430" s="126"/>
      <c r="R430" s="126"/>
      <c r="U430" s="126"/>
      <c r="V430" s="126"/>
      <c r="W430" s="135">
        <f>MAXIFS('Step 3 FOC Request'!$A:$A, 'Step 3 FOC Request'!$F:$F, $E430)</f>
        <v>0</v>
      </c>
      <c r="X430" s="135">
        <f>MAXIFS('Step 4 FOC Return'!$A:$A, 'Step 4 FOC Return'!$E:$E, $E430)</f>
        <v>0</v>
      </c>
      <c r="Y430" s="126"/>
    </row>
    <row r="431">
      <c r="A431" s="126"/>
      <c r="B431" s="154"/>
      <c r="C431" s="146"/>
      <c r="D431" s="146"/>
      <c r="E431" s="146"/>
      <c r="F431" s="155"/>
      <c r="G431" s="146"/>
      <c r="H431" s="126"/>
      <c r="I431" s="132"/>
      <c r="J431" s="146"/>
      <c r="K431" s="126"/>
      <c r="L431" s="126"/>
      <c r="M431" s="134" t="str">
        <f t="shared" si="1"/>
        <v/>
      </c>
      <c r="N431" s="134" t="str">
        <f t="array" ref="N431">IF(M431="LOANED / ON KOL", INDEX('Step 3 FOC Request'!$G:$G, MATCH(1, ('Step 3 FOC Request'!$A:$A=W431) * ('Step 3 FOC Request'!$F:$F=E431), 0)), "-")</f>
        <v>-</v>
      </c>
      <c r="O431" s="126"/>
      <c r="P431" s="126"/>
      <c r="Q431" s="126"/>
      <c r="R431" s="126"/>
      <c r="U431" s="126"/>
      <c r="V431" s="126"/>
      <c r="W431" s="135">
        <f>MAXIFS('Step 3 FOC Request'!$A:$A, 'Step 3 FOC Request'!$F:$F, $E431)</f>
        <v>0</v>
      </c>
      <c r="X431" s="135">
        <f>MAXIFS('Step 4 FOC Return'!$A:$A, 'Step 4 FOC Return'!$E:$E, $E431)</f>
        <v>0</v>
      </c>
      <c r="Y431" s="126"/>
    </row>
    <row r="432">
      <c r="A432" s="126"/>
      <c r="B432" s="154"/>
      <c r="C432" s="146"/>
      <c r="D432" s="146"/>
      <c r="E432" s="146"/>
      <c r="F432" s="155"/>
      <c r="G432" s="146"/>
      <c r="H432" s="126"/>
      <c r="I432" s="132"/>
      <c r="J432" s="146"/>
      <c r="K432" s="126"/>
      <c r="L432" s="126"/>
      <c r="M432" s="134" t="str">
        <f t="shared" si="1"/>
        <v/>
      </c>
      <c r="N432" s="134" t="str">
        <f t="array" ref="N432">IF(M432="LOANED / ON KOL", INDEX('Step 3 FOC Request'!$G:$G, MATCH(1, ('Step 3 FOC Request'!$A:$A=W432) * ('Step 3 FOC Request'!$F:$F=E432), 0)), "-")</f>
        <v>-</v>
      </c>
      <c r="O432" s="126"/>
      <c r="P432" s="126"/>
      <c r="Q432" s="126"/>
      <c r="R432" s="126"/>
      <c r="U432" s="126"/>
      <c r="V432" s="126"/>
      <c r="W432" s="135">
        <f>MAXIFS('Step 3 FOC Request'!$A:$A, 'Step 3 FOC Request'!$F:$F, $E432)</f>
        <v>0</v>
      </c>
      <c r="X432" s="135">
        <f>MAXIFS('Step 4 FOC Return'!$A:$A, 'Step 4 FOC Return'!$E:$E, $E432)</f>
        <v>0</v>
      </c>
      <c r="Y432" s="126"/>
    </row>
    <row r="433">
      <c r="A433" s="126"/>
      <c r="B433" s="154"/>
      <c r="C433" s="146"/>
      <c r="D433" s="146"/>
      <c r="E433" s="146"/>
      <c r="F433" s="155"/>
      <c r="G433" s="146"/>
      <c r="H433" s="126"/>
      <c r="I433" s="132"/>
      <c r="J433" s="146"/>
      <c r="K433" s="126"/>
      <c r="L433" s="126"/>
      <c r="M433" s="134" t="str">
        <f t="shared" si="1"/>
        <v/>
      </c>
      <c r="N433" s="134" t="str">
        <f t="array" ref="N433">IF(M433="LOANED / ON KOL", INDEX('Step 3 FOC Request'!$G:$G, MATCH(1, ('Step 3 FOC Request'!$A:$A=W433) * ('Step 3 FOC Request'!$F:$F=E433), 0)), "-")</f>
        <v>-</v>
      </c>
      <c r="O433" s="126"/>
      <c r="P433" s="126"/>
      <c r="Q433" s="126"/>
      <c r="R433" s="126"/>
      <c r="U433" s="126"/>
      <c r="V433" s="126"/>
      <c r="W433" s="135">
        <f>MAXIFS('Step 3 FOC Request'!$A:$A, 'Step 3 FOC Request'!$F:$F, $E433)</f>
        <v>0</v>
      </c>
      <c r="X433" s="135">
        <f>MAXIFS('Step 4 FOC Return'!$A:$A, 'Step 4 FOC Return'!$E:$E, $E433)</f>
        <v>0</v>
      </c>
      <c r="Y433" s="126"/>
    </row>
    <row r="434">
      <c r="A434" s="126"/>
      <c r="B434" s="154"/>
      <c r="C434" s="146"/>
      <c r="D434" s="146"/>
      <c r="E434" s="146"/>
      <c r="F434" s="155"/>
      <c r="G434" s="146"/>
      <c r="H434" s="126"/>
      <c r="I434" s="132"/>
      <c r="J434" s="146"/>
      <c r="K434" s="126"/>
      <c r="L434" s="126"/>
      <c r="M434" s="134" t="str">
        <f t="shared" si="1"/>
        <v/>
      </c>
      <c r="N434" s="134" t="str">
        <f t="array" ref="N434">IF(M434="LOANED / ON KOL", INDEX('Step 3 FOC Request'!$G:$G, MATCH(1, ('Step 3 FOC Request'!$A:$A=W434) * ('Step 3 FOC Request'!$F:$F=E434), 0)), "-")</f>
        <v>-</v>
      </c>
      <c r="O434" s="126"/>
      <c r="P434" s="126"/>
      <c r="Q434" s="126"/>
      <c r="R434" s="126"/>
      <c r="U434" s="126"/>
      <c r="V434" s="126"/>
      <c r="W434" s="135">
        <f>MAXIFS('Step 3 FOC Request'!$A:$A, 'Step 3 FOC Request'!$F:$F, $E434)</f>
        <v>0</v>
      </c>
      <c r="X434" s="135">
        <f>MAXIFS('Step 4 FOC Return'!$A:$A, 'Step 4 FOC Return'!$E:$E, $E434)</f>
        <v>0</v>
      </c>
      <c r="Y434" s="126"/>
    </row>
    <row r="435">
      <c r="A435" s="126"/>
      <c r="B435" s="154"/>
      <c r="C435" s="146"/>
      <c r="D435" s="146"/>
      <c r="E435" s="146"/>
      <c r="F435" s="155"/>
      <c r="G435" s="146"/>
      <c r="H435" s="126"/>
      <c r="I435" s="132"/>
      <c r="J435" s="146"/>
      <c r="K435" s="126"/>
      <c r="L435" s="126"/>
      <c r="M435" s="134" t="str">
        <f t="shared" si="1"/>
        <v/>
      </c>
      <c r="N435" s="134" t="str">
        <f t="array" ref="N435">IF(M435="LOANED / ON KOL", INDEX('Step 3 FOC Request'!$G:$G, MATCH(1, ('Step 3 FOC Request'!$A:$A=W435) * ('Step 3 FOC Request'!$F:$F=E435), 0)), "-")</f>
        <v>-</v>
      </c>
      <c r="O435" s="126"/>
      <c r="P435" s="126"/>
      <c r="Q435" s="126"/>
      <c r="R435" s="126"/>
      <c r="U435" s="126"/>
      <c r="V435" s="126"/>
      <c r="W435" s="135">
        <f>MAXIFS('Step 3 FOC Request'!$A:$A, 'Step 3 FOC Request'!$F:$F, $E435)</f>
        <v>0</v>
      </c>
      <c r="X435" s="135">
        <f>MAXIFS('Step 4 FOC Return'!$A:$A, 'Step 4 FOC Return'!$E:$E, $E435)</f>
        <v>0</v>
      </c>
      <c r="Y435" s="126"/>
    </row>
    <row r="436">
      <c r="A436" s="126"/>
      <c r="B436" s="154"/>
      <c r="C436" s="146"/>
      <c r="D436" s="146"/>
      <c r="E436" s="146"/>
      <c r="F436" s="155"/>
      <c r="G436" s="146"/>
      <c r="H436" s="126"/>
      <c r="I436" s="132"/>
      <c r="J436" s="146"/>
      <c r="K436" s="126"/>
      <c r="L436" s="126"/>
      <c r="M436" s="134" t="str">
        <f t="shared" si="1"/>
        <v/>
      </c>
      <c r="N436" s="134" t="str">
        <f t="array" ref="N436">IF(M436="LOANED / ON KOL", INDEX('Step 3 FOC Request'!$G:$G, MATCH(1, ('Step 3 FOC Request'!$A:$A=W436) * ('Step 3 FOC Request'!$F:$F=E436), 0)), "-")</f>
        <v>-</v>
      </c>
      <c r="O436" s="126"/>
      <c r="P436" s="126"/>
      <c r="Q436" s="126"/>
      <c r="R436" s="126"/>
      <c r="U436" s="126"/>
      <c r="V436" s="126"/>
      <c r="W436" s="135">
        <f>MAXIFS('Step 3 FOC Request'!$A:$A, 'Step 3 FOC Request'!$F:$F, $E436)</f>
        <v>0</v>
      </c>
      <c r="X436" s="135">
        <f>MAXIFS('Step 4 FOC Return'!$A:$A, 'Step 4 FOC Return'!$E:$E, $E436)</f>
        <v>0</v>
      </c>
      <c r="Y436" s="126"/>
    </row>
    <row r="437">
      <c r="A437" s="126"/>
      <c r="B437" s="154"/>
      <c r="C437" s="146"/>
      <c r="D437" s="146"/>
      <c r="E437" s="146"/>
      <c r="F437" s="155"/>
      <c r="G437" s="146"/>
      <c r="H437" s="126"/>
      <c r="I437" s="132"/>
      <c r="J437" s="146"/>
      <c r="K437" s="126"/>
      <c r="L437" s="126"/>
      <c r="M437" s="134" t="str">
        <f t="shared" si="1"/>
        <v/>
      </c>
      <c r="N437" s="134" t="str">
        <f t="array" ref="N437">IF(M437="LOANED / ON KOL", INDEX('Step 3 FOC Request'!$G:$G, MATCH(1, ('Step 3 FOC Request'!$A:$A=W437) * ('Step 3 FOC Request'!$F:$F=E437), 0)), "-")</f>
        <v>-</v>
      </c>
      <c r="O437" s="126"/>
      <c r="P437" s="126"/>
      <c r="Q437" s="126"/>
      <c r="R437" s="126"/>
      <c r="U437" s="126"/>
      <c r="V437" s="126"/>
      <c r="W437" s="135">
        <f>MAXIFS('Step 3 FOC Request'!$A:$A, 'Step 3 FOC Request'!$F:$F, $E437)</f>
        <v>0</v>
      </c>
      <c r="X437" s="135">
        <f>MAXIFS('Step 4 FOC Return'!$A:$A, 'Step 4 FOC Return'!$E:$E, $E437)</f>
        <v>0</v>
      </c>
      <c r="Y437" s="126"/>
    </row>
    <row r="438">
      <c r="A438" s="126"/>
      <c r="B438" s="154"/>
      <c r="C438" s="146"/>
      <c r="D438" s="146"/>
      <c r="E438" s="146"/>
      <c r="F438" s="155"/>
      <c r="G438" s="146"/>
      <c r="H438" s="126"/>
      <c r="I438" s="132"/>
      <c r="J438" s="146"/>
      <c r="K438" s="126"/>
      <c r="L438" s="126"/>
      <c r="M438" s="134" t="str">
        <f t="shared" si="1"/>
        <v/>
      </c>
      <c r="N438" s="134" t="str">
        <f t="array" ref="N438">IF(M438="LOANED / ON KOL", INDEX('Step 3 FOC Request'!$G:$G, MATCH(1, ('Step 3 FOC Request'!$A:$A=W438) * ('Step 3 FOC Request'!$F:$F=E438), 0)), "-")</f>
        <v>-</v>
      </c>
      <c r="O438" s="126"/>
      <c r="P438" s="126"/>
      <c r="Q438" s="126"/>
      <c r="R438" s="126"/>
      <c r="U438" s="126"/>
      <c r="V438" s="126"/>
      <c r="W438" s="135">
        <f>MAXIFS('Step 3 FOC Request'!$A:$A, 'Step 3 FOC Request'!$F:$F, $E438)</f>
        <v>0</v>
      </c>
      <c r="X438" s="135">
        <f>MAXIFS('Step 4 FOC Return'!$A:$A, 'Step 4 FOC Return'!$E:$E, $E438)</f>
        <v>0</v>
      </c>
      <c r="Y438" s="126"/>
    </row>
    <row r="439">
      <c r="A439" s="126"/>
      <c r="B439" s="154"/>
      <c r="C439" s="146"/>
      <c r="D439" s="146"/>
      <c r="E439" s="146"/>
      <c r="F439" s="155"/>
      <c r="G439" s="146"/>
      <c r="H439" s="126"/>
      <c r="I439" s="132"/>
      <c r="J439" s="146"/>
      <c r="K439" s="126"/>
      <c r="L439" s="126"/>
      <c r="M439" s="134" t="str">
        <f t="shared" si="1"/>
        <v/>
      </c>
      <c r="N439" s="134" t="str">
        <f t="array" ref="N439">IF(M439="LOANED / ON KOL", INDEX('Step 3 FOC Request'!$G:$G, MATCH(1, ('Step 3 FOC Request'!$A:$A=W439) * ('Step 3 FOC Request'!$F:$F=E439), 0)), "-")</f>
        <v>-</v>
      </c>
      <c r="O439" s="126"/>
      <c r="P439" s="126"/>
      <c r="Q439" s="126"/>
      <c r="R439" s="126"/>
      <c r="U439" s="126"/>
      <c r="V439" s="126"/>
      <c r="W439" s="135">
        <f>MAXIFS('Step 3 FOC Request'!$A:$A, 'Step 3 FOC Request'!$F:$F, $E439)</f>
        <v>0</v>
      </c>
      <c r="X439" s="135">
        <f>MAXIFS('Step 4 FOC Return'!$A:$A, 'Step 4 FOC Return'!$E:$E, $E439)</f>
        <v>0</v>
      </c>
      <c r="Y439" s="126"/>
    </row>
    <row r="440">
      <c r="A440" s="126"/>
      <c r="B440" s="154"/>
      <c r="C440" s="146"/>
      <c r="D440" s="146"/>
      <c r="E440" s="146"/>
      <c r="F440" s="155"/>
      <c r="G440" s="146"/>
      <c r="H440" s="126"/>
      <c r="I440" s="132"/>
      <c r="J440" s="146"/>
      <c r="K440" s="126"/>
      <c r="L440" s="126"/>
      <c r="M440" s="134" t="str">
        <f t="shared" si="1"/>
        <v/>
      </c>
      <c r="N440" s="134" t="str">
        <f t="array" ref="N440">IF(M440="LOANED / ON KOL", INDEX('Step 3 FOC Request'!$G:$G, MATCH(1, ('Step 3 FOC Request'!$A:$A=W440) * ('Step 3 FOC Request'!$F:$F=E440), 0)), "-")</f>
        <v>-</v>
      </c>
      <c r="O440" s="126"/>
      <c r="P440" s="126"/>
      <c r="Q440" s="126"/>
      <c r="R440" s="126"/>
      <c r="U440" s="126"/>
      <c r="V440" s="126"/>
      <c r="W440" s="135">
        <f>MAXIFS('Step 3 FOC Request'!$A:$A, 'Step 3 FOC Request'!$F:$F, $E440)</f>
        <v>0</v>
      </c>
      <c r="X440" s="135">
        <f>MAXIFS('Step 4 FOC Return'!$A:$A, 'Step 4 FOC Return'!$E:$E, $E440)</f>
        <v>0</v>
      </c>
      <c r="Y440" s="126"/>
    </row>
    <row r="441">
      <c r="A441" s="126"/>
      <c r="B441" s="154"/>
      <c r="C441" s="146"/>
      <c r="D441" s="146"/>
      <c r="E441" s="146"/>
      <c r="F441" s="155"/>
      <c r="G441" s="146"/>
      <c r="H441" s="126"/>
      <c r="I441" s="132"/>
      <c r="J441" s="146"/>
      <c r="K441" s="126"/>
      <c r="L441" s="126"/>
      <c r="M441" s="134" t="str">
        <f t="shared" si="1"/>
        <v/>
      </c>
      <c r="N441" s="134" t="str">
        <f t="array" ref="N441">IF(M441="LOANED / ON KOL", INDEX('Step 3 FOC Request'!$G:$G, MATCH(1, ('Step 3 FOC Request'!$A:$A=W441) * ('Step 3 FOC Request'!$F:$F=E441), 0)), "-")</f>
        <v>-</v>
      </c>
      <c r="O441" s="126"/>
      <c r="P441" s="126"/>
      <c r="Q441" s="126"/>
      <c r="R441" s="126"/>
      <c r="U441" s="126"/>
      <c r="V441" s="126"/>
      <c r="W441" s="135">
        <f>MAXIFS('Step 3 FOC Request'!$A:$A, 'Step 3 FOC Request'!$F:$F, $E441)</f>
        <v>0</v>
      </c>
      <c r="X441" s="135">
        <f>MAXIFS('Step 4 FOC Return'!$A:$A, 'Step 4 FOC Return'!$E:$E, $E441)</f>
        <v>0</v>
      </c>
      <c r="Y441" s="126"/>
    </row>
    <row r="442">
      <c r="A442" s="126"/>
      <c r="B442" s="154"/>
      <c r="C442" s="146"/>
      <c r="D442" s="146"/>
      <c r="E442" s="146"/>
      <c r="F442" s="155"/>
      <c r="G442" s="146"/>
      <c r="H442" s="126"/>
      <c r="I442" s="132"/>
      <c r="J442" s="146"/>
      <c r="K442" s="126"/>
      <c r="L442" s="126"/>
      <c r="M442" s="134" t="str">
        <f t="shared" si="1"/>
        <v/>
      </c>
      <c r="N442" s="134" t="str">
        <f t="array" ref="N442">IF(M442="LOANED / ON KOL", INDEX('Step 3 FOC Request'!$G:$G, MATCH(1, ('Step 3 FOC Request'!$A:$A=W442) * ('Step 3 FOC Request'!$F:$F=E442), 0)), "-")</f>
        <v>-</v>
      </c>
      <c r="O442" s="126"/>
      <c r="P442" s="126"/>
      <c r="Q442" s="126"/>
      <c r="R442" s="126"/>
      <c r="U442" s="126"/>
      <c r="V442" s="126"/>
      <c r="W442" s="135">
        <f>MAXIFS('Step 3 FOC Request'!$A:$A, 'Step 3 FOC Request'!$F:$F, $E442)</f>
        <v>0</v>
      </c>
      <c r="X442" s="135">
        <f>MAXIFS('Step 4 FOC Return'!$A:$A, 'Step 4 FOC Return'!$E:$E, $E442)</f>
        <v>0</v>
      </c>
      <c r="Y442" s="126"/>
    </row>
    <row r="443">
      <c r="A443" s="126"/>
      <c r="B443" s="154"/>
      <c r="C443" s="146"/>
      <c r="D443" s="146"/>
      <c r="E443" s="146"/>
      <c r="F443" s="155"/>
      <c r="G443" s="146"/>
      <c r="H443" s="126"/>
      <c r="I443" s="132"/>
      <c r="J443" s="146"/>
      <c r="K443" s="126"/>
      <c r="L443" s="126"/>
      <c r="M443" s="134" t="str">
        <f t="shared" si="1"/>
        <v/>
      </c>
      <c r="N443" s="134" t="str">
        <f t="array" ref="N443">IF(M443="LOANED / ON KOL", INDEX('Step 3 FOC Request'!$G:$G, MATCH(1, ('Step 3 FOC Request'!$A:$A=W443) * ('Step 3 FOC Request'!$F:$F=E443), 0)), "-")</f>
        <v>-</v>
      </c>
      <c r="O443" s="126"/>
      <c r="P443" s="126"/>
      <c r="Q443" s="126"/>
      <c r="R443" s="126"/>
      <c r="U443" s="126"/>
      <c r="V443" s="126"/>
      <c r="W443" s="135">
        <f>MAXIFS('Step 3 FOC Request'!$A:$A, 'Step 3 FOC Request'!$F:$F, $E443)</f>
        <v>0</v>
      </c>
      <c r="X443" s="135">
        <f>MAXIFS('Step 4 FOC Return'!$A:$A, 'Step 4 FOC Return'!$E:$E, $E443)</f>
        <v>0</v>
      </c>
      <c r="Y443" s="126"/>
    </row>
    <row r="444">
      <c r="A444" s="126"/>
      <c r="B444" s="154"/>
      <c r="C444" s="146"/>
      <c r="D444" s="146"/>
      <c r="E444" s="146"/>
      <c r="F444" s="155"/>
      <c r="G444" s="146"/>
      <c r="H444" s="126"/>
      <c r="I444" s="132"/>
      <c r="J444" s="146"/>
      <c r="K444" s="126"/>
      <c r="L444" s="126"/>
      <c r="M444" s="134" t="str">
        <f t="shared" si="1"/>
        <v/>
      </c>
      <c r="N444" s="134" t="str">
        <f t="array" ref="N444">IF(M444="LOANED / ON KOL", INDEX('Step 3 FOC Request'!$G:$G, MATCH(1, ('Step 3 FOC Request'!$A:$A=W444) * ('Step 3 FOC Request'!$F:$F=E444), 0)), "-")</f>
        <v>-</v>
      </c>
      <c r="O444" s="126"/>
      <c r="P444" s="126"/>
      <c r="Q444" s="126"/>
      <c r="R444" s="126"/>
      <c r="U444" s="126"/>
      <c r="V444" s="126"/>
      <c r="W444" s="135">
        <f>MAXIFS('Step 3 FOC Request'!$A:$A, 'Step 3 FOC Request'!$F:$F, $E444)</f>
        <v>0</v>
      </c>
      <c r="X444" s="135">
        <f>MAXIFS('Step 4 FOC Return'!$A:$A, 'Step 4 FOC Return'!$E:$E, $E444)</f>
        <v>0</v>
      </c>
      <c r="Y444" s="126"/>
    </row>
    <row r="445">
      <c r="A445" s="126"/>
      <c r="B445" s="154"/>
      <c r="C445" s="146"/>
      <c r="D445" s="146"/>
      <c r="E445" s="146"/>
      <c r="F445" s="155"/>
      <c r="G445" s="146"/>
      <c r="H445" s="126"/>
      <c r="I445" s="132"/>
      <c r="J445" s="146"/>
      <c r="K445" s="126"/>
      <c r="L445" s="126"/>
      <c r="M445" s="134" t="str">
        <f t="shared" si="1"/>
        <v/>
      </c>
      <c r="N445" s="134" t="str">
        <f t="array" ref="N445">IF(M445="LOANED / ON KOL", INDEX('Step 3 FOC Request'!$G:$G, MATCH(1, ('Step 3 FOC Request'!$A:$A=W445) * ('Step 3 FOC Request'!$F:$F=E445), 0)), "-")</f>
        <v>-</v>
      </c>
      <c r="O445" s="126"/>
      <c r="P445" s="126"/>
      <c r="Q445" s="126"/>
      <c r="R445" s="126"/>
      <c r="U445" s="126"/>
      <c r="V445" s="126"/>
      <c r="W445" s="135">
        <f>MAXIFS('Step 3 FOC Request'!$A:$A, 'Step 3 FOC Request'!$F:$F, $E445)</f>
        <v>0</v>
      </c>
      <c r="X445" s="135">
        <f>MAXIFS('Step 4 FOC Return'!$A:$A, 'Step 4 FOC Return'!$E:$E, $E445)</f>
        <v>0</v>
      </c>
      <c r="Y445" s="126"/>
    </row>
    <row r="446">
      <c r="A446" s="126"/>
      <c r="B446" s="154"/>
      <c r="C446" s="146"/>
      <c r="D446" s="146"/>
      <c r="E446" s="146"/>
      <c r="F446" s="155"/>
      <c r="G446" s="146"/>
      <c r="H446" s="126"/>
      <c r="I446" s="132"/>
      <c r="J446" s="146"/>
      <c r="K446" s="126"/>
      <c r="L446" s="126"/>
      <c r="M446" s="134" t="str">
        <f t="shared" si="1"/>
        <v/>
      </c>
      <c r="N446" s="134" t="str">
        <f t="array" ref="N446">IF(M446="LOANED / ON KOL", INDEX('Step 3 FOC Request'!$G:$G, MATCH(1, ('Step 3 FOC Request'!$A:$A=W446) * ('Step 3 FOC Request'!$F:$F=E446), 0)), "-")</f>
        <v>-</v>
      </c>
      <c r="O446" s="126"/>
      <c r="P446" s="126"/>
      <c r="Q446" s="126"/>
      <c r="R446" s="126"/>
      <c r="U446" s="126"/>
      <c r="V446" s="126"/>
      <c r="W446" s="135">
        <f>MAXIFS('Step 3 FOC Request'!$A:$A, 'Step 3 FOC Request'!$F:$F, $E446)</f>
        <v>0</v>
      </c>
      <c r="X446" s="135">
        <f>MAXIFS('Step 4 FOC Return'!$A:$A, 'Step 4 FOC Return'!$E:$E, $E446)</f>
        <v>0</v>
      </c>
      <c r="Y446" s="126"/>
    </row>
    <row r="447">
      <c r="A447" s="126"/>
      <c r="B447" s="154"/>
      <c r="C447" s="146"/>
      <c r="D447" s="146"/>
      <c r="E447" s="146"/>
      <c r="F447" s="155"/>
      <c r="G447" s="146"/>
      <c r="H447" s="126"/>
      <c r="I447" s="132"/>
      <c r="J447" s="146"/>
      <c r="K447" s="126"/>
      <c r="L447" s="126"/>
      <c r="M447" s="134" t="str">
        <f t="shared" si="1"/>
        <v/>
      </c>
      <c r="N447" s="134" t="str">
        <f t="array" ref="N447">IF(M447="LOANED / ON KOL", INDEX('Step 3 FOC Request'!$G:$G, MATCH(1, ('Step 3 FOC Request'!$A:$A=W447) * ('Step 3 FOC Request'!$F:$F=E447), 0)), "-")</f>
        <v>-</v>
      </c>
      <c r="O447" s="126"/>
      <c r="P447" s="126"/>
      <c r="Q447" s="126"/>
      <c r="R447" s="126"/>
      <c r="U447" s="126"/>
      <c r="V447" s="126"/>
      <c r="W447" s="135">
        <f>MAXIFS('Step 3 FOC Request'!$A:$A, 'Step 3 FOC Request'!$F:$F, $E447)</f>
        <v>0</v>
      </c>
      <c r="X447" s="135">
        <f>MAXIFS('Step 4 FOC Return'!$A:$A, 'Step 4 FOC Return'!$E:$E, $E447)</f>
        <v>0</v>
      </c>
      <c r="Y447" s="126"/>
    </row>
    <row r="448">
      <c r="A448" s="126"/>
      <c r="B448" s="154"/>
      <c r="C448" s="146"/>
      <c r="D448" s="146"/>
      <c r="E448" s="146"/>
      <c r="F448" s="155"/>
      <c r="G448" s="146"/>
      <c r="H448" s="126"/>
      <c r="I448" s="132"/>
      <c r="J448" s="146"/>
      <c r="K448" s="126"/>
      <c r="L448" s="126"/>
      <c r="M448" s="134" t="str">
        <f t="shared" si="1"/>
        <v/>
      </c>
      <c r="N448" s="134" t="str">
        <f t="array" ref="N448">IF(M448="LOANED / ON KOL", INDEX('Step 3 FOC Request'!$G:$G, MATCH(1, ('Step 3 FOC Request'!$A:$A=W448) * ('Step 3 FOC Request'!$F:$F=E448), 0)), "-")</f>
        <v>-</v>
      </c>
      <c r="O448" s="126"/>
      <c r="P448" s="126"/>
      <c r="Q448" s="126"/>
      <c r="R448" s="126"/>
      <c r="U448" s="126"/>
      <c r="V448" s="126"/>
      <c r="W448" s="135">
        <f>MAXIFS('Step 3 FOC Request'!$A:$A, 'Step 3 FOC Request'!$F:$F, $E448)</f>
        <v>0</v>
      </c>
      <c r="X448" s="135">
        <f>MAXIFS('Step 4 FOC Return'!$A:$A, 'Step 4 FOC Return'!$E:$E, $E448)</f>
        <v>0</v>
      </c>
      <c r="Y448" s="126"/>
    </row>
    <row r="449">
      <c r="A449" s="126"/>
      <c r="B449" s="154"/>
      <c r="C449" s="146"/>
      <c r="D449" s="146"/>
      <c r="E449" s="146"/>
      <c r="F449" s="155"/>
      <c r="G449" s="146"/>
      <c r="H449" s="126"/>
      <c r="I449" s="132"/>
      <c r="J449" s="146"/>
      <c r="K449" s="126"/>
      <c r="L449" s="126"/>
      <c r="M449" s="134" t="str">
        <f t="shared" si="1"/>
        <v/>
      </c>
      <c r="N449" s="134" t="str">
        <f t="array" ref="N449">IF(M449="LOANED / ON KOL", INDEX('Step 3 FOC Request'!$G:$G, MATCH(1, ('Step 3 FOC Request'!$A:$A=W449) * ('Step 3 FOC Request'!$F:$F=E449), 0)), "-")</f>
        <v>-</v>
      </c>
      <c r="O449" s="126"/>
      <c r="P449" s="126"/>
      <c r="Q449" s="126"/>
      <c r="R449" s="126"/>
      <c r="U449" s="126"/>
      <c r="V449" s="126"/>
      <c r="W449" s="135">
        <f>MAXIFS('Step 3 FOC Request'!$A:$A, 'Step 3 FOC Request'!$F:$F, $E449)</f>
        <v>0</v>
      </c>
      <c r="X449" s="135">
        <f>MAXIFS('Step 4 FOC Return'!$A:$A, 'Step 4 FOC Return'!$E:$E, $E449)</f>
        <v>0</v>
      </c>
      <c r="Y449" s="126"/>
    </row>
    <row r="450">
      <c r="A450" s="126"/>
      <c r="B450" s="154"/>
      <c r="C450" s="146"/>
      <c r="D450" s="146"/>
      <c r="E450" s="146"/>
      <c r="F450" s="155"/>
      <c r="G450" s="146"/>
      <c r="H450" s="126"/>
      <c r="I450" s="132"/>
      <c r="J450" s="146"/>
      <c r="K450" s="126"/>
      <c r="L450" s="126"/>
      <c r="M450" s="134" t="str">
        <f t="shared" si="1"/>
        <v/>
      </c>
      <c r="N450" s="134" t="str">
        <f t="array" ref="N450">IF(M450="LOANED / ON KOL", INDEX('Step 3 FOC Request'!$G:$G, MATCH(1, ('Step 3 FOC Request'!$A:$A=W450) * ('Step 3 FOC Request'!$F:$F=E450), 0)), "-")</f>
        <v>-</v>
      </c>
      <c r="O450" s="126"/>
      <c r="P450" s="126"/>
      <c r="Q450" s="126"/>
      <c r="R450" s="126"/>
      <c r="U450" s="126"/>
      <c r="V450" s="126"/>
      <c r="W450" s="135">
        <f>MAXIFS('Step 3 FOC Request'!$A:$A, 'Step 3 FOC Request'!$F:$F, $E450)</f>
        <v>0</v>
      </c>
      <c r="X450" s="135">
        <f>MAXIFS('Step 4 FOC Return'!$A:$A, 'Step 4 FOC Return'!$E:$E, $E450)</f>
        <v>0</v>
      </c>
      <c r="Y450" s="126"/>
    </row>
    <row r="451">
      <c r="A451" s="126"/>
      <c r="B451" s="154"/>
      <c r="C451" s="146"/>
      <c r="D451" s="146"/>
      <c r="E451" s="146"/>
      <c r="F451" s="155"/>
      <c r="G451" s="146"/>
      <c r="H451" s="126"/>
      <c r="I451" s="132"/>
      <c r="J451" s="146"/>
      <c r="K451" s="126"/>
      <c r="L451" s="126"/>
      <c r="M451" s="134" t="str">
        <f t="shared" si="1"/>
        <v/>
      </c>
      <c r="N451" s="134" t="str">
        <f t="array" ref="N451">IF(M451="LOANED / ON KOL", INDEX('Step 3 FOC Request'!$G:$G, MATCH(1, ('Step 3 FOC Request'!$A:$A=W451) * ('Step 3 FOC Request'!$F:$F=E451), 0)), "-")</f>
        <v>-</v>
      </c>
      <c r="O451" s="126"/>
      <c r="P451" s="126"/>
      <c r="Q451" s="126"/>
      <c r="R451" s="126"/>
      <c r="U451" s="126"/>
      <c r="V451" s="126"/>
      <c r="W451" s="135">
        <f>MAXIFS('Step 3 FOC Request'!$A:$A, 'Step 3 FOC Request'!$F:$F, $E451)</f>
        <v>0</v>
      </c>
      <c r="X451" s="135">
        <f>MAXIFS('Step 4 FOC Return'!$A:$A, 'Step 4 FOC Return'!$E:$E, $E451)</f>
        <v>0</v>
      </c>
      <c r="Y451" s="126"/>
    </row>
    <row r="452">
      <c r="A452" s="126"/>
      <c r="B452" s="154"/>
      <c r="C452" s="146"/>
      <c r="D452" s="146"/>
      <c r="E452" s="146"/>
      <c r="F452" s="155"/>
      <c r="G452" s="146"/>
      <c r="H452" s="126"/>
      <c r="I452" s="132"/>
      <c r="J452" s="146"/>
      <c r="K452" s="126"/>
      <c r="L452" s="126"/>
      <c r="M452" s="134" t="str">
        <f t="shared" si="1"/>
        <v/>
      </c>
      <c r="N452" s="134" t="str">
        <f t="array" ref="N452">IF(M452="LOANED / ON KOL", INDEX('Step 3 FOC Request'!$G:$G, MATCH(1, ('Step 3 FOC Request'!$A:$A=W452) * ('Step 3 FOC Request'!$F:$F=E452), 0)), "-")</f>
        <v>-</v>
      </c>
      <c r="O452" s="126"/>
      <c r="P452" s="126"/>
      <c r="Q452" s="126"/>
      <c r="R452" s="126"/>
      <c r="U452" s="126"/>
      <c r="V452" s="126"/>
      <c r="W452" s="135">
        <f>MAXIFS('Step 3 FOC Request'!$A:$A, 'Step 3 FOC Request'!$F:$F, $E452)</f>
        <v>0</v>
      </c>
      <c r="X452" s="135">
        <f>MAXIFS('Step 4 FOC Return'!$A:$A, 'Step 4 FOC Return'!$E:$E, $E452)</f>
        <v>0</v>
      </c>
      <c r="Y452" s="126"/>
    </row>
    <row r="453">
      <c r="A453" s="126"/>
      <c r="B453" s="154"/>
      <c r="C453" s="146"/>
      <c r="D453" s="146"/>
      <c r="E453" s="146"/>
      <c r="F453" s="155"/>
      <c r="G453" s="146"/>
      <c r="H453" s="126"/>
      <c r="I453" s="132"/>
      <c r="J453" s="146"/>
      <c r="K453" s="126"/>
      <c r="L453" s="126"/>
      <c r="M453" s="134" t="str">
        <f t="shared" si="1"/>
        <v/>
      </c>
      <c r="N453" s="134" t="str">
        <f t="array" ref="N453">IF(M453="LOANED / ON KOL", INDEX('Step 3 FOC Request'!$G:$G, MATCH(1, ('Step 3 FOC Request'!$A:$A=W453) * ('Step 3 FOC Request'!$F:$F=E453), 0)), "-")</f>
        <v>-</v>
      </c>
      <c r="O453" s="126"/>
      <c r="P453" s="126"/>
      <c r="Q453" s="126"/>
      <c r="R453" s="126"/>
      <c r="U453" s="126"/>
      <c r="V453" s="126"/>
      <c r="W453" s="135">
        <f>MAXIFS('Step 3 FOC Request'!$A:$A, 'Step 3 FOC Request'!$F:$F, $E453)</f>
        <v>0</v>
      </c>
      <c r="X453" s="135">
        <f>MAXIFS('Step 4 FOC Return'!$A:$A, 'Step 4 FOC Return'!$E:$E, $E453)</f>
        <v>0</v>
      </c>
      <c r="Y453" s="126"/>
    </row>
    <row r="454">
      <c r="A454" s="126"/>
      <c r="B454" s="154"/>
      <c r="C454" s="146"/>
      <c r="D454" s="146"/>
      <c r="E454" s="146"/>
      <c r="F454" s="155"/>
      <c r="G454" s="146"/>
      <c r="H454" s="126"/>
      <c r="I454" s="132"/>
      <c r="J454" s="146"/>
      <c r="K454" s="126"/>
      <c r="L454" s="126"/>
      <c r="M454" s="134" t="str">
        <f t="shared" si="1"/>
        <v/>
      </c>
      <c r="N454" s="134" t="str">
        <f t="array" ref="N454">IF(M454="LOANED / ON KOL", INDEX('Step 3 FOC Request'!$G:$G, MATCH(1, ('Step 3 FOC Request'!$A:$A=W454) * ('Step 3 FOC Request'!$F:$F=E454), 0)), "-")</f>
        <v>-</v>
      </c>
      <c r="O454" s="126"/>
      <c r="P454" s="126"/>
      <c r="Q454" s="126"/>
      <c r="R454" s="126"/>
      <c r="U454" s="126"/>
      <c r="V454" s="126"/>
      <c r="W454" s="135">
        <f>MAXIFS('Step 3 FOC Request'!$A:$A, 'Step 3 FOC Request'!$F:$F, $E454)</f>
        <v>0</v>
      </c>
      <c r="X454" s="135">
        <f>MAXIFS('Step 4 FOC Return'!$A:$A, 'Step 4 FOC Return'!$E:$E, $E454)</f>
        <v>0</v>
      </c>
      <c r="Y454" s="126"/>
    </row>
    <row r="455">
      <c r="A455" s="126"/>
      <c r="B455" s="154"/>
      <c r="C455" s="146"/>
      <c r="D455" s="146"/>
      <c r="E455" s="146"/>
      <c r="F455" s="155"/>
      <c r="G455" s="146"/>
      <c r="H455" s="126"/>
      <c r="I455" s="132"/>
      <c r="J455" s="146"/>
      <c r="K455" s="126"/>
      <c r="L455" s="126"/>
      <c r="M455" s="134" t="str">
        <f t="shared" si="1"/>
        <v/>
      </c>
      <c r="N455" s="134" t="str">
        <f t="array" ref="N455">IF(M455="LOANED / ON KOL", INDEX('Step 3 FOC Request'!$G:$G, MATCH(1, ('Step 3 FOC Request'!$A:$A=W455) * ('Step 3 FOC Request'!$F:$F=E455), 0)), "-")</f>
        <v>-</v>
      </c>
      <c r="O455" s="126"/>
      <c r="P455" s="126"/>
      <c r="Q455" s="126"/>
      <c r="R455" s="126"/>
      <c r="U455" s="126"/>
      <c r="V455" s="126"/>
      <c r="W455" s="135">
        <f>MAXIFS('Step 3 FOC Request'!$A:$A, 'Step 3 FOC Request'!$F:$F, $E455)</f>
        <v>0</v>
      </c>
      <c r="X455" s="135">
        <f>MAXIFS('Step 4 FOC Return'!$A:$A, 'Step 4 FOC Return'!$E:$E, $E455)</f>
        <v>0</v>
      </c>
      <c r="Y455" s="126"/>
    </row>
    <row r="456">
      <c r="A456" s="126"/>
      <c r="B456" s="154"/>
      <c r="C456" s="146"/>
      <c r="D456" s="146"/>
      <c r="E456" s="146"/>
      <c r="F456" s="155"/>
      <c r="G456" s="146"/>
      <c r="H456" s="126"/>
      <c r="I456" s="132"/>
      <c r="J456" s="146"/>
      <c r="K456" s="126"/>
      <c r="L456" s="126"/>
      <c r="M456" s="134" t="str">
        <f t="shared" si="1"/>
        <v/>
      </c>
      <c r="N456" s="134" t="str">
        <f t="array" ref="N456">IF(M456="LOANED / ON KOL", INDEX('Step 3 FOC Request'!$G:$G, MATCH(1, ('Step 3 FOC Request'!$A:$A=W456) * ('Step 3 FOC Request'!$F:$F=E456), 0)), "-")</f>
        <v>-</v>
      </c>
      <c r="O456" s="126"/>
      <c r="P456" s="126"/>
      <c r="Q456" s="126"/>
      <c r="R456" s="126"/>
      <c r="U456" s="126"/>
      <c r="V456" s="126"/>
      <c r="W456" s="135">
        <f>MAXIFS('Step 3 FOC Request'!$A:$A, 'Step 3 FOC Request'!$F:$F, $E456)</f>
        <v>0</v>
      </c>
      <c r="X456" s="135">
        <f>MAXIFS('Step 4 FOC Return'!$A:$A, 'Step 4 FOC Return'!$E:$E, $E456)</f>
        <v>0</v>
      </c>
      <c r="Y456" s="126"/>
    </row>
    <row r="457">
      <c r="A457" s="126"/>
      <c r="B457" s="154"/>
      <c r="C457" s="146"/>
      <c r="D457" s="146"/>
      <c r="E457" s="146"/>
      <c r="F457" s="155"/>
      <c r="G457" s="146"/>
      <c r="H457" s="126"/>
      <c r="I457" s="132"/>
      <c r="J457" s="146"/>
      <c r="K457" s="126"/>
      <c r="L457" s="126"/>
      <c r="M457" s="134" t="str">
        <f t="shared" si="1"/>
        <v/>
      </c>
      <c r="N457" s="134" t="str">
        <f t="array" ref="N457">IF(M457="LOANED / ON KOL", INDEX('Step 3 FOC Request'!$G:$G, MATCH(1, ('Step 3 FOC Request'!$A:$A=W457) * ('Step 3 FOC Request'!$F:$F=E457), 0)), "-")</f>
        <v>-</v>
      </c>
      <c r="O457" s="126"/>
      <c r="P457" s="126"/>
      <c r="Q457" s="126"/>
      <c r="R457" s="126"/>
      <c r="U457" s="126"/>
      <c r="V457" s="126"/>
      <c r="W457" s="135">
        <f>MAXIFS('Step 3 FOC Request'!$A:$A, 'Step 3 FOC Request'!$F:$F, $E457)</f>
        <v>0</v>
      </c>
      <c r="X457" s="135">
        <f>MAXIFS('Step 4 FOC Return'!$A:$A, 'Step 4 FOC Return'!$E:$E, $E457)</f>
        <v>0</v>
      </c>
      <c r="Y457" s="126"/>
    </row>
    <row r="458">
      <c r="A458" s="126"/>
      <c r="B458" s="154"/>
      <c r="C458" s="146"/>
      <c r="D458" s="146"/>
      <c r="E458" s="146"/>
      <c r="F458" s="155"/>
      <c r="G458" s="146"/>
      <c r="H458" s="126"/>
      <c r="I458" s="132"/>
      <c r="J458" s="146"/>
      <c r="K458" s="126"/>
      <c r="L458" s="126"/>
      <c r="M458" s="134" t="str">
        <f t="shared" si="1"/>
        <v/>
      </c>
      <c r="N458" s="134" t="str">
        <f t="array" ref="N458">IF(M458="LOANED / ON KOL", INDEX('Step 3 FOC Request'!$G:$G, MATCH(1, ('Step 3 FOC Request'!$A:$A=W458) * ('Step 3 FOC Request'!$F:$F=E458), 0)), "-")</f>
        <v>-</v>
      </c>
      <c r="O458" s="126"/>
      <c r="P458" s="126"/>
      <c r="Q458" s="126"/>
      <c r="R458" s="126"/>
      <c r="U458" s="126"/>
      <c r="V458" s="126"/>
      <c r="W458" s="135">
        <f>MAXIFS('Step 3 FOC Request'!$A:$A, 'Step 3 FOC Request'!$F:$F, $E458)</f>
        <v>0</v>
      </c>
      <c r="X458" s="135">
        <f>MAXIFS('Step 4 FOC Return'!$A:$A, 'Step 4 FOC Return'!$E:$E, $E458)</f>
        <v>0</v>
      </c>
      <c r="Y458" s="126"/>
    </row>
    <row r="459">
      <c r="A459" s="126"/>
      <c r="B459" s="154"/>
      <c r="C459" s="146"/>
      <c r="D459" s="146"/>
      <c r="E459" s="146"/>
      <c r="F459" s="155"/>
      <c r="G459" s="146"/>
      <c r="H459" s="126"/>
      <c r="I459" s="132"/>
      <c r="J459" s="146"/>
      <c r="K459" s="126"/>
      <c r="L459" s="126"/>
      <c r="M459" s="134" t="str">
        <f t="shared" si="1"/>
        <v/>
      </c>
      <c r="N459" s="134" t="str">
        <f t="array" ref="N459">IF(M459="LOANED / ON KOL", INDEX('Step 3 FOC Request'!$G:$G, MATCH(1, ('Step 3 FOC Request'!$A:$A=W459) * ('Step 3 FOC Request'!$F:$F=E459), 0)), "-")</f>
        <v>-</v>
      </c>
      <c r="O459" s="126"/>
      <c r="P459" s="126"/>
      <c r="Q459" s="126"/>
      <c r="R459" s="126"/>
      <c r="U459" s="126"/>
      <c r="V459" s="126"/>
      <c r="W459" s="135">
        <f>MAXIFS('Step 3 FOC Request'!$A:$A, 'Step 3 FOC Request'!$F:$F, $E459)</f>
        <v>0</v>
      </c>
      <c r="X459" s="135">
        <f>MAXIFS('Step 4 FOC Return'!$A:$A, 'Step 4 FOC Return'!$E:$E, $E459)</f>
        <v>0</v>
      </c>
      <c r="Y459" s="126"/>
    </row>
    <row r="460">
      <c r="A460" s="126"/>
      <c r="B460" s="154"/>
      <c r="C460" s="146"/>
      <c r="D460" s="146"/>
      <c r="E460" s="146"/>
      <c r="F460" s="155"/>
      <c r="G460" s="146"/>
      <c r="H460" s="126"/>
      <c r="I460" s="132"/>
      <c r="J460" s="146"/>
      <c r="K460" s="126"/>
      <c r="L460" s="126"/>
      <c r="M460" s="134" t="str">
        <f t="shared" si="1"/>
        <v/>
      </c>
      <c r="N460" s="134" t="str">
        <f t="array" ref="N460">IF(M460="LOANED / ON KOL", INDEX('Step 3 FOC Request'!$G:$G, MATCH(1, ('Step 3 FOC Request'!$A:$A=W460) * ('Step 3 FOC Request'!$F:$F=E460), 0)), "-")</f>
        <v>-</v>
      </c>
      <c r="O460" s="126"/>
      <c r="P460" s="126"/>
      <c r="Q460" s="126"/>
      <c r="R460" s="126"/>
      <c r="U460" s="126"/>
      <c r="V460" s="126"/>
      <c r="W460" s="135">
        <f>MAXIFS('Step 3 FOC Request'!$A:$A, 'Step 3 FOC Request'!$F:$F, $E460)</f>
        <v>0</v>
      </c>
      <c r="X460" s="135">
        <f>MAXIFS('Step 4 FOC Return'!$A:$A, 'Step 4 FOC Return'!$E:$E, $E460)</f>
        <v>0</v>
      </c>
      <c r="Y460" s="126"/>
    </row>
    <row r="461">
      <c r="A461" s="126"/>
      <c r="B461" s="154"/>
      <c r="C461" s="146"/>
      <c r="D461" s="146"/>
      <c r="E461" s="146"/>
      <c r="F461" s="155"/>
      <c r="G461" s="146"/>
      <c r="H461" s="126"/>
      <c r="I461" s="132"/>
      <c r="J461" s="146"/>
      <c r="K461" s="126"/>
      <c r="L461" s="126"/>
      <c r="M461" s="134" t="str">
        <f t="shared" si="1"/>
        <v/>
      </c>
      <c r="N461" s="134" t="str">
        <f t="array" ref="N461">IF(M461="LOANED / ON KOL", INDEX('Step 3 FOC Request'!$G:$G, MATCH(1, ('Step 3 FOC Request'!$A:$A=W461) * ('Step 3 FOC Request'!$F:$F=E461), 0)), "-")</f>
        <v>-</v>
      </c>
      <c r="O461" s="126"/>
      <c r="P461" s="126"/>
      <c r="Q461" s="126"/>
      <c r="R461" s="126"/>
      <c r="U461" s="126"/>
      <c r="V461" s="126"/>
      <c r="W461" s="135">
        <f>MAXIFS('Step 3 FOC Request'!$A:$A, 'Step 3 FOC Request'!$F:$F, $E461)</f>
        <v>0</v>
      </c>
      <c r="X461" s="135">
        <f>MAXIFS('Step 4 FOC Return'!$A:$A, 'Step 4 FOC Return'!$E:$E, $E461)</f>
        <v>0</v>
      </c>
      <c r="Y461" s="126"/>
    </row>
    <row r="462">
      <c r="A462" s="126"/>
      <c r="B462" s="154"/>
      <c r="C462" s="146"/>
      <c r="D462" s="146"/>
      <c r="E462" s="146"/>
      <c r="F462" s="155"/>
      <c r="G462" s="146"/>
      <c r="H462" s="126"/>
      <c r="I462" s="132"/>
      <c r="J462" s="146"/>
      <c r="K462" s="126"/>
      <c r="L462" s="126"/>
      <c r="M462" s="134" t="str">
        <f t="shared" si="1"/>
        <v/>
      </c>
      <c r="N462" s="134" t="str">
        <f t="array" ref="N462">IF(M462="LOANED / ON KOL", INDEX('Step 3 FOC Request'!$G:$G, MATCH(1, ('Step 3 FOC Request'!$A:$A=W462) * ('Step 3 FOC Request'!$F:$F=E462), 0)), "-")</f>
        <v>-</v>
      </c>
      <c r="O462" s="126"/>
      <c r="P462" s="126"/>
      <c r="Q462" s="126"/>
      <c r="R462" s="126"/>
      <c r="U462" s="126"/>
      <c r="V462" s="126"/>
      <c r="W462" s="135">
        <f>MAXIFS('Step 3 FOC Request'!$A:$A, 'Step 3 FOC Request'!$F:$F, $E462)</f>
        <v>0</v>
      </c>
      <c r="X462" s="135">
        <f>MAXIFS('Step 4 FOC Return'!$A:$A, 'Step 4 FOC Return'!$E:$E, $E462)</f>
        <v>0</v>
      </c>
      <c r="Y462" s="126"/>
    </row>
    <row r="463">
      <c r="A463" s="126"/>
      <c r="B463" s="154"/>
      <c r="C463" s="146"/>
      <c r="D463" s="146"/>
      <c r="E463" s="146"/>
      <c r="F463" s="155"/>
      <c r="G463" s="146"/>
      <c r="H463" s="126"/>
      <c r="I463" s="132"/>
      <c r="J463" s="146"/>
      <c r="K463" s="126"/>
      <c r="L463" s="126"/>
      <c r="M463" s="134" t="str">
        <f t="shared" si="1"/>
        <v/>
      </c>
      <c r="N463" s="134" t="str">
        <f t="array" ref="N463">IF(M463="LOANED / ON KOL", INDEX('Step 3 FOC Request'!$G:$G, MATCH(1, ('Step 3 FOC Request'!$A:$A=W463) * ('Step 3 FOC Request'!$F:$F=E463), 0)), "-")</f>
        <v>-</v>
      </c>
      <c r="O463" s="126"/>
      <c r="P463" s="126"/>
      <c r="Q463" s="126"/>
      <c r="R463" s="126"/>
      <c r="U463" s="126"/>
      <c r="V463" s="126"/>
      <c r="W463" s="135">
        <f>MAXIFS('Step 3 FOC Request'!$A:$A, 'Step 3 FOC Request'!$F:$F, $E463)</f>
        <v>0</v>
      </c>
      <c r="X463" s="135">
        <f>MAXIFS('Step 4 FOC Return'!$A:$A, 'Step 4 FOC Return'!$E:$E, $E463)</f>
        <v>0</v>
      </c>
      <c r="Y463" s="126"/>
    </row>
    <row r="464">
      <c r="A464" s="126"/>
      <c r="B464" s="154"/>
      <c r="C464" s="146"/>
      <c r="D464" s="146"/>
      <c r="E464" s="146"/>
      <c r="F464" s="155"/>
      <c r="G464" s="146"/>
      <c r="H464" s="126"/>
      <c r="I464" s="132"/>
      <c r="J464" s="146"/>
      <c r="K464" s="126"/>
      <c r="L464" s="126"/>
      <c r="M464" s="134" t="str">
        <f t="shared" si="1"/>
        <v/>
      </c>
      <c r="N464" s="134" t="str">
        <f t="array" ref="N464">IF(M464="LOANED / ON KOL", INDEX('Step 3 FOC Request'!$G:$G, MATCH(1, ('Step 3 FOC Request'!$A:$A=W464) * ('Step 3 FOC Request'!$F:$F=E464), 0)), "-")</f>
        <v>-</v>
      </c>
      <c r="O464" s="126"/>
      <c r="P464" s="126"/>
      <c r="Q464" s="126"/>
      <c r="R464" s="126"/>
      <c r="U464" s="126"/>
      <c r="V464" s="126"/>
      <c r="W464" s="135">
        <f>MAXIFS('Step 3 FOC Request'!$A:$A, 'Step 3 FOC Request'!$F:$F, $E464)</f>
        <v>0</v>
      </c>
      <c r="X464" s="135">
        <f>MAXIFS('Step 4 FOC Return'!$A:$A, 'Step 4 FOC Return'!$E:$E, $E464)</f>
        <v>0</v>
      </c>
      <c r="Y464" s="126"/>
    </row>
    <row r="465">
      <c r="A465" s="126"/>
      <c r="B465" s="154"/>
      <c r="C465" s="146"/>
      <c r="D465" s="146"/>
      <c r="E465" s="146"/>
      <c r="F465" s="155"/>
      <c r="G465" s="146"/>
      <c r="H465" s="126"/>
      <c r="I465" s="132"/>
      <c r="J465" s="146"/>
      <c r="K465" s="126"/>
      <c r="L465" s="126"/>
      <c r="M465" s="134" t="str">
        <f t="shared" si="1"/>
        <v/>
      </c>
      <c r="N465" s="134" t="str">
        <f t="array" ref="N465">IF(M465="LOANED / ON KOL", INDEX('Step 3 FOC Request'!$G:$G, MATCH(1, ('Step 3 FOC Request'!$A:$A=W465) * ('Step 3 FOC Request'!$F:$F=E465), 0)), "-")</f>
        <v>-</v>
      </c>
      <c r="O465" s="126"/>
      <c r="P465" s="126"/>
      <c r="Q465" s="126"/>
      <c r="R465" s="126"/>
      <c r="U465" s="126"/>
      <c r="V465" s="126"/>
      <c r="W465" s="135">
        <f>MAXIFS('Step 3 FOC Request'!$A:$A, 'Step 3 FOC Request'!$F:$F, $E465)</f>
        <v>0</v>
      </c>
      <c r="X465" s="135">
        <f>MAXIFS('Step 4 FOC Return'!$A:$A, 'Step 4 FOC Return'!$E:$E, $E465)</f>
        <v>0</v>
      </c>
      <c r="Y465" s="126"/>
    </row>
    <row r="466">
      <c r="A466" s="126"/>
      <c r="B466" s="154"/>
      <c r="C466" s="146"/>
      <c r="D466" s="146"/>
      <c r="E466" s="146"/>
      <c r="F466" s="155"/>
      <c r="G466" s="146"/>
      <c r="H466" s="126"/>
      <c r="I466" s="132"/>
      <c r="J466" s="146"/>
      <c r="K466" s="126"/>
      <c r="L466" s="126"/>
      <c r="M466" s="134" t="str">
        <f t="shared" si="1"/>
        <v/>
      </c>
      <c r="N466" s="134" t="str">
        <f t="array" ref="N466">IF(M466="LOANED / ON KOL", INDEX('Step 3 FOC Request'!$G:$G, MATCH(1, ('Step 3 FOC Request'!$A:$A=W466) * ('Step 3 FOC Request'!$F:$F=E466), 0)), "-")</f>
        <v>-</v>
      </c>
      <c r="O466" s="126"/>
      <c r="P466" s="126"/>
      <c r="Q466" s="126"/>
      <c r="R466" s="126"/>
      <c r="U466" s="126"/>
      <c r="V466" s="126"/>
      <c r="W466" s="135">
        <f>MAXIFS('Step 3 FOC Request'!$A:$A, 'Step 3 FOC Request'!$F:$F, $E466)</f>
        <v>0</v>
      </c>
      <c r="X466" s="135">
        <f>MAXIFS('Step 4 FOC Return'!$A:$A, 'Step 4 FOC Return'!$E:$E, $E466)</f>
        <v>0</v>
      </c>
      <c r="Y466" s="126"/>
    </row>
    <row r="467">
      <c r="A467" s="126"/>
      <c r="B467" s="154"/>
      <c r="C467" s="146"/>
      <c r="D467" s="146"/>
      <c r="E467" s="146"/>
      <c r="F467" s="155"/>
      <c r="G467" s="146"/>
      <c r="H467" s="126"/>
      <c r="I467" s="132"/>
      <c r="J467" s="146"/>
      <c r="K467" s="126"/>
      <c r="L467" s="126"/>
      <c r="M467" s="134" t="str">
        <f t="shared" si="1"/>
        <v/>
      </c>
      <c r="N467" s="134" t="str">
        <f t="array" ref="N467">IF(M467="LOANED / ON KOL", INDEX('Step 3 FOC Request'!$G:$G, MATCH(1, ('Step 3 FOC Request'!$A:$A=W467) * ('Step 3 FOC Request'!$F:$F=E467), 0)), "-")</f>
        <v>-</v>
      </c>
      <c r="O467" s="126"/>
      <c r="P467" s="126"/>
      <c r="Q467" s="126"/>
      <c r="R467" s="126"/>
      <c r="U467" s="126"/>
      <c r="V467" s="126"/>
      <c r="W467" s="135">
        <f>MAXIFS('Step 3 FOC Request'!$A:$A, 'Step 3 FOC Request'!$F:$F, $E467)</f>
        <v>0</v>
      </c>
      <c r="X467" s="135">
        <f>MAXIFS('Step 4 FOC Return'!$A:$A, 'Step 4 FOC Return'!$E:$E, $E467)</f>
        <v>0</v>
      </c>
      <c r="Y467" s="126"/>
    </row>
    <row r="468">
      <c r="A468" s="126"/>
      <c r="B468" s="154"/>
      <c r="C468" s="146"/>
      <c r="D468" s="146"/>
      <c r="E468" s="146"/>
      <c r="F468" s="155"/>
      <c r="G468" s="146"/>
      <c r="H468" s="126"/>
      <c r="I468" s="132"/>
      <c r="J468" s="146"/>
      <c r="K468" s="126"/>
      <c r="L468" s="126"/>
      <c r="M468" s="134" t="str">
        <f t="shared" si="1"/>
        <v/>
      </c>
      <c r="N468" s="134" t="str">
        <f t="array" ref="N468">IF(M468="LOANED / ON KOL", INDEX('Step 3 FOC Request'!$G:$G, MATCH(1, ('Step 3 FOC Request'!$A:$A=W468) * ('Step 3 FOC Request'!$F:$F=E468), 0)), "-")</f>
        <v>-</v>
      </c>
      <c r="O468" s="126"/>
      <c r="P468" s="126"/>
      <c r="Q468" s="126"/>
      <c r="R468" s="126"/>
      <c r="U468" s="126"/>
      <c r="V468" s="126"/>
      <c r="W468" s="135">
        <f>MAXIFS('Step 3 FOC Request'!$A:$A, 'Step 3 FOC Request'!$F:$F, $E468)</f>
        <v>0</v>
      </c>
      <c r="X468" s="135">
        <f>MAXIFS('Step 4 FOC Return'!$A:$A, 'Step 4 FOC Return'!$E:$E, $E468)</f>
        <v>0</v>
      </c>
      <c r="Y468" s="126"/>
    </row>
    <row r="469">
      <c r="A469" s="126"/>
      <c r="B469" s="154"/>
      <c r="C469" s="146"/>
      <c r="D469" s="146"/>
      <c r="E469" s="146"/>
      <c r="F469" s="155"/>
      <c r="G469" s="146"/>
      <c r="H469" s="126"/>
      <c r="I469" s="132"/>
      <c r="J469" s="146"/>
      <c r="K469" s="126"/>
      <c r="L469" s="126"/>
      <c r="M469" s="134" t="str">
        <f t="shared" si="1"/>
        <v/>
      </c>
      <c r="N469" s="134" t="str">
        <f t="array" ref="N469">IF(M469="LOANED / ON KOL", INDEX('Step 3 FOC Request'!$G:$G, MATCH(1, ('Step 3 FOC Request'!$A:$A=W469) * ('Step 3 FOC Request'!$F:$F=E469), 0)), "-")</f>
        <v>-</v>
      </c>
      <c r="O469" s="126"/>
      <c r="P469" s="126"/>
      <c r="Q469" s="126"/>
      <c r="R469" s="126"/>
      <c r="U469" s="126"/>
      <c r="V469" s="126"/>
      <c r="W469" s="135">
        <f>MAXIFS('Step 3 FOC Request'!$A:$A, 'Step 3 FOC Request'!$F:$F, $E469)</f>
        <v>0</v>
      </c>
      <c r="X469" s="135">
        <f>MAXIFS('Step 4 FOC Return'!$A:$A, 'Step 4 FOC Return'!$E:$E, $E469)</f>
        <v>0</v>
      </c>
      <c r="Y469" s="126"/>
    </row>
    <row r="470">
      <c r="A470" s="126"/>
      <c r="B470" s="154"/>
      <c r="C470" s="146"/>
      <c r="D470" s="146"/>
      <c r="E470" s="146"/>
      <c r="F470" s="155"/>
      <c r="G470" s="146"/>
      <c r="H470" s="126"/>
      <c r="I470" s="132"/>
      <c r="J470" s="146"/>
      <c r="K470" s="126"/>
      <c r="L470" s="126"/>
      <c r="M470" s="134" t="str">
        <f t="shared" si="1"/>
        <v/>
      </c>
      <c r="N470" s="134" t="str">
        <f t="array" ref="N470">IF(M470="LOANED / ON KOL", INDEX('Step 3 FOC Request'!$G:$G, MATCH(1, ('Step 3 FOC Request'!$A:$A=W470) * ('Step 3 FOC Request'!$F:$F=E470), 0)), "-")</f>
        <v>-</v>
      </c>
      <c r="O470" s="126"/>
      <c r="P470" s="126"/>
      <c r="Q470" s="126"/>
      <c r="R470" s="126"/>
      <c r="U470" s="126"/>
      <c r="V470" s="126"/>
      <c r="W470" s="135">
        <f>MAXIFS('Step 3 FOC Request'!$A:$A, 'Step 3 FOC Request'!$F:$F, $E470)</f>
        <v>0</v>
      </c>
      <c r="X470" s="135">
        <f>MAXIFS('Step 4 FOC Return'!$A:$A, 'Step 4 FOC Return'!$E:$E, $E470)</f>
        <v>0</v>
      </c>
      <c r="Y470" s="126"/>
    </row>
    <row r="471">
      <c r="A471" s="126"/>
      <c r="B471" s="154"/>
      <c r="C471" s="146"/>
      <c r="D471" s="146"/>
      <c r="E471" s="146"/>
      <c r="F471" s="155"/>
      <c r="G471" s="146"/>
      <c r="H471" s="126"/>
      <c r="I471" s="132"/>
      <c r="J471" s="146"/>
      <c r="K471" s="126"/>
      <c r="L471" s="126"/>
      <c r="M471" s="134" t="str">
        <f t="shared" si="1"/>
        <v/>
      </c>
      <c r="N471" s="134" t="str">
        <f t="array" ref="N471">IF(M471="LOANED / ON KOL", INDEX('Step 3 FOC Request'!$G:$G, MATCH(1, ('Step 3 FOC Request'!$A:$A=W471) * ('Step 3 FOC Request'!$F:$F=E471), 0)), "-")</f>
        <v>-</v>
      </c>
      <c r="O471" s="126"/>
      <c r="P471" s="126"/>
      <c r="Q471" s="126"/>
      <c r="R471" s="126"/>
      <c r="U471" s="126"/>
      <c r="V471" s="126"/>
      <c r="W471" s="135">
        <f>MAXIFS('Step 3 FOC Request'!$A:$A, 'Step 3 FOC Request'!$F:$F, $E471)</f>
        <v>0</v>
      </c>
      <c r="X471" s="135">
        <f>MAXIFS('Step 4 FOC Return'!$A:$A, 'Step 4 FOC Return'!$E:$E, $E471)</f>
        <v>0</v>
      </c>
      <c r="Y471" s="126"/>
    </row>
    <row r="472">
      <c r="A472" s="126"/>
      <c r="B472" s="154"/>
      <c r="C472" s="146"/>
      <c r="D472" s="146"/>
      <c r="E472" s="146"/>
      <c r="F472" s="155"/>
      <c r="G472" s="146"/>
      <c r="H472" s="126"/>
      <c r="I472" s="132"/>
      <c r="J472" s="146"/>
      <c r="K472" s="126"/>
      <c r="L472" s="126"/>
      <c r="M472" s="134" t="str">
        <f t="shared" si="1"/>
        <v/>
      </c>
      <c r="N472" s="134" t="str">
        <f t="array" ref="N472">IF(M472="LOANED / ON KOL", INDEX('Step 3 FOC Request'!$G:$G, MATCH(1, ('Step 3 FOC Request'!$A:$A=W472) * ('Step 3 FOC Request'!$F:$F=E472), 0)), "-")</f>
        <v>-</v>
      </c>
      <c r="O472" s="126"/>
      <c r="P472" s="126"/>
      <c r="Q472" s="126"/>
      <c r="R472" s="126"/>
      <c r="U472" s="126"/>
      <c r="V472" s="126"/>
      <c r="W472" s="135">
        <f>MAXIFS('Step 3 FOC Request'!$A:$A, 'Step 3 FOC Request'!$F:$F, $E472)</f>
        <v>0</v>
      </c>
      <c r="X472" s="135">
        <f>MAXIFS('Step 4 FOC Return'!$A:$A, 'Step 4 FOC Return'!$E:$E, $E472)</f>
        <v>0</v>
      </c>
      <c r="Y472" s="126"/>
    </row>
    <row r="473">
      <c r="A473" s="126"/>
      <c r="B473" s="154"/>
      <c r="C473" s="146"/>
      <c r="D473" s="146"/>
      <c r="E473" s="146"/>
      <c r="F473" s="155"/>
      <c r="G473" s="146"/>
      <c r="H473" s="126"/>
      <c r="I473" s="132"/>
      <c r="J473" s="146"/>
      <c r="K473" s="126"/>
      <c r="L473" s="126"/>
      <c r="M473" s="134" t="str">
        <f t="shared" si="1"/>
        <v/>
      </c>
      <c r="N473" s="134" t="str">
        <f t="array" ref="N473">IF(M473="LOANED / ON KOL", INDEX('Step 3 FOC Request'!$G:$G, MATCH(1, ('Step 3 FOC Request'!$A:$A=W473) * ('Step 3 FOC Request'!$F:$F=E473), 0)), "-")</f>
        <v>-</v>
      </c>
      <c r="O473" s="126"/>
      <c r="P473" s="126"/>
      <c r="Q473" s="126"/>
      <c r="R473" s="126"/>
      <c r="U473" s="126"/>
      <c r="V473" s="126"/>
      <c r="W473" s="135">
        <f>MAXIFS('Step 3 FOC Request'!$A:$A, 'Step 3 FOC Request'!$F:$F, $E473)</f>
        <v>0</v>
      </c>
      <c r="X473" s="135">
        <f>MAXIFS('Step 4 FOC Return'!$A:$A, 'Step 4 FOC Return'!$E:$E, $E473)</f>
        <v>0</v>
      </c>
      <c r="Y473" s="126"/>
    </row>
    <row r="474">
      <c r="A474" s="126"/>
      <c r="B474" s="154"/>
      <c r="C474" s="146"/>
      <c r="D474" s="146"/>
      <c r="E474" s="146"/>
      <c r="F474" s="155"/>
      <c r="G474" s="146"/>
      <c r="H474" s="126"/>
      <c r="I474" s="132"/>
      <c r="J474" s="146"/>
      <c r="K474" s="126"/>
      <c r="L474" s="126"/>
      <c r="M474" s="134" t="str">
        <f t="shared" si="1"/>
        <v/>
      </c>
      <c r="N474" s="134" t="str">
        <f t="array" ref="N474">IF(M474="LOANED / ON KOL", INDEX('Step 3 FOC Request'!$G:$G, MATCH(1, ('Step 3 FOC Request'!$A:$A=W474) * ('Step 3 FOC Request'!$F:$F=E474), 0)), "-")</f>
        <v>-</v>
      </c>
      <c r="O474" s="126"/>
      <c r="P474" s="126"/>
      <c r="Q474" s="126"/>
      <c r="R474" s="126"/>
      <c r="U474" s="126"/>
      <c r="V474" s="126"/>
      <c r="W474" s="135">
        <f>MAXIFS('Step 3 FOC Request'!$A:$A, 'Step 3 FOC Request'!$F:$F, $E474)</f>
        <v>0</v>
      </c>
      <c r="X474" s="135">
        <f>MAXIFS('Step 4 FOC Return'!$A:$A, 'Step 4 FOC Return'!$E:$E, $E474)</f>
        <v>0</v>
      </c>
      <c r="Y474" s="126"/>
    </row>
    <row r="475">
      <c r="A475" s="126"/>
      <c r="B475" s="154"/>
      <c r="C475" s="146"/>
      <c r="D475" s="146"/>
      <c r="E475" s="146"/>
      <c r="F475" s="155"/>
      <c r="G475" s="146"/>
      <c r="H475" s="126"/>
      <c r="I475" s="132"/>
      <c r="J475" s="146"/>
      <c r="K475" s="126"/>
      <c r="L475" s="126"/>
      <c r="M475" s="134" t="str">
        <f t="shared" si="1"/>
        <v/>
      </c>
      <c r="N475" s="134" t="str">
        <f t="array" ref="N475">IF(M475="LOANED / ON KOL", INDEX('Step 3 FOC Request'!$G:$G, MATCH(1, ('Step 3 FOC Request'!$A:$A=W475) * ('Step 3 FOC Request'!$F:$F=E475), 0)), "-")</f>
        <v>-</v>
      </c>
      <c r="O475" s="126"/>
      <c r="P475" s="126"/>
      <c r="Q475" s="126"/>
      <c r="R475" s="126"/>
      <c r="U475" s="126"/>
      <c r="V475" s="126"/>
      <c r="W475" s="135">
        <f>MAXIFS('Step 3 FOC Request'!$A:$A, 'Step 3 FOC Request'!$F:$F, $E475)</f>
        <v>0</v>
      </c>
      <c r="X475" s="135">
        <f>MAXIFS('Step 4 FOC Return'!$A:$A, 'Step 4 FOC Return'!$E:$E, $E475)</f>
        <v>0</v>
      </c>
      <c r="Y475" s="126"/>
    </row>
    <row r="476">
      <c r="A476" s="126"/>
      <c r="B476" s="154"/>
      <c r="C476" s="146"/>
      <c r="D476" s="146"/>
      <c r="E476" s="146"/>
      <c r="F476" s="155"/>
      <c r="G476" s="146"/>
      <c r="H476" s="126"/>
      <c r="I476" s="132"/>
      <c r="J476" s="146"/>
      <c r="K476" s="126"/>
      <c r="L476" s="126"/>
      <c r="M476" s="134" t="str">
        <f t="shared" si="1"/>
        <v/>
      </c>
      <c r="N476" s="134" t="str">
        <f t="array" ref="N476">IF(M476="LOANED / ON KOL", INDEX('Step 3 FOC Request'!$G:$G, MATCH(1, ('Step 3 FOC Request'!$A:$A=W476) * ('Step 3 FOC Request'!$F:$F=E476), 0)), "-")</f>
        <v>-</v>
      </c>
      <c r="O476" s="126"/>
      <c r="P476" s="126"/>
      <c r="Q476" s="126"/>
      <c r="R476" s="126"/>
      <c r="U476" s="126"/>
      <c r="V476" s="126"/>
      <c r="W476" s="135">
        <f>MAXIFS('Step 3 FOC Request'!$A:$A, 'Step 3 FOC Request'!$F:$F, $E476)</f>
        <v>0</v>
      </c>
      <c r="X476" s="135">
        <f>MAXIFS('Step 4 FOC Return'!$A:$A, 'Step 4 FOC Return'!$E:$E, $E476)</f>
        <v>0</v>
      </c>
      <c r="Y476" s="126"/>
    </row>
    <row r="477">
      <c r="A477" s="126"/>
      <c r="B477" s="154"/>
      <c r="C477" s="146"/>
      <c r="D477" s="146"/>
      <c r="E477" s="146"/>
      <c r="F477" s="155"/>
      <c r="G477" s="146"/>
      <c r="H477" s="126"/>
      <c r="I477" s="132"/>
      <c r="J477" s="146"/>
      <c r="K477" s="126"/>
      <c r="L477" s="126"/>
      <c r="M477" s="134" t="str">
        <f t="shared" si="1"/>
        <v/>
      </c>
      <c r="N477" s="134" t="str">
        <f t="array" ref="N477">IF(M477="LOANED / ON KOL", INDEX('Step 3 FOC Request'!$G:$G, MATCH(1, ('Step 3 FOC Request'!$A:$A=W477) * ('Step 3 FOC Request'!$F:$F=E477), 0)), "-")</f>
        <v>-</v>
      </c>
      <c r="O477" s="126"/>
      <c r="P477" s="126"/>
      <c r="Q477" s="126"/>
      <c r="R477" s="126"/>
      <c r="U477" s="126"/>
      <c r="V477" s="126"/>
      <c r="W477" s="135">
        <f>MAXIFS('Step 3 FOC Request'!$A:$A, 'Step 3 FOC Request'!$F:$F, $E477)</f>
        <v>0</v>
      </c>
      <c r="X477" s="135">
        <f>MAXIFS('Step 4 FOC Return'!$A:$A, 'Step 4 FOC Return'!$E:$E, $E477)</f>
        <v>0</v>
      </c>
      <c r="Y477" s="126"/>
    </row>
    <row r="478">
      <c r="A478" s="126"/>
      <c r="B478" s="154"/>
      <c r="C478" s="146"/>
      <c r="D478" s="146"/>
      <c r="E478" s="146"/>
      <c r="F478" s="155"/>
      <c r="G478" s="146"/>
      <c r="H478" s="126"/>
      <c r="I478" s="132"/>
      <c r="J478" s="146"/>
      <c r="K478" s="126"/>
      <c r="L478" s="126"/>
      <c r="M478" s="134" t="str">
        <f t="shared" si="1"/>
        <v/>
      </c>
      <c r="N478" s="134" t="str">
        <f t="array" ref="N478">IF(M478="LOANED / ON KOL", INDEX('Step 3 FOC Request'!$G:$G, MATCH(1, ('Step 3 FOC Request'!$A:$A=W478) * ('Step 3 FOC Request'!$F:$F=E478), 0)), "-")</f>
        <v>-</v>
      </c>
      <c r="O478" s="126"/>
      <c r="P478" s="126"/>
      <c r="Q478" s="126"/>
      <c r="R478" s="126"/>
      <c r="U478" s="126"/>
      <c r="V478" s="126"/>
      <c r="W478" s="135">
        <f>MAXIFS('Step 3 FOC Request'!$A:$A, 'Step 3 FOC Request'!$F:$F, $E478)</f>
        <v>0</v>
      </c>
      <c r="X478" s="135">
        <f>MAXIFS('Step 4 FOC Return'!$A:$A, 'Step 4 FOC Return'!$E:$E, $E478)</f>
        <v>0</v>
      </c>
      <c r="Y478" s="126"/>
    </row>
    <row r="479">
      <c r="A479" s="126"/>
      <c r="B479" s="154"/>
      <c r="C479" s="146"/>
      <c r="D479" s="146"/>
      <c r="E479" s="146"/>
      <c r="F479" s="155"/>
      <c r="G479" s="146"/>
      <c r="H479" s="126"/>
      <c r="I479" s="132"/>
      <c r="J479" s="146"/>
      <c r="K479" s="126"/>
      <c r="L479" s="126"/>
      <c r="M479" s="134" t="str">
        <f t="shared" si="1"/>
        <v/>
      </c>
      <c r="N479" s="134" t="str">
        <f t="array" ref="N479">IF(M479="LOANED / ON KOL", INDEX('Step 3 FOC Request'!$G:$G, MATCH(1, ('Step 3 FOC Request'!$A:$A=W479) * ('Step 3 FOC Request'!$F:$F=E479), 0)), "-")</f>
        <v>-</v>
      </c>
      <c r="O479" s="126"/>
      <c r="P479" s="126"/>
      <c r="Q479" s="126"/>
      <c r="R479" s="126"/>
      <c r="U479" s="126"/>
      <c r="V479" s="126"/>
      <c r="W479" s="135">
        <f>MAXIFS('Step 3 FOC Request'!$A:$A, 'Step 3 FOC Request'!$F:$F, $E479)</f>
        <v>0</v>
      </c>
      <c r="X479" s="135">
        <f>MAXIFS('Step 4 FOC Return'!$A:$A, 'Step 4 FOC Return'!$E:$E, $E479)</f>
        <v>0</v>
      </c>
      <c r="Y479" s="126"/>
    </row>
    <row r="480">
      <c r="A480" s="126"/>
      <c r="B480" s="154"/>
      <c r="C480" s="146"/>
      <c r="D480" s="146"/>
      <c r="E480" s="146"/>
      <c r="F480" s="155"/>
      <c r="G480" s="146"/>
      <c r="H480" s="126"/>
      <c r="I480" s="132"/>
      <c r="J480" s="146"/>
      <c r="K480" s="126"/>
      <c r="L480" s="126"/>
      <c r="M480" s="134" t="str">
        <f t="shared" si="1"/>
        <v/>
      </c>
      <c r="N480" s="134" t="str">
        <f t="array" ref="N480">IF(M480="LOANED / ON KOL", INDEX('Step 3 FOC Request'!$G:$G, MATCH(1, ('Step 3 FOC Request'!$A:$A=W480) * ('Step 3 FOC Request'!$F:$F=E480), 0)), "-")</f>
        <v>-</v>
      </c>
      <c r="O480" s="126"/>
      <c r="P480" s="126"/>
      <c r="Q480" s="126"/>
      <c r="R480" s="126"/>
      <c r="U480" s="126"/>
      <c r="V480" s="126"/>
      <c r="W480" s="135">
        <f>MAXIFS('Step 3 FOC Request'!$A:$A, 'Step 3 FOC Request'!$F:$F, $E480)</f>
        <v>0</v>
      </c>
      <c r="X480" s="135">
        <f>MAXIFS('Step 4 FOC Return'!$A:$A, 'Step 4 FOC Return'!$E:$E, $E480)</f>
        <v>0</v>
      </c>
      <c r="Y480" s="126"/>
    </row>
    <row r="481">
      <c r="A481" s="126"/>
      <c r="B481" s="154"/>
      <c r="C481" s="146"/>
      <c r="D481" s="146"/>
      <c r="E481" s="146"/>
      <c r="F481" s="155"/>
      <c r="G481" s="146"/>
      <c r="H481" s="126"/>
      <c r="I481" s="132"/>
      <c r="J481" s="146"/>
      <c r="K481" s="126"/>
      <c r="L481" s="126"/>
      <c r="M481" s="134" t="str">
        <f t="shared" si="1"/>
        <v/>
      </c>
      <c r="N481" s="134" t="str">
        <f t="array" ref="N481">IF(M481="LOANED / ON KOL", INDEX('Step 3 FOC Request'!$G:$G, MATCH(1, ('Step 3 FOC Request'!$A:$A=W481) * ('Step 3 FOC Request'!$F:$F=E481), 0)), "-")</f>
        <v>-</v>
      </c>
      <c r="O481" s="126"/>
      <c r="P481" s="126"/>
      <c r="Q481" s="126"/>
      <c r="R481" s="126"/>
      <c r="U481" s="126"/>
      <c r="V481" s="126"/>
      <c r="W481" s="135">
        <f>MAXIFS('Step 3 FOC Request'!$A:$A, 'Step 3 FOC Request'!$F:$F, $E481)</f>
        <v>0</v>
      </c>
      <c r="X481" s="135">
        <f>MAXIFS('Step 4 FOC Return'!$A:$A, 'Step 4 FOC Return'!$E:$E, $E481)</f>
        <v>0</v>
      </c>
      <c r="Y481" s="126"/>
    </row>
    <row r="482">
      <c r="A482" s="126"/>
      <c r="B482" s="154"/>
      <c r="C482" s="146"/>
      <c r="D482" s="146"/>
      <c r="E482" s="146"/>
      <c r="F482" s="155"/>
      <c r="G482" s="146"/>
      <c r="H482" s="126"/>
      <c r="I482" s="132"/>
      <c r="J482" s="146"/>
      <c r="K482" s="126"/>
      <c r="L482" s="126"/>
      <c r="M482" s="134" t="str">
        <f t="shared" si="1"/>
        <v/>
      </c>
      <c r="N482" s="134" t="str">
        <f t="array" ref="N482">IF(M482="LOANED / ON KOL", INDEX('Step 3 FOC Request'!$G:$G, MATCH(1, ('Step 3 FOC Request'!$A:$A=W482) * ('Step 3 FOC Request'!$F:$F=E482), 0)), "-")</f>
        <v>-</v>
      </c>
      <c r="O482" s="126"/>
      <c r="P482" s="126"/>
      <c r="Q482" s="126"/>
      <c r="R482" s="126"/>
      <c r="U482" s="126"/>
      <c r="V482" s="126"/>
      <c r="W482" s="135">
        <f>MAXIFS('Step 3 FOC Request'!$A:$A, 'Step 3 FOC Request'!$F:$F, $E482)</f>
        <v>0</v>
      </c>
      <c r="X482" s="135">
        <f>MAXIFS('Step 4 FOC Return'!$A:$A, 'Step 4 FOC Return'!$E:$E, $E482)</f>
        <v>0</v>
      </c>
      <c r="Y482" s="126"/>
    </row>
    <row r="483">
      <c r="A483" s="126"/>
      <c r="B483" s="154"/>
      <c r="C483" s="146"/>
      <c r="D483" s="146"/>
      <c r="E483" s="146"/>
      <c r="F483" s="155"/>
      <c r="G483" s="146"/>
      <c r="H483" s="126"/>
      <c r="I483" s="132"/>
      <c r="J483" s="146"/>
      <c r="K483" s="126"/>
      <c r="L483" s="126"/>
      <c r="M483" s="134" t="str">
        <f t="shared" si="1"/>
        <v/>
      </c>
      <c r="N483" s="134" t="str">
        <f t="array" ref="N483">IF(M483="LOANED / ON KOL", INDEX('Step 3 FOC Request'!$G:$G, MATCH(1, ('Step 3 FOC Request'!$A:$A=W483) * ('Step 3 FOC Request'!$F:$F=E483), 0)), "-")</f>
        <v>-</v>
      </c>
      <c r="O483" s="126"/>
      <c r="P483" s="126"/>
      <c r="Q483" s="126"/>
      <c r="R483" s="126"/>
      <c r="U483" s="126"/>
      <c r="V483" s="126"/>
      <c r="W483" s="135">
        <f>MAXIFS('Step 3 FOC Request'!$A:$A, 'Step 3 FOC Request'!$F:$F, $E483)</f>
        <v>0</v>
      </c>
      <c r="X483" s="135">
        <f>MAXIFS('Step 4 FOC Return'!$A:$A, 'Step 4 FOC Return'!$E:$E, $E483)</f>
        <v>0</v>
      </c>
      <c r="Y483" s="126"/>
    </row>
    <row r="484">
      <c r="A484" s="126"/>
      <c r="B484" s="154"/>
      <c r="C484" s="146"/>
      <c r="D484" s="146"/>
      <c r="E484" s="146"/>
      <c r="F484" s="155"/>
      <c r="G484" s="146"/>
      <c r="H484" s="126"/>
      <c r="I484" s="132"/>
      <c r="J484" s="146"/>
      <c r="K484" s="126"/>
      <c r="L484" s="126"/>
      <c r="M484" s="134" t="str">
        <f t="shared" si="1"/>
        <v/>
      </c>
      <c r="N484" s="134" t="str">
        <f t="array" ref="N484">IF(M484="LOANED / ON KOL", INDEX('Step 3 FOC Request'!$G:$G, MATCH(1, ('Step 3 FOC Request'!$A:$A=W484) * ('Step 3 FOC Request'!$F:$F=E484), 0)), "-")</f>
        <v>-</v>
      </c>
      <c r="O484" s="126"/>
      <c r="P484" s="126"/>
      <c r="Q484" s="126"/>
      <c r="R484" s="126"/>
      <c r="U484" s="126"/>
      <c r="V484" s="126"/>
      <c r="W484" s="135">
        <f>MAXIFS('Step 3 FOC Request'!$A:$A, 'Step 3 FOC Request'!$F:$F, $E484)</f>
        <v>0</v>
      </c>
      <c r="X484" s="135">
        <f>MAXIFS('Step 4 FOC Return'!$A:$A, 'Step 4 FOC Return'!$E:$E, $E484)</f>
        <v>0</v>
      </c>
      <c r="Y484" s="126"/>
    </row>
    <row r="485">
      <c r="A485" s="126"/>
      <c r="B485" s="154"/>
      <c r="C485" s="146"/>
      <c r="D485" s="146"/>
      <c r="E485" s="146"/>
      <c r="F485" s="155"/>
      <c r="G485" s="146"/>
      <c r="H485" s="126"/>
      <c r="I485" s="132"/>
      <c r="J485" s="146"/>
      <c r="K485" s="126"/>
      <c r="L485" s="126"/>
      <c r="M485" s="134" t="str">
        <f t="shared" si="1"/>
        <v/>
      </c>
      <c r="N485" s="134" t="str">
        <f t="array" ref="N485">IF(M485="LOANED / ON KOL", INDEX('Step 3 FOC Request'!$G:$G, MATCH(1, ('Step 3 FOC Request'!$A:$A=W485) * ('Step 3 FOC Request'!$F:$F=E485), 0)), "-")</f>
        <v>-</v>
      </c>
      <c r="O485" s="126"/>
      <c r="P485" s="126"/>
      <c r="Q485" s="126"/>
      <c r="R485" s="126"/>
      <c r="U485" s="126"/>
      <c r="V485" s="126"/>
      <c r="W485" s="135">
        <f>MAXIFS('Step 3 FOC Request'!$A:$A, 'Step 3 FOC Request'!$F:$F, $E485)</f>
        <v>0</v>
      </c>
      <c r="X485" s="135">
        <f>MAXIFS('Step 4 FOC Return'!$A:$A, 'Step 4 FOC Return'!$E:$E, $E485)</f>
        <v>0</v>
      </c>
      <c r="Y485" s="126"/>
    </row>
    <row r="486">
      <c r="A486" s="126"/>
      <c r="B486" s="154"/>
      <c r="C486" s="146"/>
      <c r="D486" s="146"/>
      <c r="E486" s="146"/>
      <c r="F486" s="155"/>
      <c r="G486" s="146"/>
      <c r="H486" s="126"/>
      <c r="I486" s="132"/>
      <c r="J486" s="146"/>
      <c r="K486" s="126"/>
      <c r="L486" s="126"/>
      <c r="M486" s="134" t="str">
        <f t="shared" si="1"/>
        <v/>
      </c>
      <c r="N486" s="134" t="str">
        <f t="array" ref="N486">IF(M486="LOANED / ON KOL", INDEX('Step 3 FOC Request'!$G:$G, MATCH(1, ('Step 3 FOC Request'!$A:$A=W486) * ('Step 3 FOC Request'!$F:$F=E486), 0)), "-")</f>
        <v>-</v>
      </c>
      <c r="O486" s="126"/>
      <c r="P486" s="126"/>
      <c r="Q486" s="126"/>
      <c r="R486" s="126"/>
      <c r="U486" s="126"/>
      <c r="V486" s="126"/>
      <c r="W486" s="135">
        <f>MAXIFS('Step 3 FOC Request'!$A:$A, 'Step 3 FOC Request'!$F:$F, $E486)</f>
        <v>0</v>
      </c>
      <c r="X486" s="135">
        <f>MAXIFS('Step 4 FOC Return'!$A:$A, 'Step 4 FOC Return'!$E:$E, $E486)</f>
        <v>0</v>
      </c>
      <c r="Y486" s="126"/>
    </row>
    <row r="487">
      <c r="A487" s="126"/>
      <c r="B487" s="154"/>
      <c r="C487" s="146"/>
      <c r="D487" s="146"/>
      <c r="E487" s="146"/>
      <c r="F487" s="155"/>
      <c r="G487" s="146"/>
      <c r="H487" s="126"/>
      <c r="I487" s="132"/>
      <c r="J487" s="146"/>
      <c r="K487" s="126"/>
      <c r="L487" s="126"/>
      <c r="M487" s="134" t="str">
        <f t="shared" si="1"/>
        <v/>
      </c>
      <c r="N487" s="134" t="str">
        <f t="array" ref="N487">IF(M487="LOANED / ON KOL", INDEX('Step 3 FOC Request'!$G:$G, MATCH(1, ('Step 3 FOC Request'!$A:$A=W487) * ('Step 3 FOC Request'!$F:$F=E487), 0)), "-")</f>
        <v>-</v>
      </c>
      <c r="O487" s="126"/>
      <c r="P487" s="126"/>
      <c r="Q487" s="126"/>
      <c r="R487" s="126"/>
      <c r="U487" s="126"/>
      <c r="V487" s="126"/>
      <c r="W487" s="135">
        <f>MAXIFS('Step 3 FOC Request'!$A:$A, 'Step 3 FOC Request'!$F:$F, $E487)</f>
        <v>0</v>
      </c>
      <c r="X487" s="135">
        <f>MAXIFS('Step 4 FOC Return'!$A:$A, 'Step 4 FOC Return'!$E:$E, $E487)</f>
        <v>0</v>
      </c>
      <c r="Y487" s="126"/>
    </row>
    <row r="488">
      <c r="A488" s="126"/>
      <c r="B488" s="154"/>
      <c r="C488" s="146"/>
      <c r="D488" s="146"/>
      <c r="E488" s="146"/>
      <c r="F488" s="155"/>
      <c r="G488" s="146"/>
      <c r="H488" s="126"/>
      <c r="I488" s="132"/>
      <c r="J488" s="146"/>
      <c r="K488" s="126"/>
      <c r="L488" s="126"/>
      <c r="M488" s="134" t="str">
        <f t="shared" si="1"/>
        <v/>
      </c>
      <c r="N488" s="134" t="str">
        <f t="array" ref="N488">IF(M488="LOANED / ON KOL", INDEX('Step 3 FOC Request'!$G:$G, MATCH(1, ('Step 3 FOC Request'!$A:$A=W488) * ('Step 3 FOC Request'!$F:$F=E488), 0)), "-")</f>
        <v>-</v>
      </c>
      <c r="O488" s="126"/>
      <c r="P488" s="126"/>
      <c r="Q488" s="126"/>
      <c r="R488" s="126"/>
      <c r="U488" s="126"/>
      <c r="V488" s="126"/>
      <c r="W488" s="135">
        <f>MAXIFS('Step 3 FOC Request'!$A:$A, 'Step 3 FOC Request'!$F:$F, $E488)</f>
        <v>0</v>
      </c>
      <c r="X488" s="135">
        <f>MAXIFS('Step 4 FOC Return'!$A:$A, 'Step 4 FOC Return'!$E:$E, $E488)</f>
        <v>0</v>
      </c>
      <c r="Y488" s="126"/>
    </row>
    <row r="489">
      <c r="A489" s="126"/>
      <c r="B489" s="154"/>
      <c r="C489" s="146"/>
      <c r="D489" s="146"/>
      <c r="E489" s="146"/>
      <c r="F489" s="155"/>
      <c r="G489" s="146"/>
      <c r="H489" s="126"/>
      <c r="I489" s="132"/>
      <c r="J489" s="146"/>
      <c r="K489" s="126"/>
      <c r="L489" s="126"/>
      <c r="M489" s="134" t="str">
        <f t="shared" si="1"/>
        <v/>
      </c>
      <c r="N489" s="134" t="str">
        <f t="array" ref="N489">IF(M489="LOANED / ON KOL", INDEX('Step 3 FOC Request'!$G:$G, MATCH(1, ('Step 3 FOC Request'!$A:$A=W489) * ('Step 3 FOC Request'!$F:$F=E489), 0)), "-")</f>
        <v>-</v>
      </c>
      <c r="O489" s="126"/>
      <c r="P489" s="126"/>
      <c r="Q489" s="126"/>
      <c r="R489" s="126"/>
      <c r="U489" s="126"/>
      <c r="V489" s="126"/>
      <c r="W489" s="135">
        <f>MAXIFS('Step 3 FOC Request'!$A:$A, 'Step 3 FOC Request'!$F:$F, $E489)</f>
        <v>0</v>
      </c>
      <c r="X489" s="135">
        <f>MAXIFS('Step 4 FOC Return'!$A:$A, 'Step 4 FOC Return'!$E:$E, $E489)</f>
        <v>0</v>
      </c>
      <c r="Y489" s="126"/>
    </row>
    <row r="490">
      <c r="A490" s="126"/>
      <c r="B490" s="154"/>
      <c r="C490" s="146"/>
      <c r="D490" s="146"/>
      <c r="E490" s="146"/>
      <c r="F490" s="155"/>
      <c r="G490" s="146"/>
      <c r="H490" s="126"/>
      <c r="I490" s="132"/>
      <c r="J490" s="146"/>
      <c r="K490" s="126"/>
      <c r="L490" s="126"/>
      <c r="M490" s="134" t="str">
        <f t="shared" si="1"/>
        <v/>
      </c>
      <c r="N490" s="134" t="str">
        <f t="array" ref="N490">IF(M490="LOANED / ON KOL", INDEX('Step 3 FOC Request'!$G:$G, MATCH(1, ('Step 3 FOC Request'!$A:$A=W490) * ('Step 3 FOC Request'!$F:$F=E490), 0)), "-")</f>
        <v>-</v>
      </c>
      <c r="O490" s="126"/>
      <c r="P490" s="126"/>
      <c r="Q490" s="126"/>
      <c r="R490" s="126"/>
      <c r="U490" s="126"/>
      <c r="V490" s="126"/>
      <c r="W490" s="135">
        <f>MAXIFS('Step 3 FOC Request'!$A:$A, 'Step 3 FOC Request'!$F:$F, $E490)</f>
        <v>0</v>
      </c>
      <c r="X490" s="135">
        <f>MAXIFS('Step 4 FOC Return'!$A:$A, 'Step 4 FOC Return'!$E:$E, $E490)</f>
        <v>0</v>
      </c>
      <c r="Y490" s="126"/>
    </row>
    <row r="491">
      <c r="A491" s="126"/>
      <c r="B491" s="154"/>
      <c r="C491" s="146"/>
      <c r="D491" s="146"/>
      <c r="E491" s="146"/>
      <c r="F491" s="155"/>
      <c r="G491" s="146"/>
      <c r="H491" s="126"/>
      <c r="I491" s="132"/>
      <c r="J491" s="146"/>
      <c r="K491" s="126"/>
      <c r="L491" s="126"/>
      <c r="M491" s="134" t="str">
        <f t="shared" si="1"/>
        <v/>
      </c>
      <c r="N491" s="134" t="str">
        <f t="array" ref="N491">IF(M491="LOANED / ON KOL", INDEX('Step 3 FOC Request'!$G:$G, MATCH(1, ('Step 3 FOC Request'!$A:$A=W491) * ('Step 3 FOC Request'!$F:$F=E491), 0)), "-")</f>
        <v>-</v>
      </c>
      <c r="O491" s="126"/>
      <c r="P491" s="126"/>
      <c r="Q491" s="126"/>
      <c r="R491" s="126"/>
      <c r="U491" s="126"/>
      <c r="V491" s="126"/>
      <c r="W491" s="135">
        <f>MAXIFS('Step 3 FOC Request'!$A:$A, 'Step 3 FOC Request'!$F:$F, $E491)</f>
        <v>0</v>
      </c>
      <c r="X491" s="135">
        <f>MAXIFS('Step 4 FOC Return'!$A:$A, 'Step 4 FOC Return'!$E:$E, $E491)</f>
        <v>0</v>
      </c>
      <c r="Y491" s="126"/>
    </row>
    <row r="492">
      <c r="A492" s="126"/>
      <c r="B492" s="154"/>
      <c r="C492" s="146"/>
      <c r="D492" s="146"/>
      <c r="E492" s="146"/>
      <c r="F492" s="155"/>
      <c r="G492" s="146"/>
      <c r="H492" s="126"/>
      <c r="I492" s="132"/>
      <c r="J492" s="146"/>
      <c r="K492" s="126"/>
      <c r="L492" s="126"/>
      <c r="M492" s="134" t="str">
        <f t="shared" si="1"/>
        <v/>
      </c>
      <c r="N492" s="134" t="str">
        <f t="array" ref="N492">IF(M492="LOANED / ON KOL", INDEX('Step 3 FOC Request'!$G:$G, MATCH(1, ('Step 3 FOC Request'!$A:$A=W492) * ('Step 3 FOC Request'!$F:$F=E492), 0)), "-")</f>
        <v>-</v>
      </c>
      <c r="O492" s="126"/>
      <c r="P492" s="126"/>
      <c r="Q492" s="126"/>
      <c r="R492" s="126"/>
      <c r="U492" s="126"/>
      <c r="V492" s="126"/>
      <c r="W492" s="135">
        <f>MAXIFS('Step 3 FOC Request'!$A:$A, 'Step 3 FOC Request'!$F:$F, $E492)</f>
        <v>0</v>
      </c>
      <c r="X492" s="135">
        <f>MAXIFS('Step 4 FOC Return'!$A:$A, 'Step 4 FOC Return'!$E:$E, $E492)</f>
        <v>0</v>
      </c>
      <c r="Y492" s="126"/>
    </row>
    <row r="493">
      <c r="A493" s="126"/>
      <c r="B493" s="154"/>
      <c r="C493" s="146"/>
      <c r="D493" s="146"/>
      <c r="E493" s="146"/>
      <c r="F493" s="155"/>
      <c r="G493" s="146"/>
      <c r="H493" s="126"/>
      <c r="I493" s="132"/>
      <c r="J493" s="146"/>
      <c r="K493" s="126"/>
      <c r="L493" s="126"/>
      <c r="M493" s="134" t="str">
        <f t="shared" si="1"/>
        <v/>
      </c>
      <c r="N493" s="134" t="str">
        <f t="array" ref="N493">IF(M493="LOANED / ON KOL", INDEX('Step 3 FOC Request'!$G:$G, MATCH(1, ('Step 3 FOC Request'!$A:$A=W493) * ('Step 3 FOC Request'!$F:$F=E493), 0)), "-")</f>
        <v>-</v>
      </c>
      <c r="O493" s="126"/>
      <c r="P493" s="126"/>
      <c r="Q493" s="126"/>
      <c r="R493" s="126"/>
      <c r="U493" s="126"/>
      <c r="V493" s="126"/>
      <c r="W493" s="135">
        <f>MAXIFS('Step 3 FOC Request'!$A:$A, 'Step 3 FOC Request'!$F:$F, $E493)</f>
        <v>0</v>
      </c>
      <c r="X493" s="135">
        <f>MAXIFS('Step 4 FOC Return'!$A:$A, 'Step 4 FOC Return'!$E:$E, $E493)</f>
        <v>0</v>
      </c>
      <c r="Y493" s="126"/>
    </row>
    <row r="494">
      <c r="A494" s="126"/>
      <c r="B494" s="154"/>
      <c r="C494" s="146"/>
      <c r="D494" s="146"/>
      <c r="E494" s="146"/>
      <c r="F494" s="155"/>
      <c r="G494" s="146"/>
      <c r="H494" s="126"/>
      <c r="I494" s="132"/>
      <c r="J494" s="146"/>
      <c r="K494" s="126"/>
      <c r="L494" s="126"/>
      <c r="M494" s="134" t="str">
        <f t="shared" si="1"/>
        <v/>
      </c>
      <c r="N494" s="134" t="str">
        <f t="array" ref="N494">IF(M494="LOANED / ON KOL", INDEX('Step 3 FOC Request'!$G:$G, MATCH(1, ('Step 3 FOC Request'!$A:$A=W494) * ('Step 3 FOC Request'!$F:$F=E494), 0)), "-")</f>
        <v>-</v>
      </c>
      <c r="O494" s="126"/>
      <c r="P494" s="126"/>
      <c r="Q494" s="126"/>
      <c r="R494" s="126"/>
      <c r="U494" s="126"/>
      <c r="V494" s="126"/>
      <c r="W494" s="135">
        <f>MAXIFS('Step 3 FOC Request'!$A:$A, 'Step 3 FOC Request'!$F:$F, $E494)</f>
        <v>0</v>
      </c>
      <c r="X494" s="135">
        <f>MAXIFS('Step 4 FOC Return'!$A:$A, 'Step 4 FOC Return'!$E:$E, $E494)</f>
        <v>0</v>
      </c>
      <c r="Y494" s="126"/>
    </row>
    <row r="495">
      <c r="A495" s="126"/>
      <c r="B495" s="154"/>
      <c r="C495" s="146"/>
      <c r="D495" s="146"/>
      <c r="E495" s="146"/>
      <c r="F495" s="155"/>
      <c r="G495" s="146"/>
      <c r="H495" s="126"/>
      <c r="I495" s="132"/>
      <c r="J495" s="146"/>
      <c r="K495" s="126"/>
      <c r="L495" s="126"/>
      <c r="M495" s="134" t="str">
        <f t="shared" si="1"/>
        <v/>
      </c>
      <c r="N495" s="134" t="str">
        <f t="array" ref="N495">IF(M495="LOANED / ON KOL", INDEX('Step 3 FOC Request'!$G:$G, MATCH(1, ('Step 3 FOC Request'!$A:$A=W495) * ('Step 3 FOC Request'!$F:$F=E495), 0)), "-")</f>
        <v>-</v>
      </c>
      <c r="O495" s="126"/>
      <c r="P495" s="126"/>
      <c r="Q495" s="126"/>
      <c r="R495" s="126"/>
      <c r="U495" s="126"/>
      <c r="V495" s="126"/>
      <c r="W495" s="135">
        <f>MAXIFS('Step 3 FOC Request'!$A:$A, 'Step 3 FOC Request'!$F:$F, $E495)</f>
        <v>0</v>
      </c>
      <c r="X495" s="135">
        <f>MAXIFS('Step 4 FOC Return'!$A:$A, 'Step 4 FOC Return'!$E:$E, $E495)</f>
        <v>0</v>
      </c>
      <c r="Y495" s="126"/>
    </row>
    <row r="496">
      <c r="A496" s="126"/>
      <c r="B496" s="154"/>
      <c r="C496" s="146"/>
      <c r="D496" s="146"/>
      <c r="E496" s="146"/>
      <c r="F496" s="155"/>
      <c r="G496" s="146"/>
      <c r="H496" s="126"/>
      <c r="I496" s="132"/>
      <c r="J496" s="146"/>
      <c r="K496" s="126"/>
      <c r="L496" s="126"/>
      <c r="M496" s="134" t="str">
        <f t="shared" si="1"/>
        <v/>
      </c>
      <c r="N496" s="134" t="str">
        <f t="array" ref="N496">IF(M496="LOANED / ON KOL", INDEX('Step 3 FOC Request'!$G:$G, MATCH(1, ('Step 3 FOC Request'!$A:$A=W496) * ('Step 3 FOC Request'!$F:$F=E496), 0)), "-")</f>
        <v>-</v>
      </c>
      <c r="O496" s="126"/>
      <c r="P496" s="126"/>
      <c r="Q496" s="126"/>
      <c r="R496" s="126"/>
      <c r="U496" s="126"/>
      <c r="V496" s="126"/>
      <c r="W496" s="135">
        <f>MAXIFS('Step 3 FOC Request'!$A:$A, 'Step 3 FOC Request'!$F:$F, $E496)</f>
        <v>0</v>
      </c>
      <c r="X496" s="135">
        <f>MAXIFS('Step 4 FOC Return'!$A:$A, 'Step 4 FOC Return'!$E:$E, $E496)</f>
        <v>0</v>
      </c>
      <c r="Y496" s="126"/>
    </row>
    <row r="497">
      <c r="A497" s="126"/>
      <c r="B497" s="154"/>
      <c r="C497" s="146"/>
      <c r="D497" s="146"/>
      <c r="E497" s="146"/>
      <c r="F497" s="155"/>
      <c r="G497" s="146"/>
      <c r="H497" s="126"/>
      <c r="I497" s="132"/>
      <c r="J497" s="146"/>
      <c r="K497" s="126"/>
      <c r="L497" s="126"/>
      <c r="M497" s="134" t="str">
        <f t="shared" si="1"/>
        <v/>
      </c>
      <c r="N497" s="134" t="str">
        <f t="array" ref="N497">IF(M497="LOANED / ON KOL", INDEX('Step 3 FOC Request'!$G:$G, MATCH(1, ('Step 3 FOC Request'!$A:$A=W497) * ('Step 3 FOC Request'!$F:$F=E497), 0)), "-")</f>
        <v>-</v>
      </c>
      <c r="O497" s="126"/>
      <c r="P497" s="126"/>
      <c r="Q497" s="126"/>
      <c r="R497" s="126"/>
      <c r="U497" s="126"/>
      <c r="V497" s="126"/>
      <c r="W497" s="135">
        <f>MAXIFS('Step 3 FOC Request'!$A:$A, 'Step 3 FOC Request'!$F:$F, $E497)</f>
        <v>0</v>
      </c>
      <c r="X497" s="135">
        <f>MAXIFS('Step 4 FOC Return'!$A:$A, 'Step 4 FOC Return'!$E:$E, $E497)</f>
        <v>0</v>
      </c>
      <c r="Y497" s="126"/>
    </row>
    <row r="498">
      <c r="A498" s="126"/>
      <c r="B498" s="154"/>
      <c r="C498" s="146"/>
      <c r="D498" s="146"/>
      <c r="E498" s="146"/>
      <c r="F498" s="155"/>
      <c r="G498" s="146"/>
      <c r="H498" s="126"/>
      <c r="I498" s="132"/>
      <c r="J498" s="146"/>
      <c r="K498" s="126"/>
      <c r="L498" s="126"/>
      <c r="M498" s="134" t="str">
        <f t="shared" si="1"/>
        <v/>
      </c>
      <c r="N498" s="134" t="str">
        <f t="array" ref="N498">IF(M498="LOANED / ON KOL", INDEX('Step 3 FOC Request'!$G:$G, MATCH(1, ('Step 3 FOC Request'!$A:$A=W498) * ('Step 3 FOC Request'!$F:$F=E498), 0)), "-")</f>
        <v>-</v>
      </c>
      <c r="O498" s="126"/>
      <c r="P498" s="126"/>
      <c r="Q498" s="126"/>
      <c r="R498" s="126"/>
      <c r="U498" s="126"/>
      <c r="V498" s="126"/>
      <c r="W498" s="135">
        <f>MAXIFS('Step 3 FOC Request'!$A:$A, 'Step 3 FOC Request'!$F:$F, $E498)</f>
        <v>0</v>
      </c>
      <c r="X498" s="135">
        <f>MAXIFS('Step 4 FOC Return'!$A:$A, 'Step 4 FOC Return'!$E:$E, $E498)</f>
        <v>0</v>
      </c>
      <c r="Y498" s="126"/>
    </row>
    <row r="499">
      <c r="A499" s="126"/>
      <c r="B499" s="154"/>
      <c r="C499" s="146"/>
      <c r="D499" s="146"/>
      <c r="E499" s="146"/>
      <c r="F499" s="155"/>
      <c r="G499" s="146"/>
      <c r="H499" s="126"/>
      <c r="I499" s="132"/>
      <c r="J499" s="146"/>
      <c r="K499" s="126"/>
      <c r="L499" s="126"/>
      <c r="M499" s="134" t="str">
        <f t="shared" si="1"/>
        <v/>
      </c>
      <c r="N499" s="134" t="str">
        <f t="array" ref="N499">IF(M499="LOANED / ON KOL", INDEX('Step 3 FOC Request'!$G:$G, MATCH(1, ('Step 3 FOC Request'!$A:$A=W499) * ('Step 3 FOC Request'!$F:$F=E499), 0)), "-")</f>
        <v>-</v>
      </c>
      <c r="O499" s="126"/>
      <c r="P499" s="126"/>
      <c r="Q499" s="126"/>
      <c r="R499" s="126"/>
      <c r="U499" s="126"/>
      <c r="V499" s="126"/>
      <c r="W499" s="135">
        <f>MAXIFS('Step 3 FOC Request'!$A:$A, 'Step 3 FOC Request'!$F:$F, $E499)</f>
        <v>0</v>
      </c>
      <c r="X499" s="135">
        <f>MAXIFS('Step 4 FOC Return'!$A:$A, 'Step 4 FOC Return'!$E:$E, $E499)</f>
        <v>0</v>
      </c>
      <c r="Y499" s="126"/>
    </row>
    <row r="500">
      <c r="A500" s="126"/>
      <c r="B500" s="154"/>
      <c r="C500" s="146"/>
      <c r="D500" s="146"/>
      <c r="E500" s="146"/>
      <c r="F500" s="155"/>
      <c r="G500" s="146"/>
      <c r="H500" s="126"/>
      <c r="I500" s="132"/>
      <c r="J500" s="146"/>
      <c r="K500" s="126"/>
      <c r="L500" s="126"/>
      <c r="M500" s="134" t="str">
        <f t="shared" si="1"/>
        <v/>
      </c>
      <c r="N500" s="134" t="str">
        <f t="array" ref="N500">IF(M500="LOANED / ON KOL", INDEX('Step 3 FOC Request'!$G:$G, MATCH(1, ('Step 3 FOC Request'!$A:$A=W500) * ('Step 3 FOC Request'!$F:$F=E500), 0)), "-")</f>
        <v>-</v>
      </c>
      <c r="O500" s="126"/>
      <c r="P500" s="126"/>
      <c r="Q500" s="126"/>
      <c r="R500" s="126"/>
      <c r="U500" s="126"/>
      <c r="V500" s="126"/>
      <c r="W500" s="135">
        <f>MAXIFS('Step 3 FOC Request'!$A:$A, 'Step 3 FOC Request'!$F:$F, $E500)</f>
        <v>0</v>
      </c>
      <c r="X500" s="135">
        <f>MAXIFS('Step 4 FOC Return'!$A:$A, 'Step 4 FOC Return'!$E:$E, $E500)</f>
        <v>0</v>
      </c>
      <c r="Y500" s="126"/>
    </row>
    <row r="501">
      <c r="A501" s="126"/>
      <c r="B501" s="154"/>
      <c r="C501" s="146"/>
      <c r="D501" s="146"/>
      <c r="E501" s="146"/>
      <c r="F501" s="155"/>
      <c r="G501" s="146"/>
      <c r="H501" s="126"/>
      <c r="I501" s="132"/>
      <c r="J501" s="146"/>
      <c r="K501" s="126"/>
      <c r="L501" s="126"/>
      <c r="M501" s="134" t="str">
        <f t="shared" si="1"/>
        <v/>
      </c>
      <c r="N501" s="134" t="str">
        <f t="array" ref="N501">IF(M501="LOANED / ON KOL", INDEX('Step 3 FOC Request'!$G:$G, MATCH(1, ('Step 3 FOC Request'!$A:$A=W501) * ('Step 3 FOC Request'!$F:$F=E501), 0)), "-")</f>
        <v>-</v>
      </c>
      <c r="O501" s="126"/>
      <c r="P501" s="126"/>
      <c r="Q501" s="126"/>
      <c r="R501" s="126"/>
      <c r="U501" s="126"/>
      <c r="V501" s="126"/>
      <c r="W501" s="135">
        <f>MAXIFS('Step 3 FOC Request'!$A:$A, 'Step 3 FOC Request'!$F:$F, $E501)</f>
        <v>0</v>
      </c>
      <c r="X501" s="135">
        <f>MAXIFS('Step 4 FOC Return'!$A:$A, 'Step 4 FOC Return'!$E:$E, $E501)</f>
        <v>0</v>
      </c>
      <c r="Y501" s="126"/>
    </row>
    <row r="502">
      <c r="A502" s="126"/>
      <c r="B502" s="154"/>
      <c r="C502" s="146"/>
      <c r="D502" s="146"/>
      <c r="E502" s="146"/>
      <c r="F502" s="155"/>
      <c r="G502" s="146"/>
      <c r="H502" s="126"/>
      <c r="I502" s="132"/>
      <c r="J502" s="146"/>
      <c r="K502" s="126"/>
      <c r="L502" s="126"/>
      <c r="M502" s="134" t="str">
        <f t="shared" si="1"/>
        <v/>
      </c>
      <c r="N502" s="134" t="str">
        <f t="array" ref="N502">IF(M502="LOANED / ON KOL", INDEX('Step 3 FOC Request'!$G:$G, MATCH(1, ('Step 3 FOC Request'!$A:$A=W502) * ('Step 3 FOC Request'!$F:$F=E502), 0)), "-")</f>
        <v>-</v>
      </c>
      <c r="O502" s="126"/>
      <c r="P502" s="126"/>
      <c r="Q502" s="126"/>
      <c r="R502" s="126"/>
      <c r="U502" s="126"/>
      <c r="V502" s="126"/>
      <c r="W502" s="135">
        <f>MAXIFS('Step 3 FOC Request'!$A:$A, 'Step 3 FOC Request'!$F:$F, $E502)</f>
        <v>0</v>
      </c>
      <c r="X502" s="135">
        <f>MAXIFS('Step 4 FOC Return'!$A:$A, 'Step 4 FOC Return'!$E:$E, $E502)</f>
        <v>0</v>
      </c>
      <c r="Y502" s="126"/>
    </row>
    <row r="503">
      <c r="A503" s="126"/>
      <c r="B503" s="154"/>
      <c r="C503" s="146"/>
      <c r="D503" s="146"/>
      <c r="E503" s="146"/>
      <c r="F503" s="155"/>
      <c r="G503" s="146"/>
      <c r="H503" s="126"/>
      <c r="I503" s="132"/>
      <c r="J503" s="146"/>
      <c r="K503" s="126"/>
      <c r="L503" s="126"/>
      <c r="M503" s="134" t="str">
        <f t="shared" si="1"/>
        <v/>
      </c>
      <c r="N503" s="134" t="str">
        <f t="array" ref="N503">IF(M503="LOANED / ON KOL", INDEX('Step 3 FOC Request'!$G:$G, MATCH(1, ('Step 3 FOC Request'!$A:$A=W503) * ('Step 3 FOC Request'!$F:$F=E503), 0)), "-")</f>
        <v>-</v>
      </c>
      <c r="O503" s="126"/>
      <c r="P503" s="126"/>
      <c r="Q503" s="126"/>
      <c r="R503" s="126"/>
      <c r="U503" s="126"/>
      <c r="V503" s="126"/>
      <c r="W503" s="135">
        <f>MAXIFS('Step 3 FOC Request'!$A:$A, 'Step 3 FOC Request'!$F:$F, $E503)</f>
        <v>0</v>
      </c>
      <c r="X503" s="135">
        <f>MAXIFS('Step 4 FOC Return'!$A:$A, 'Step 4 FOC Return'!$E:$E, $E503)</f>
        <v>0</v>
      </c>
      <c r="Y503" s="126"/>
    </row>
    <row r="504">
      <c r="A504" s="126"/>
      <c r="B504" s="154"/>
      <c r="C504" s="146"/>
      <c r="D504" s="146"/>
      <c r="E504" s="146"/>
      <c r="F504" s="155"/>
      <c r="G504" s="146"/>
      <c r="H504" s="126"/>
      <c r="I504" s="132"/>
      <c r="J504" s="146"/>
      <c r="K504" s="126"/>
      <c r="L504" s="126"/>
      <c r="M504" s="134" t="str">
        <f t="shared" si="1"/>
        <v/>
      </c>
      <c r="N504" s="134" t="str">
        <f t="array" ref="N504">IF(M504="LOANED / ON KOL", INDEX('Step 3 FOC Request'!$G:$G, MATCH(1, ('Step 3 FOC Request'!$A:$A=W504) * ('Step 3 FOC Request'!$F:$F=E504), 0)), "-")</f>
        <v>-</v>
      </c>
      <c r="O504" s="126"/>
      <c r="P504" s="126"/>
      <c r="Q504" s="126"/>
      <c r="R504" s="126"/>
      <c r="U504" s="126"/>
      <c r="V504" s="126"/>
      <c r="W504" s="135">
        <f>MAXIFS('Step 3 FOC Request'!$A:$A, 'Step 3 FOC Request'!$F:$F, $E504)</f>
        <v>0</v>
      </c>
      <c r="X504" s="135">
        <f>MAXIFS('Step 4 FOC Return'!$A:$A, 'Step 4 FOC Return'!$E:$E, $E504)</f>
        <v>0</v>
      </c>
      <c r="Y504" s="126"/>
    </row>
    <row r="505">
      <c r="A505" s="126"/>
      <c r="B505" s="154"/>
      <c r="C505" s="146"/>
      <c r="D505" s="146"/>
      <c r="E505" s="146"/>
      <c r="F505" s="155"/>
      <c r="G505" s="146"/>
      <c r="H505" s="126"/>
      <c r="I505" s="132"/>
      <c r="J505" s="146"/>
      <c r="K505" s="126"/>
      <c r="L505" s="126"/>
      <c r="M505" s="134" t="str">
        <f t="shared" si="1"/>
        <v/>
      </c>
      <c r="N505" s="134" t="str">
        <f t="array" ref="N505">IF(M505="LOANED / ON KOL", INDEX('Step 3 FOC Request'!$G:$G, MATCH(1, ('Step 3 FOC Request'!$A:$A=W505) * ('Step 3 FOC Request'!$F:$F=E505), 0)), "-")</f>
        <v>-</v>
      </c>
      <c r="O505" s="126"/>
      <c r="P505" s="126"/>
      <c r="Q505" s="126"/>
      <c r="R505" s="126"/>
      <c r="U505" s="126"/>
      <c r="V505" s="126"/>
      <c r="W505" s="135">
        <f>MAXIFS('Step 3 FOC Request'!$A:$A, 'Step 3 FOC Request'!$F:$F, $E505)</f>
        <v>0</v>
      </c>
      <c r="X505" s="135">
        <f>MAXIFS('Step 4 FOC Return'!$A:$A, 'Step 4 FOC Return'!$E:$E, $E505)</f>
        <v>0</v>
      </c>
      <c r="Y505" s="126"/>
    </row>
    <row r="506">
      <c r="A506" s="126"/>
      <c r="B506" s="154"/>
      <c r="C506" s="146"/>
      <c r="D506" s="146"/>
      <c r="E506" s="146"/>
      <c r="F506" s="155"/>
      <c r="G506" s="146"/>
      <c r="H506" s="126"/>
      <c r="I506" s="132"/>
      <c r="J506" s="146"/>
      <c r="K506" s="126"/>
      <c r="L506" s="126"/>
      <c r="M506" s="134" t="str">
        <f t="shared" si="1"/>
        <v/>
      </c>
      <c r="N506" s="134" t="str">
        <f t="array" ref="N506">IF(M506="LOANED / ON KOL", INDEX('Step 3 FOC Request'!$G:$G, MATCH(1, ('Step 3 FOC Request'!$A:$A=W506) * ('Step 3 FOC Request'!$F:$F=E506), 0)), "-")</f>
        <v>-</v>
      </c>
      <c r="O506" s="126"/>
      <c r="P506" s="126"/>
      <c r="Q506" s="126"/>
      <c r="R506" s="126"/>
      <c r="U506" s="126"/>
      <c r="V506" s="126"/>
      <c r="W506" s="135">
        <f>MAXIFS('Step 3 FOC Request'!$A:$A, 'Step 3 FOC Request'!$F:$F, $E506)</f>
        <v>0</v>
      </c>
      <c r="X506" s="135">
        <f>MAXIFS('Step 4 FOC Return'!$A:$A, 'Step 4 FOC Return'!$E:$E, $E506)</f>
        <v>0</v>
      </c>
      <c r="Y506" s="126"/>
    </row>
    <row r="507">
      <c r="A507" s="126"/>
      <c r="B507" s="154"/>
      <c r="C507" s="146"/>
      <c r="D507" s="146"/>
      <c r="E507" s="146"/>
      <c r="F507" s="155"/>
      <c r="G507" s="146"/>
      <c r="H507" s="126"/>
      <c r="I507" s="132"/>
      <c r="J507" s="146"/>
      <c r="K507" s="126"/>
      <c r="L507" s="126"/>
      <c r="M507" s="134" t="str">
        <f t="shared" si="1"/>
        <v/>
      </c>
      <c r="N507" s="134" t="str">
        <f t="array" ref="N507">IF(M507="LOANED / ON KOL", INDEX('Step 3 FOC Request'!$G:$G, MATCH(1, ('Step 3 FOC Request'!$A:$A=W507) * ('Step 3 FOC Request'!$F:$F=E507), 0)), "-")</f>
        <v>-</v>
      </c>
      <c r="O507" s="126"/>
      <c r="P507" s="126"/>
      <c r="Q507" s="126"/>
      <c r="R507" s="126"/>
      <c r="U507" s="126"/>
      <c r="V507" s="126"/>
      <c r="W507" s="135">
        <f>MAXIFS('Step 3 FOC Request'!$A:$A, 'Step 3 FOC Request'!$F:$F, $E507)</f>
        <v>0</v>
      </c>
      <c r="X507" s="135">
        <f>MAXIFS('Step 4 FOC Return'!$A:$A, 'Step 4 FOC Return'!$E:$E, $E507)</f>
        <v>0</v>
      </c>
      <c r="Y507" s="126"/>
    </row>
    <row r="508">
      <c r="A508" s="126"/>
      <c r="B508" s="154"/>
      <c r="C508" s="146"/>
      <c r="D508" s="146"/>
      <c r="E508" s="146"/>
      <c r="F508" s="155"/>
      <c r="G508" s="146"/>
      <c r="H508" s="126"/>
      <c r="I508" s="132"/>
      <c r="J508" s="146"/>
      <c r="K508" s="126"/>
      <c r="L508" s="126"/>
      <c r="M508" s="134" t="str">
        <f t="shared" si="1"/>
        <v/>
      </c>
      <c r="N508" s="134" t="str">
        <f t="array" ref="N508">IF(M508="LOANED / ON KOL", INDEX('Step 3 FOC Request'!$G:$G, MATCH(1, ('Step 3 FOC Request'!$A:$A=W508) * ('Step 3 FOC Request'!$F:$F=E508), 0)), "-")</f>
        <v>-</v>
      </c>
      <c r="O508" s="126"/>
      <c r="P508" s="126"/>
      <c r="Q508" s="126"/>
      <c r="R508" s="126"/>
      <c r="U508" s="126"/>
      <c r="V508" s="126"/>
      <c r="W508" s="135">
        <f>MAXIFS('Step 3 FOC Request'!$A:$A, 'Step 3 FOC Request'!$F:$F, $E508)</f>
        <v>0</v>
      </c>
      <c r="X508" s="135">
        <f>MAXIFS('Step 4 FOC Return'!$A:$A, 'Step 4 FOC Return'!$E:$E, $E508)</f>
        <v>0</v>
      </c>
      <c r="Y508" s="126"/>
    </row>
    <row r="509">
      <c r="A509" s="126"/>
      <c r="B509" s="154"/>
      <c r="C509" s="146"/>
      <c r="D509" s="146"/>
      <c r="E509" s="146"/>
      <c r="F509" s="155"/>
      <c r="G509" s="146"/>
      <c r="H509" s="126"/>
      <c r="I509" s="132"/>
      <c r="J509" s="146"/>
      <c r="K509" s="126"/>
      <c r="L509" s="126"/>
      <c r="M509" s="134" t="str">
        <f t="shared" si="1"/>
        <v/>
      </c>
      <c r="N509" s="134" t="str">
        <f t="array" ref="N509">IF(M509="LOANED / ON KOL", INDEX('Step 3 FOC Request'!$G:$G, MATCH(1, ('Step 3 FOC Request'!$A:$A=W509) * ('Step 3 FOC Request'!$F:$F=E509), 0)), "-")</f>
        <v>-</v>
      </c>
      <c r="O509" s="126"/>
      <c r="P509" s="126"/>
      <c r="Q509" s="126"/>
      <c r="R509" s="126"/>
      <c r="U509" s="126"/>
      <c r="V509" s="126"/>
      <c r="W509" s="135">
        <f>MAXIFS('Step 3 FOC Request'!$A:$A, 'Step 3 FOC Request'!$F:$F, $E509)</f>
        <v>0</v>
      </c>
      <c r="X509" s="135">
        <f>MAXIFS('Step 4 FOC Return'!$A:$A, 'Step 4 FOC Return'!$E:$E, $E509)</f>
        <v>0</v>
      </c>
      <c r="Y509" s="126"/>
    </row>
    <row r="510">
      <c r="A510" s="126"/>
      <c r="B510" s="154"/>
      <c r="C510" s="146"/>
      <c r="D510" s="146"/>
      <c r="E510" s="146"/>
      <c r="F510" s="155"/>
      <c r="G510" s="146"/>
      <c r="H510" s="126"/>
      <c r="I510" s="132"/>
      <c r="J510" s="146"/>
      <c r="K510" s="126"/>
      <c r="L510" s="126"/>
      <c r="M510" s="134" t="str">
        <f t="shared" si="1"/>
        <v/>
      </c>
      <c r="N510" s="134" t="str">
        <f t="array" ref="N510">IF(M510="LOANED / ON KOL", INDEX('Step 3 FOC Request'!$G:$G, MATCH(1, ('Step 3 FOC Request'!$A:$A=W510) * ('Step 3 FOC Request'!$F:$F=E510), 0)), "-")</f>
        <v>-</v>
      </c>
      <c r="O510" s="126"/>
      <c r="P510" s="126"/>
      <c r="Q510" s="126"/>
      <c r="R510" s="126"/>
      <c r="U510" s="126"/>
      <c r="V510" s="126"/>
      <c r="W510" s="135">
        <f>MAXIFS('Step 3 FOC Request'!$A:$A, 'Step 3 FOC Request'!$F:$F, $E510)</f>
        <v>0</v>
      </c>
      <c r="X510" s="135">
        <f>MAXIFS('Step 4 FOC Return'!$A:$A, 'Step 4 FOC Return'!$E:$E, $E510)</f>
        <v>0</v>
      </c>
      <c r="Y510" s="126"/>
    </row>
    <row r="511">
      <c r="A511" s="126"/>
      <c r="B511" s="154"/>
      <c r="C511" s="146"/>
      <c r="D511" s="146"/>
      <c r="E511" s="146"/>
      <c r="F511" s="155"/>
      <c r="G511" s="146"/>
      <c r="H511" s="126"/>
      <c r="I511" s="132"/>
      <c r="J511" s="146"/>
      <c r="K511" s="126"/>
      <c r="L511" s="126"/>
      <c r="M511" s="134" t="str">
        <f t="shared" si="1"/>
        <v/>
      </c>
      <c r="N511" s="134" t="str">
        <f t="array" ref="N511">IF(M511="LOANED / ON KOL", INDEX('Step 3 FOC Request'!$G:$G, MATCH(1, ('Step 3 FOC Request'!$A:$A=W511) * ('Step 3 FOC Request'!$F:$F=E511), 0)), "-")</f>
        <v>-</v>
      </c>
      <c r="O511" s="126"/>
      <c r="P511" s="126"/>
      <c r="Q511" s="126"/>
      <c r="R511" s="126"/>
      <c r="U511" s="126"/>
      <c r="V511" s="126"/>
      <c r="W511" s="135">
        <f>MAXIFS('Step 3 FOC Request'!$A:$A, 'Step 3 FOC Request'!$F:$F, $E511)</f>
        <v>0</v>
      </c>
      <c r="X511" s="135">
        <f>MAXIFS('Step 4 FOC Return'!$A:$A, 'Step 4 FOC Return'!$E:$E, $E511)</f>
        <v>0</v>
      </c>
      <c r="Y511" s="126"/>
    </row>
    <row r="512">
      <c r="A512" s="126"/>
      <c r="B512" s="154"/>
      <c r="C512" s="146"/>
      <c r="D512" s="146"/>
      <c r="E512" s="146"/>
      <c r="F512" s="155"/>
      <c r="G512" s="146"/>
      <c r="H512" s="126"/>
      <c r="I512" s="132"/>
      <c r="J512" s="146"/>
      <c r="K512" s="126"/>
      <c r="L512" s="126"/>
      <c r="M512" s="134" t="str">
        <f t="shared" si="1"/>
        <v/>
      </c>
      <c r="N512" s="134" t="str">
        <f t="array" ref="N512">IF(M512="LOANED / ON KOL", INDEX('Step 3 FOC Request'!$G:$G, MATCH(1, ('Step 3 FOC Request'!$A:$A=W512) * ('Step 3 FOC Request'!$F:$F=E512), 0)), "-")</f>
        <v>-</v>
      </c>
      <c r="O512" s="126"/>
      <c r="P512" s="126"/>
      <c r="Q512" s="126"/>
      <c r="R512" s="126"/>
      <c r="U512" s="126"/>
      <c r="V512" s="126"/>
      <c r="W512" s="135">
        <f>MAXIFS('Step 3 FOC Request'!$A:$A, 'Step 3 FOC Request'!$F:$F, $E512)</f>
        <v>0</v>
      </c>
      <c r="X512" s="135">
        <f>MAXIFS('Step 4 FOC Return'!$A:$A, 'Step 4 FOC Return'!$E:$E, $E512)</f>
        <v>0</v>
      </c>
      <c r="Y512" s="126"/>
    </row>
    <row r="513">
      <c r="A513" s="126"/>
      <c r="B513" s="154"/>
      <c r="C513" s="146"/>
      <c r="D513" s="146"/>
      <c r="E513" s="146"/>
      <c r="F513" s="155"/>
      <c r="G513" s="146"/>
      <c r="H513" s="126"/>
      <c r="I513" s="132"/>
      <c r="J513" s="146"/>
      <c r="K513" s="126"/>
      <c r="L513" s="126"/>
      <c r="M513" s="134" t="str">
        <f t="shared" si="1"/>
        <v/>
      </c>
      <c r="N513" s="134" t="str">
        <f t="array" ref="N513">IF(M513="LOANED / ON KOL", INDEX('Step 3 FOC Request'!$G:$G, MATCH(1, ('Step 3 FOC Request'!$A:$A=W513) * ('Step 3 FOC Request'!$F:$F=E513), 0)), "-")</f>
        <v>-</v>
      </c>
      <c r="O513" s="126"/>
      <c r="P513" s="126"/>
      <c r="Q513" s="126"/>
      <c r="R513" s="126"/>
      <c r="U513" s="126"/>
      <c r="V513" s="126"/>
      <c r="W513" s="135">
        <f>MAXIFS('Step 3 FOC Request'!$A:$A, 'Step 3 FOC Request'!$F:$F, $E513)</f>
        <v>0</v>
      </c>
      <c r="X513" s="135">
        <f>MAXIFS('Step 4 FOC Return'!$A:$A, 'Step 4 FOC Return'!$E:$E, $E513)</f>
        <v>0</v>
      </c>
      <c r="Y513" s="126"/>
    </row>
    <row r="514">
      <c r="A514" s="126"/>
      <c r="B514" s="154"/>
      <c r="C514" s="146"/>
      <c r="D514" s="146"/>
      <c r="E514" s="146"/>
      <c r="F514" s="155"/>
      <c r="G514" s="146"/>
      <c r="H514" s="126"/>
      <c r="I514" s="132"/>
      <c r="J514" s="146"/>
      <c r="K514" s="126"/>
      <c r="L514" s="126"/>
      <c r="M514" s="134" t="str">
        <f t="shared" si="1"/>
        <v/>
      </c>
      <c r="N514" s="134" t="str">
        <f t="array" ref="N514">IF(M514="LOANED / ON KOL", INDEX('Step 3 FOC Request'!$G:$G, MATCH(1, ('Step 3 FOC Request'!$A:$A=W514) * ('Step 3 FOC Request'!$F:$F=E514), 0)), "-")</f>
        <v>-</v>
      </c>
      <c r="O514" s="126"/>
      <c r="P514" s="126"/>
      <c r="Q514" s="126"/>
      <c r="R514" s="126"/>
      <c r="U514" s="126"/>
      <c r="V514" s="126"/>
      <c r="W514" s="135">
        <f>MAXIFS('Step 3 FOC Request'!$A:$A, 'Step 3 FOC Request'!$F:$F, $E514)</f>
        <v>0</v>
      </c>
      <c r="X514" s="135">
        <f>MAXIFS('Step 4 FOC Return'!$A:$A, 'Step 4 FOC Return'!$E:$E, $E514)</f>
        <v>0</v>
      </c>
      <c r="Y514" s="126"/>
    </row>
    <row r="515">
      <c r="A515" s="126"/>
      <c r="B515" s="154"/>
      <c r="C515" s="146"/>
      <c r="D515" s="146"/>
      <c r="E515" s="146"/>
      <c r="F515" s="155"/>
      <c r="G515" s="146"/>
      <c r="H515" s="126"/>
      <c r="I515" s="132"/>
      <c r="J515" s="146"/>
      <c r="K515" s="126"/>
      <c r="L515" s="126"/>
      <c r="M515" s="134" t="str">
        <f t="shared" si="1"/>
        <v/>
      </c>
      <c r="N515" s="134" t="str">
        <f t="array" ref="N515">IF(M515="LOANED / ON KOL", INDEX('Step 3 FOC Request'!$G:$G, MATCH(1, ('Step 3 FOC Request'!$A:$A=W515) * ('Step 3 FOC Request'!$F:$F=E515), 0)), "-")</f>
        <v>-</v>
      </c>
      <c r="O515" s="126"/>
      <c r="P515" s="126"/>
      <c r="Q515" s="126"/>
      <c r="R515" s="126"/>
      <c r="U515" s="126"/>
      <c r="V515" s="126"/>
      <c r="W515" s="135">
        <f>MAXIFS('Step 3 FOC Request'!$A:$A, 'Step 3 FOC Request'!$F:$F, $E515)</f>
        <v>0</v>
      </c>
      <c r="X515" s="135">
        <f>MAXIFS('Step 4 FOC Return'!$A:$A, 'Step 4 FOC Return'!$E:$E, $E515)</f>
        <v>0</v>
      </c>
      <c r="Y515" s="126"/>
    </row>
    <row r="516">
      <c r="A516" s="126"/>
      <c r="B516" s="154"/>
      <c r="C516" s="146"/>
      <c r="D516" s="146"/>
      <c r="E516" s="146"/>
      <c r="F516" s="155"/>
      <c r="G516" s="146"/>
      <c r="H516" s="126"/>
      <c r="I516" s="132"/>
      <c r="J516" s="146"/>
      <c r="K516" s="126"/>
      <c r="L516" s="126"/>
      <c r="M516" s="134" t="str">
        <f t="shared" si="1"/>
        <v/>
      </c>
      <c r="N516" s="134" t="str">
        <f t="array" ref="N516">IF(M516="LOANED / ON KOL", INDEX('Step 3 FOC Request'!$G:$G, MATCH(1, ('Step 3 FOC Request'!$A:$A=W516) * ('Step 3 FOC Request'!$F:$F=E516), 0)), "-")</f>
        <v>-</v>
      </c>
      <c r="O516" s="126"/>
      <c r="P516" s="126"/>
      <c r="Q516" s="126"/>
      <c r="R516" s="126"/>
      <c r="U516" s="126"/>
      <c r="V516" s="126"/>
      <c r="W516" s="135">
        <f>MAXIFS('Step 3 FOC Request'!$A:$A, 'Step 3 FOC Request'!$F:$F, $E516)</f>
        <v>0</v>
      </c>
      <c r="X516" s="135">
        <f>MAXIFS('Step 4 FOC Return'!$A:$A, 'Step 4 FOC Return'!$E:$E, $E516)</f>
        <v>0</v>
      </c>
      <c r="Y516" s="126"/>
    </row>
    <row r="517">
      <c r="A517" s="126"/>
      <c r="B517" s="154"/>
      <c r="C517" s="146"/>
      <c r="D517" s="146"/>
      <c r="E517" s="146"/>
      <c r="F517" s="155"/>
      <c r="G517" s="146"/>
      <c r="H517" s="126"/>
      <c r="I517" s="132"/>
      <c r="J517" s="146"/>
      <c r="K517" s="126"/>
      <c r="L517" s="126"/>
      <c r="M517" s="134" t="str">
        <f t="shared" si="1"/>
        <v/>
      </c>
      <c r="N517" s="134" t="str">
        <f t="array" ref="N517">IF(M517="LOANED / ON KOL", INDEX('Step 3 FOC Request'!$G:$G, MATCH(1, ('Step 3 FOC Request'!$A:$A=W517) * ('Step 3 FOC Request'!$F:$F=E517), 0)), "-")</f>
        <v>-</v>
      </c>
      <c r="O517" s="126"/>
      <c r="P517" s="126"/>
      <c r="Q517" s="126"/>
      <c r="R517" s="126"/>
      <c r="U517" s="126"/>
      <c r="V517" s="126"/>
      <c r="W517" s="135">
        <f>MAXIFS('Step 3 FOC Request'!$A:$A, 'Step 3 FOC Request'!$F:$F, $E517)</f>
        <v>0</v>
      </c>
      <c r="X517" s="135">
        <f>MAXIFS('Step 4 FOC Return'!$A:$A, 'Step 4 FOC Return'!$E:$E, $E517)</f>
        <v>0</v>
      </c>
      <c r="Y517" s="126"/>
    </row>
    <row r="518">
      <c r="A518" s="126"/>
      <c r="B518" s="154"/>
      <c r="C518" s="146"/>
      <c r="D518" s="146"/>
      <c r="E518" s="146"/>
      <c r="F518" s="155"/>
      <c r="G518" s="146"/>
      <c r="H518" s="126"/>
      <c r="I518" s="132"/>
      <c r="J518" s="146"/>
      <c r="K518" s="126"/>
      <c r="L518" s="126"/>
      <c r="M518" s="134" t="str">
        <f t="shared" si="1"/>
        <v/>
      </c>
      <c r="N518" s="134" t="str">
        <f t="array" ref="N518">IF(M518="LOANED / ON KOL", INDEX('Step 3 FOC Request'!$G:$G, MATCH(1, ('Step 3 FOC Request'!$A:$A=W518) * ('Step 3 FOC Request'!$F:$F=E518), 0)), "-")</f>
        <v>-</v>
      </c>
      <c r="O518" s="126"/>
      <c r="P518" s="126"/>
      <c r="Q518" s="126"/>
      <c r="R518" s="126"/>
      <c r="U518" s="126"/>
      <c r="V518" s="126"/>
      <c r="W518" s="135">
        <f>MAXIFS('Step 3 FOC Request'!$A:$A, 'Step 3 FOC Request'!$F:$F, $E518)</f>
        <v>0</v>
      </c>
      <c r="X518" s="135">
        <f>MAXIFS('Step 4 FOC Return'!$A:$A, 'Step 4 FOC Return'!$E:$E, $E518)</f>
        <v>0</v>
      </c>
      <c r="Y518" s="126"/>
    </row>
    <row r="519">
      <c r="A519" s="126"/>
      <c r="B519" s="154"/>
      <c r="C519" s="146"/>
      <c r="D519" s="146"/>
      <c r="E519" s="146"/>
      <c r="F519" s="155"/>
      <c r="G519" s="146"/>
      <c r="H519" s="126"/>
      <c r="I519" s="132"/>
      <c r="J519" s="146"/>
      <c r="K519" s="126"/>
      <c r="L519" s="126"/>
      <c r="M519" s="134" t="str">
        <f t="shared" si="1"/>
        <v/>
      </c>
      <c r="N519" s="134" t="str">
        <f t="array" ref="N519">IF(M519="LOANED / ON KOL", INDEX('Step 3 FOC Request'!$G:$G, MATCH(1, ('Step 3 FOC Request'!$A:$A=W519) * ('Step 3 FOC Request'!$F:$F=E519), 0)), "-")</f>
        <v>-</v>
      </c>
      <c r="O519" s="126"/>
      <c r="P519" s="126"/>
      <c r="Q519" s="126"/>
      <c r="R519" s="126"/>
      <c r="U519" s="126"/>
      <c r="V519" s="126"/>
      <c r="W519" s="135">
        <f>MAXIFS('Step 3 FOC Request'!$A:$A, 'Step 3 FOC Request'!$F:$F, $E519)</f>
        <v>0</v>
      </c>
      <c r="X519" s="135">
        <f>MAXIFS('Step 4 FOC Return'!$A:$A, 'Step 4 FOC Return'!$E:$E, $E519)</f>
        <v>0</v>
      </c>
      <c r="Y519" s="126"/>
    </row>
    <row r="520">
      <c r="A520" s="126"/>
      <c r="B520" s="154"/>
      <c r="C520" s="146"/>
      <c r="D520" s="146"/>
      <c r="E520" s="146"/>
      <c r="F520" s="155"/>
      <c r="G520" s="146"/>
      <c r="H520" s="126"/>
      <c r="I520" s="132"/>
      <c r="J520" s="146"/>
      <c r="K520" s="126"/>
      <c r="L520" s="126"/>
      <c r="M520" s="134" t="str">
        <f t="shared" si="1"/>
        <v/>
      </c>
      <c r="N520" s="134" t="str">
        <f t="array" ref="N520">IF(M520="LOANED / ON KOL", INDEX('Step 3 FOC Request'!$G:$G, MATCH(1, ('Step 3 FOC Request'!$A:$A=W520) * ('Step 3 FOC Request'!$F:$F=E520), 0)), "-")</f>
        <v>-</v>
      </c>
      <c r="O520" s="126"/>
      <c r="P520" s="126"/>
      <c r="Q520" s="126"/>
      <c r="R520" s="126"/>
      <c r="U520" s="126"/>
      <c r="V520" s="126"/>
      <c r="W520" s="135">
        <f>MAXIFS('Step 3 FOC Request'!$A:$A, 'Step 3 FOC Request'!$F:$F, $E520)</f>
        <v>0</v>
      </c>
      <c r="X520" s="135">
        <f>MAXIFS('Step 4 FOC Return'!$A:$A, 'Step 4 FOC Return'!$E:$E, $E520)</f>
        <v>0</v>
      </c>
      <c r="Y520" s="126"/>
    </row>
    <row r="521">
      <c r="A521" s="126"/>
      <c r="B521" s="154"/>
      <c r="C521" s="146"/>
      <c r="D521" s="146"/>
      <c r="E521" s="146"/>
      <c r="F521" s="155"/>
      <c r="G521" s="146"/>
      <c r="H521" s="126"/>
      <c r="I521" s="132"/>
      <c r="J521" s="146"/>
      <c r="K521" s="126"/>
      <c r="L521" s="126"/>
      <c r="M521" s="134" t="str">
        <f t="shared" si="1"/>
        <v/>
      </c>
      <c r="N521" s="134" t="str">
        <f t="array" ref="N521">IF(M521="LOANED / ON KOL", INDEX('Step 3 FOC Request'!$G:$G, MATCH(1, ('Step 3 FOC Request'!$A:$A=W521) * ('Step 3 FOC Request'!$F:$F=E521), 0)), "-")</f>
        <v>-</v>
      </c>
      <c r="O521" s="126"/>
      <c r="P521" s="126"/>
      <c r="Q521" s="126"/>
      <c r="R521" s="126"/>
      <c r="U521" s="126"/>
      <c r="V521" s="126"/>
      <c r="W521" s="135">
        <f>MAXIFS('Step 3 FOC Request'!$A:$A, 'Step 3 FOC Request'!$F:$F, $E521)</f>
        <v>0</v>
      </c>
      <c r="X521" s="135">
        <f>MAXIFS('Step 4 FOC Return'!$A:$A, 'Step 4 FOC Return'!$E:$E, $E521)</f>
        <v>0</v>
      </c>
      <c r="Y521" s="126"/>
    </row>
    <row r="522">
      <c r="A522" s="126"/>
      <c r="B522" s="154"/>
      <c r="C522" s="146"/>
      <c r="D522" s="146"/>
      <c r="E522" s="146"/>
      <c r="F522" s="155"/>
      <c r="G522" s="146"/>
      <c r="H522" s="126"/>
      <c r="I522" s="132"/>
      <c r="J522" s="146"/>
      <c r="K522" s="126"/>
      <c r="L522" s="126"/>
      <c r="M522" s="134" t="str">
        <f t="shared" si="1"/>
        <v/>
      </c>
      <c r="N522" s="134" t="str">
        <f t="array" ref="N522">IF(M522="LOANED / ON KOL", INDEX('Step 3 FOC Request'!$G:$G, MATCH(1, ('Step 3 FOC Request'!$A:$A=W522) * ('Step 3 FOC Request'!$F:$F=E522), 0)), "-")</f>
        <v>-</v>
      </c>
      <c r="O522" s="126"/>
      <c r="P522" s="126"/>
      <c r="Q522" s="126"/>
      <c r="R522" s="126"/>
      <c r="U522" s="126"/>
      <c r="V522" s="126"/>
      <c r="W522" s="135">
        <f>MAXIFS('Step 3 FOC Request'!$A:$A, 'Step 3 FOC Request'!$F:$F, $E522)</f>
        <v>0</v>
      </c>
      <c r="X522" s="135">
        <f>MAXIFS('Step 4 FOC Return'!$A:$A, 'Step 4 FOC Return'!$E:$E, $E522)</f>
        <v>0</v>
      </c>
      <c r="Y522" s="126"/>
    </row>
    <row r="523">
      <c r="A523" s="126"/>
      <c r="B523" s="154"/>
      <c r="C523" s="146"/>
      <c r="D523" s="146"/>
      <c r="E523" s="146"/>
      <c r="F523" s="155"/>
      <c r="G523" s="146"/>
      <c r="H523" s="126"/>
      <c r="I523" s="132"/>
      <c r="J523" s="146"/>
      <c r="K523" s="126"/>
      <c r="L523" s="126"/>
      <c r="M523" s="134" t="str">
        <f t="shared" si="1"/>
        <v/>
      </c>
      <c r="N523" s="134" t="str">
        <f t="array" ref="N523">IF(M523="LOANED / ON KOL", INDEX('Step 3 FOC Request'!$G:$G, MATCH(1, ('Step 3 FOC Request'!$A:$A=W523) * ('Step 3 FOC Request'!$F:$F=E523), 0)), "-")</f>
        <v>-</v>
      </c>
      <c r="O523" s="126"/>
      <c r="P523" s="126"/>
      <c r="Q523" s="126"/>
      <c r="R523" s="126"/>
      <c r="U523" s="126"/>
      <c r="V523" s="126"/>
      <c r="W523" s="135">
        <f>MAXIFS('Step 3 FOC Request'!$A:$A, 'Step 3 FOC Request'!$F:$F, $E523)</f>
        <v>0</v>
      </c>
      <c r="X523" s="135">
        <f>MAXIFS('Step 4 FOC Return'!$A:$A, 'Step 4 FOC Return'!$E:$E, $E523)</f>
        <v>0</v>
      </c>
      <c r="Y523" s="126"/>
    </row>
    <row r="524">
      <c r="A524" s="126"/>
      <c r="B524" s="154"/>
      <c r="C524" s="146"/>
      <c r="D524" s="146"/>
      <c r="E524" s="146"/>
      <c r="F524" s="155"/>
      <c r="G524" s="146"/>
      <c r="H524" s="126"/>
      <c r="I524" s="132"/>
      <c r="J524" s="146"/>
      <c r="K524" s="126"/>
      <c r="L524" s="126"/>
      <c r="M524" s="134" t="str">
        <f t="shared" si="1"/>
        <v/>
      </c>
      <c r="N524" s="134" t="str">
        <f t="array" ref="N524">IF(M524="LOANED / ON KOL", INDEX('Step 3 FOC Request'!$G:$G, MATCH(1, ('Step 3 FOC Request'!$A:$A=W524) * ('Step 3 FOC Request'!$F:$F=E524), 0)), "-")</f>
        <v>-</v>
      </c>
      <c r="O524" s="126"/>
      <c r="P524" s="126"/>
      <c r="Q524" s="126"/>
      <c r="R524" s="126"/>
      <c r="U524" s="126"/>
      <c r="V524" s="126"/>
      <c r="W524" s="135">
        <f>MAXIFS('Step 3 FOC Request'!$A:$A, 'Step 3 FOC Request'!$F:$F, $E524)</f>
        <v>0</v>
      </c>
      <c r="X524" s="135">
        <f>MAXIFS('Step 4 FOC Return'!$A:$A, 'Step 4 FOC Return'!$E:$E, $E524)</f>
        <v>0</v>
      </c>
      <c r="Y524" s="126"/>
    </row>
    <row r="525">
      <c r="A525" s="126"/>
      <c r="B525" s="154"/>
      <c r="C525" s="146"/>
      <c r="D525" s="146"/>
      <c r="E525" s="146"/>
      <c r="F525" s="155"/>
      <c r="G525" s="146"/>
      <c r="H525" s="126"/>
      <c r="I525" s="132"/>
      <c r="J525" s="146"/>
      <c r="K525" s="126"/>
      <c r="L525" s="126"/>
      <c r="M525" s="134" t="str">
        <f t="shared" si="1"/>
        <v/>
      </c>
      <c r="N525" s="134" t="str">
        <f t="array" ref="N525">IF(M525="LOANED / ON KOL", INDEX('Step 3 FOC Request'!$G:$G, MATCH(1, ('Step 3 FOC Request'!$A:$A=W525) * ('Step 3 FOC Request'!$F:$F=E525), 0)), "-")</f>
        <v>-</v>
      </c>
      <c r="O525" s="126"/>
      <c r="P525" s="126"/>
      <c r="Q525" s="126"/>
      <c r="R525" s="126"/>
      <c r="U525" s="126"/>
      <c r="V525" s="126"/>
      <c r="W525" s="135">
        <f>MAXIFS('Step 3 FOC Request'!$A:$A, 'Step 3 FOC Request'!$F:$F, $E525)</f>
        <v>0</v>
      </c>
      <c r="X525" s="135">
        <f>MAXIFS('Step 4 FOC Return'!$A:$A, 'Step 4 FOC Return'!$E:$E, $E525)</f>
        <v>0</v>
      </c>
      <c r="Y525" s="126"/>
    </row>
    <row r="526">
      <c r="A526" s="126"/>
      <c r="B526" s="154"/>
      <c r="C526" s="146"/>
      <c r="D526" s="146"/>
      <c r="E526" s="146"/>
      <c r="F526" s="155"/>
      <c r="G526" s="146"/>
      <c r="H526" s="126"/>
      <c r="I526" s="132"/>
      <c r="J526" s="146"/>
      <c r="K526" s="126"/>
      <c r="L526" s="126"/>
      <c r="M526" s="134" t="str">
        <f t="shared" si="1"/>
        <v/>
      </c>
      <c r="N526" s="134" t="str">
        <f t="array" ref="N526">IF(M526="LOANED / ON KOL", INDEX('Step 3 FOC Request'!$G:$G, MATCH(1, ('Step 3 FOC Request'!$A:$A=W526) * ('Step 3 FOC Request'!$F:$F=E526), 0)), "-")</f>
        <v>-</v>
      </c>
      <c r="O526" s="126"/>
      <c r="P526" s="126"/>
      <c r="Q526" s="126"/>
      <c r="R526" s="126"/>
      <c r="U526" s="126"/>
      <c r="V526" s="126"/>
      <c r="W526" s="135">
        <f>MAXIFS('Step 3 FOC Request'!$A:$A, 'Step 3 FOC Request'!$F:$F, $E526)</f>
        <v>0</v>
      </c>
      <c r="X526" s="135">
        <f>MAXIFS('Step 4 FOC Return'!$A:$A, 'Step 4 FOC Return'!$E:$E, $E526)</f>
        <v>0</v>
      </c>
      <c r="Y526" s="126"/>
    </row>
    <row r="527">
      <c r="A527" s="126"/>
      <c r="B527" s="154"/>
      <c r="C527" s="146"/>
      <c r="D527" s="146"/>
      <c r="E527" s="146"/>
      <c r="F527" s="155"/>
      <c r="G527" s="146"/>
      <c r="H527" s="126"/>
      <c r="I527" s="132"/>
      <c r="J527" s="146"/>
      <c r="K527" s="126"/>
      <c r="L527" s="126"/>
      <c r="M527" s="134" t="str">
        <f t="shared" si="1"/>
        <v/>
      </c>
      <c r="N527" s="134" t="str">
        <f t="array" ref="N527">IF(M527="LOANED / ON KOL", INDEX('Step 3 FOC Request'!$G:$G, MATCH(1, ('Step 3 FOC Request'!$A:$A=W527) * ('Step 3 FOC Request'!$F:$F=E527), 0)), "-")</f>
        <v>-</v>
      </c>
      <c r="O527" s="126"/>
      <c r="P527" s="126"/>
      <c r="Q527" s="126"/>
      <c r="R527" s="126"/>
      <c r="U527" s="126"/>
      <c r="V527" s="126"/>
      <c r="W527" s="135">
        <f>MAXIFS('Step 3 FOC Request'!$A:$A, 'Step 3 FOC Request'!$F:$F, $E527)</f>
        <v>0</v>
      </c>
      <c r="X527" s="135">
        <f>MAXIFS('Step 4 FOC Return'!$A:$A, 'Step 4 FOC Return'!$E:$E, $E527)</f>
        <v>0</v>
      </c>
      <c r="Y527" s="126"/>
    </row>
    <row r="528">
      <c r="A528" s="126"/>
      <c r="B528" s="154"/>
      <c r="C528" s="146"/>
      <c r="D528" s="146"/>
      <c r="E528" s="146"/>
      <c r="F528" s="155"/>
      <c r="G528" s="146"/>
      <c r="H528" s="126"/>
      <c r="I528" s="132"/>
      <c r="J528" s="146"/>
      <c r="K528" s="126"/>
      <c r="L528" s="126"/>
      <c r="M528" s="134" t="str">
        <f t="shared" si="1"/>
        <v/>
      </c>
      <c r="N528" s="134" t="str">
        <f t="array" ref="N528">IF(M528="LOANED / ON KOL", INDEX('Step 3 FOC Request'!$G:$G, MATCH(1, ('Step 3 FOC Request'!$A:$A=W528) * ('Step 3 FOC Request'!$F:$F=E528), 0)), "-")</f>
        <v>-</v>
      </c>
      <c r="O528" s="126"/>
      <c r="P528" s="126"/>
      <c r="Q528" s="126"/>
      <c r="R528" s="126"/>
      <c r="U528" s="126"/>
      <c r="V528" s="126"/>
      <c r="W528" s="135">
        <f>MAXIFS('Step 3 FOC Request'!$A:$A, 'Step 3 FOC Request'!$F:$F, $E528)</f>
        <v>0</v>
      </c>
      <c r="X528" s="135">
        <f>MAXIFS('Step 4 FOC Return'!$A:$A, 'Step 4 FOC Return'!$E:$E, $E528)</f>
        <v>0</v>
      </c>
      <c r="Y528" s="126"/>
    </row>
    <row r="529">
      <c r="A529" s="126"/>
      <c r="B529" s="154"/>
      <c r="C529" s="146"/>
      <c r="D529" s="146"/>
      <c r="E529" s="146"/>
      <c r="F529" s="155"/>
      <c r="G529" s="146"/>
      <c r="H529" s="126"/>
      <c r="I529" s="132"/>
      <c r="J529" s="146"/>
      <c r="K529" s="126"/>
      <c r="L529" s="126"/>
      <c r="M529" s="134" t="str">
        <f t="shared" si="1"/>
        <v/>
      </c>
      <c r="N529" s="134" t="str">
        <f t="array" ref="N529">IF(M529="LOANED / ON KOL", INDEX('Step 3 FOC Request'!$G:$G, MATCH(1, ('Step 3 FOC Request'!$A:$A=W529) * ('Step 3 FOC Request'!$F:$F=E529), 0)), "-")</f>
        <v>-</v>
      </c>
      <c r="O529" s="126"/>
      <c r="P529" s="126"/>
      <c r="Q529" s="126"/>
      <c r="R529" s="126"/>
      <c r="U529" s="126"/>
      <c r="V529" s="126"/>
      <c r="W529" s="135">
        <f>MAXIFS('Step 3 FOC Request'!$A:$A, 'Step 3 FOC Request'!$F:$F, $E529)</f>
        <v>0</v>
      </c>
      <c r="X529" s="135">
        <f>MAXIFS('Step 4 FOC Return'!$A:$A, 'Step 4 FOC Return'!$E:$E, $E529)</f>
        <v>0</v>
      </c>
      <c r="Y529" s="126"/>
    </row>
    <row r="530">
      <c r="A530" s="126"/>
      <c r="B530" s="154"/>
      <c r="C530" s="146"/>
      <c r="D530" s="146"/>
      <c r="E530" s="146"/>
      <c r="F530" s="155"/>
      <c r="G530" s="146"/>
      <c r="H530" s="126"/>
      <c r="I530" s="132"/>
      <c r="J530" s="146"/>
      <c r="K530" s="126"/>
      <c r="L530" s="126"/>
      <c r="M530" s="134" t="str">
        <f t="shared" si="1"/>
        <v/>
      </c>
      <c r="N530" s="134" t="str">
        <f t="array" ref="N530">IF(M530="LOANED / ON KOL", INDEX('Step 3 FOC Request'!$G:$G, MATCH(1, ('Step 3 FOC Request'!$A:$A=W530) * ('Step 3 FOC Request'!$F:$F=E530), 0)), "-")</f>
        <v>-</v>
      </c>
      <c r="O530" s="126"/>
      <c r="P530" s="126"/>
      <c r="Q530" s="126"/>
      <c r="R530" s="126"/>
      <c r="U530" s="126"/>
      <c r="V530" s="126"/>
      <c r="W530" s="135">
        <f>MAXIFS('Step 3 FOC Request'!$A:$A, 'Step 3 FOC Request'!$F:$F, $E530)</f>
        <v>0</v>
      </c>
      <c r="X530" s="135">
        <f>MAXIFS('Step 4 FOC Return'!$A:$A, 'Step 4 FOC Return'!$E:$E, $E530)</f>
        <v>0</v>
      </c>
      <c r="Y530" s="126"/>
    </row>
    <row r="531">
      <c r="A531" s="126"/>
      <c r="B531" s="154"/>
      <c r="C531" s="146"/>
      <c r="D531" s="146"/>
      <c r="E531" s="146"/>
      <c r="F531" s="155"/>
      <c r="G531" s="146"/>
      <c r="H531" s="126"/>
      <c r="I531" s="132"/>
      <c r="J531" s="146"/>
      <c r="K531" s="126"/>
      <c r="L531" s="126"/>
      <c r="M531" s="134" t="str">
        <f t="shared" si="1"/>
        <v/>
      </c>
      <c r="N531" s="134" t="str">
        <f t="array" ref="N531">IF(M531="LOANED / ON KOL", INDEX('Step 3 FOC Request'!$G:$G, MATCH(1, ('Step 3 FOC Request'!$A:$A=W531) * ('Step 3 FOC Request'!$F:$F=E531), 0)), "-")</f>
        <v>-</v>
      </c>
      <c r="O531" s="126"/>
      <c r="P531" s="126"/>
      <c r="Q531" s="126"/>
      <c r="R531" s="126"/>
      <c r="U531" s="126"/>
      <c r="V531" s="126"/>
      <c r="W531" s="135">
        <f>MAXIFS('Step 3 FOC Request'!$A:$A, 'Step 3 FOC Request'!$F:$F, $E531)</f>
        <v>0</v>
      </c>
      <c r="X531" s="135">
        <f>MAXIFS('Step 4 FOC Return'!$A:$A, 'Step 4 FOC Return'!$E:$E, $E531)</f>
        <v>0</v>
      </c>
      <c r="Y531" s="126"/>
    </row>
    <row r="532">
      <c r="A532" s="126"/>
      <c r="B532" s="154"/>
      <c r="C532" s="146"/>
      <c r="D532" s="146"/>
      <c r="E532" s="146"/>
      <c r="F532" s="155"/>
      <c r="G532" s="146"/>
      <c r="H532" s="126"/>
      <c r="I532" s="132"/>
      <c r="J532" s="146"/>
      <c r="K532" s="126"/>
      <c r="L532" s="126"/>
      <c r="M532" s="134" t="str">
        <f t="shared" si="1"/>
        <v/>
      </c>
      <c r="N532" s="134" t="str">
        <f t="array" ref="N532">IF(M532="LOANED / ON KOL", INDEX('Step 3 FOC Request'!$G:$G, MATCH(1, ('Step 3 FOC Request'!$A:$A=W532) * ('Step 3 FOC Request'!$F:$F=E532), 0)), "-")</f>
        <v>-</v>
      </c>
      <c r="O532" s="126"/>
      <c r="P532" s="126"/>
      <c r="Q532" s="126"/>
      <c r="R532" s="126"/>
      <c r="U532" s="126"/>
      <c r="V532" s="126"/>
      <c r="W532" s="135">
        <f>MAXIFS('Step 3 FOC Request'!$A:$A, 'Step 3 FOC Request'!$F:$F, $E532)</f>
        <v>0</v>
      </c>
      <c r="X532" s="135">
        <f>MAXIFS('Step 4 FOC Return'!$A:$A, 'Step 4 FOC Return'!$E:$E, $E532)</f>
        <v>0</v>
      </c>
      <c r="Y532" s="126"/>
    </row>
    <row r="533">
      <c r="A533" s="126"/>
      <c r="B533" s="154"/>
      <c r="C533" s="146"/>
      <c r="D533" s="146"/>
      <c r="E533" s="146"/>
      <c r="F533" s="155"/>
      <c r="G533" s="146"/>
      <c r="H533" s="126"/>
      <c r="I533" s="132"/>
      <c r="J533" s="146"/>
      <c r="K533" s="126"/>
      <c r="L533" s="126"/>
      <c r="M533" s="134" t="str">
        <f t="shared" si="1"/>
        <v/>
      </c>
      <c r="N533" s="134" t="str">
        <f t="array" ref="N533">IF(M533="LOANED / ON KOL", INDEX('Step 3 FOC Request'!$G:$G, MATCH(1, ('Step 3 FOC Request'!$A:$A=W533) * ('Step 3 FOC Request'!$F:$F=E533), 0)), "-")</f>
        <v>-</v>
      </c>
      <c r="O533" s="126"/>
      <c r="P533" s="126"/>
      <c r="Q533" s="126"/>
      <c r="R533" s="126"/>
      <c r="U533" s="126"/>
      <c r="V533" s="126"/>
      <c r="W533" s="135">
        <f>MAXIFS('Step 3 FOC Request'!$A:$A, 'Step 3 FOC Request'!$F:$F, $E533)</f>
        <v>0</v>
      </c>
      <c r="X533" s="135">
        <f>MAXIFS('Step 4 FOC Return'!$A:$A, 'Step 4 FOC Return'!$E:$E, $E533)</f>
        <v>0</v>
      </c>
      <c r="Y533" s="126"/>
    </row>
    <row r="534">
      <c r="A534" s="126"/>
      <c r="B534" s="154"/>
      <c r="C534" s="146"/>
      <c r="D534" s="146"/>
      <c r="E534" s="146"/>
      <c r="F534" s="155"/>
      <c r="G534" s="146"/>
      <c r="H534" s="126"/>
      <c r="I534" s="132"/>
      <c r="J534" s="146"/>
      <c r="K534" s="126"/>
      <c r="L534" s="126"/>
      <c r="M534" s="134" t="str">
        <f t="shared" si="1"/>
        <v/>
      </c>
      <c r="N534" s="134" t="str">
        <f t="array" ref="N534">IF(M534="LOANED / ON KOL", INDEX('Step 3 FOC Request'!$G:$G, MATCH(1, ('Step 3 FOC Request'!$A:$A=W534) * ('Step 3 FOC Request'!$F:$F=E534), 0)), "-")</f>
        <v>-</v>
      </c>
      <c r="O534" s="126"/>
      <c r="P534" s="126"/>
      <c r="Q534" s="126"/>
      <c r="R534" s="126"/>
      <c r="U534" s="126"/>
      <c r="V534" s="126"/>
      <c r="W534" s="135">
        <f>MAXIFS('Step 3 FOC Request'!$A:$A, 'Step 3 FOC Request'!$F:$F, $E534)</f>
        <v>0</v>
      </c>
      <c r="X534" s="135">
        <f>MAXIFS('Step 4 FOC Return'!$A:$A, 'Step 4 FOC Return'!$E:$E, $E534)</f>
        <v>0</v>
      </c>
      <c r="Y534" s="126"/>
    </row>
    <row r="535">
      <c r="A535" s="126"/>
      <c r="B535" s="154"/>
      <c r="C535" s="146"/>
      <c r="D535" s="146"/>
      <c r="E535" s="146"/>
      <c r="F535" s="155"/>
      <c r="G535" s="146"/>
      <c r="H535" s="126"/>
      <c r="I535" s="132"/>
      <c r="J535" s="146"/>
      <c r="K535" s="126"/>
      <c r="L535" s="126"/>
      <c r="M535" s="134" t="str">
        <f t="shared" si="1"/>
        <v/>
      </c>
      <c r="N535" s="134" t="str">
        <f t="array" ref="N535">IF(M535="LOANED / ON KOL", INDEX('Step 3 FOC Request'!$G:$G, MATCH(1, ('Step 3 FOC Request'!$A:$A=W535) * ('Step 3 FOC Request'!$F:$F=E535), 0)), "-")</f>
        <v>-</v>
      </c>
      <c r="O535" s="126"/>
      <c r="P535" s="126"/>
      <c r="Q535" s="126"/>
      <c r="R535" s="126"/>
      <c r="U535" s="126"/>
      <c r="V535" s="126"/>
      <c r="W535" s="135">
        <f>MAXIFS('Step 3 FOC Request'!$A:$A, 'Step 3 FOC Request'!$F:$F, $E535)</f>
        <v>0</v>
      </c>
      <c r="X535" s="135">
        <f>MAXIFS('Step 4 FOC Return'!$A:$A, 'Step 4 FOC Return'!$E:$E, $E535)</f>
        <v>0</v>
      </c>
      <c r="Y535" s="126"/>
    </row>
    <row r="536">
      <c r="A536" s="126"/>
      <c r="B536" s="154"/>
      <c r="C536" s="146"/>
      <c r="D536" s="146"/>
      <c r="E536" s="146"/>
      <c r="F536" s="155"/>
      <c r="G536" s="146"/>
      <c r="H536" s="126"/>
      <c r="I536" s="132"/>
      <c r="J536" s="146"/>
      <c r="K536" s="126"/>
      <c r="L536" s="126"/>
      <c r="M536" s="134" t="str">
        <f t="shared" si="1"/>
        <v/>
      </c>
      <c r="N536" s="134" t="str">
        <f t="array" ref="N536">IF(M536="LOANED / ON KOL", INDEX('Step 3 FOC Request'!$G:$G, MATCH(1, ('Step 3 FOC Request'!$A:$A=W536) * ('Step 3 FOC Request'!$F:$F=E536), 0)), "-")</f>
        <v>-</v>
      </c>
      <c r="O536" s="126"/>
      <c r="P536" s="126"/>
      <c r="Q536" s="126"/>
      <c r="R536" s="126"/>
      <c r="U536" s="126"/>
      <c r="V536" s="126"/>
      <c r="W536" s="135">
        <f>MAXIFS('Step 3 FOC Request'!$A:$A, 'Step 3 FOC Request'!$F:$F, $E536)</f>
        <v>0</v>
      </c>
      <c r="X536" s="135">
        <f>MAXIFS('Step 4 FOC Return'!$A:$A, 'Step 4 FOC Return'!$E:$E, $E536)</f>
        <v>0</v>
      </c>
      <c r="Y536" s="126"/>
    </row>
    <row r="537">
      <c r="A537" s="126"/>
      <c r="B537" s="154"/>
      <c r="C537" s="146"/>
      <c r="D537" s="146"/>
      <c r="E537" s="146"/>
      <c r="F537" s="155"/>
      <c r="G537" s="146"/>
      <c r="H537" s="126"/>
      <c r="I537" s="132"/>
      <c r="J537" s="146"/>
      <c r="K537" s="126"/>
      <c r="L537" s="126"/>
      <c r="M537" s="134" t="str">
        <f t="shared" si="1"/>
        <v/>
      </c>
      <c r="N537" s="134" t="str">
        <f t="array" ref="N537">IF(M537="LOANED / ON KOL", INDEX('Step 3 FOC Request'!$G:$G, MATCH(1, ('Step 3 FOC Request'!$A:$A=W537) * ('Step 3 FOC Request'!$F:$F=E537), 0)), "-")</f>
        <v>-</v>
      </c>
      <c r="O537" s="126"/>
      <c r="P537" s="126"/>
      <c r="Q537" s="126"/>
      <c r="R537" s="126"/>
      <c r="U537" s="126"/>
      <c r="V537" s="126"/>
      <c r="W537" s="135">
        <f>MAXIFS('Step 3 FOC Request'!$A:$A, 'Step 3 FOC Request'!$F:$F, $E537)</f>
        <v>0</v>
      </c>
      <c r="X537" s="135">
        <f>MAXIFS('Step 4 FOC Return'!$A:$A, 'Step 4 FOC Return'!$E:$E, $E537)</f>
        <v>0</v>
      </c>
      <c r="Y537" s="126"/>
    </row>
    <row r="538">
      <c r="A538" s="126"/>
      <c r="B538" s="154"/>
      <c r="C538" s="146"/>
      <c r="D538" s="146"/>
      <c r="E538" s="146"/>
      <c r="F538" s="155"/>
      <c r="G538" s="146"/>
      <c r="H538" s="126"/>
      <c r="I538" s="132"/>
      <c r="J538" s="146"/>
      <c r="K538" s="126"/>
      <c r="L538" s="126"/>
      <c r="M538" s="134" t="str">
        <f t="shared" si="1"/>
        <v/>
      </c>
      <c r="N538" s="134" t="str">
        <f t="array" ref="N538">IF(M538="LOANED / ON KOL", INDEX('Step 3 FOC Request'!$G:$G, MATCH(1, ('Step 3 FOC Request'!$A:$A=W538) * ('Step 3 FOC Request'!$F:$F=E538), 0)), "-")</f>
        <v>-</v>
      </c>
      <c r="O538" s="126"/>
      <c r="P538" s="126"/>
      <c r="Q538" s="126"/>
      <c r="R538" s="126"/>
      <c r="U538" s="126"/>
      <c r="V538" s="126"/>
      <c r="W538" s="135">
        <f>MAXIFS('Step 3 FOC Request'!$A:$A, 'Step 3 FOC Request'!$F:$F, $E538)</f>
        <v>0</v>
      </c>
      <c r="X538" s="135">
        <f>MAXIFS('Step 4 FOC Return'!$A:$A, 'Step 4 FOC Return'!$E:$E, $E538)</f>
        <v>0</v>
      </c>
      <c r="Y538" s="126"/>
    </row>
    <row r="539">
      <c r="A539" s="126"/>
      <c r="B539" s="154"/>
      <c r="C539" s="146"/>
      <c r="D539" s="146"/>
      <c r="E539" s="146"/>
      <c r="F539" s="155"/>
      <c r="G539" s="146"/>
      <c r="H539" s="126"/>
      <c r="I539" s="132"/>
      <c r="J539" s="146"/>
      <c r="K539" s="126"/>
      <c r="L539" s="126"/>
      <c r="M539" s="134" t="str">
        <f t="shared" si="1"/>
        <v/>
      </c>
      <c r="N539" s="134" t="str">
        <f t="array" ref="N539">IF(M539="LOANED / ON KOL", INDEX('Step 3 FOC Request'!$G:$G, MATCH(1, ('Step 3 FOC Request'!$A:$A=W539) * ('Step 3 FOC Request'!$F:$F=E539), 0)), "-")</f>
        <v>-</v>
      </c>
      <c r="O539" s="126"/>
      <c r="P539" s="126"/>
      <c r="Q539" s="126"/>
      <c r="R539" s="126"/>
      <c r="U539" s="126"/>
      <c r="V539" s="126"/>
      <c r="W539" s="135">
        <f>MAXIFS('Step 3 FOC Request'!$A:$A, 'Step 3 FOC Request'!$F:$F, $E539)</f>
        <v>0</v>
      </c>
      <c r="X539" s="135">
        <f>MAXIFS('Step 4 FOC Return'!$A:$A, 'Step 4 FOC Return'!$E:$E, $E539)</f>
        <v>0</v>
      </c>
      <c r="Y539" s="126"/>
    </row>
    <row r="540">
      <c r="A540" s="126"/>
      <c r="B540" s="154"/>
      <c r="C540" s="146"/>
      <c r="D540" s="146"/>
      <c r="E540" s="146"/>
      <c r="F540" s="155"/>
      <c r="G540" s="146"/>
      <c r="H540" s="126"/>
      <c r="I540" s="132"/>
      <c r="J540" s="146"/>
      <c r="K540" s="126"/>
      <c r="L540" s="126"/>
      <c r="M540" s="134" t="str">
        <f t="shared" si="1"/>
        <v/>
      </c>
      <c r="N540" s="134" t="str">
        <f t="array" ref="N540">IF(M540="LOANED / ON KOL", INDEX('Step 3 FOC Request'!$G:$G, MATCH(1, ('Step 3 FOC Request'!$A:$A=W540) * ('Step 3 FOC Request'!$F:$F=E540), 0)), "-")</f>
        <v>-</v>
      </c>
      <c r="O540" s="126"/>
      <c r="P540" s="126"/>
      <c r="Q540" s="126"/>
      <c r="R540" s="126"/>
      <c r="U540" s="126"/>
      <c r="V540" s="126"/>
      <c r="W540" s="135">
        <f>MAXIFS('Step 3 FOC Request'!$A:$A, 'Step 3 FOC Request'!$F:$F, $E540)</f>
        <v>0</v>
      </c>
      <c r="X540" s="135">
        <f>MAXIFS('Step 4 FOC Return'!$A:$A, 'Step 4 FOC Return'!$E:$E, $E540)</f>
        <v>0</v>
      </c>
      <c r="Y540" s="126"/>
    </row>
    <row r="541">
      <c r="A541" s="126"/>
      <c r="B541" s="154"/>
      <c r="C541" s="146"/>
      <c r="D541" s="146"/>
      <c r="E541" s="146"/>
      <c r="F541" s="155"/>
      <c r="G541" s="146"/>
      <c r="H541" s="126"/>
      <c r="I541" s="132"/>
      <c r="J541" s="146"/>
      <c r="K541" s="126"/>
      <c r="L541" s="126"/>
      <c r="M541" s="134" t="str">
        <f t="shared" si="1"/>
        <v/>
      </c>
      <c r="N541" s="134" t="str">
        <f t="array" ref="N541">IF(M541="LOANED / ON KOL", INDEX('Step 3 FOC Request'!$G:$G, MATCH(1, ('Step 3 FOC Request'!$A:$A=W541) * ('Step 3 FOC Request'!$F:$F=E541), 0)), "-")</f>
        <v>-</v>
      </c>
      <c r="O541" s="126"/>
      <c r="P541" s="126"/>
      <c r="Q541" s="126"/>
      <c r="R541" s="126"/>
      <c r="U541" s="126"/>
      <c r="V541" s="126"/>
      <c r="W541" s="135">
        <f>MAXIFS('Step 3 FOC Request'!$A:$A, 'Step 3 FOC Request'!$F:$F, $E541)</f>
        <v>0</v>
      </c>
      <c r="X541" s="135">
        <f>MAXIFS('Step 4 FOC Return'!$A:$A, 'Step 4 FOC Return'!$E:$E, $E541)</f>
        <v>0</v>
      </c>
      <c r="Y541" s="126"/>
    </row>
    <row r="542">
      <c r="A542" s="126"/>
      <c r="B542" s="154"/>
      <c r="C542" s="146"/>
      <c r="D542" s="146"/>
      <c r="E542" s="146"/>
      <c r="F542" s="155"/>
      <c r="G542" s="146"/>
      <c r="H542" s="126"/>
      <c r="I542" s="132"/>
      <c r="J542" s="146"/>
      <c r="K542" s="126"/>
      <c r="L542" s="126"/>
      <c r="M542" s="134" t="str">
        <f t="shared" si="1"/>
        <v/>
      </c>
      <c r="N542" s="134" t="str">
        <f t="array" ref="N542">IF(M542="LOANED / ON KOL", INDEX('Step 3 FOC Request'!$G:$G, MATCH(1, ('Step 3 FOC Request'!$A:$A=W542) * ('Step 3 FOC Request'!$F:$F=E542), 0)), "-")</f>
        <v>-</v>
      </c>
      <c r="O542" s="126"/>
      <c r="P542" s="126"/>
      <c r="Q542" s="126"/>
      <c r="R542" s="126"/>
      <c r="U542" s="126"/>
      <c r="V542" s="126"/>
      <c r="W542" s="135">
        <f>MAXIFS('Step 3 FOC Request'!$A:$A, 'Step 3 FOC Request'!$F:$F, $E542)</f>
        <v>0</v>
      </c>
      <c r="X542" s="135">
        <f>MAXIFS('Step 4 FOC Return'!$A:$A, 'Step 4 FOC Return'!$E:$E, $E542)</f>
        <v>0</v>
      </c>
      <c r="Y542" s="126"/>
    </row>
    <row r="543">
      <c r="A543" s="126"/>
      <c r="B543" s="154"/>
      <c r="C543" s="146"/>
      <c r="D543" s="146"/>
      <c r="E543" s="146"/>
      <c r="F543" s="155"/>
      <c r="G543" s="146"/>
      <c r="H543" s="126"/>
      <c r="I543" s="132"/>
      <c r="J543" s="146"/>
      <c r="K543" s="126"/>
      <c r="L543" s="126"/>
      <c r="M543" s="134" t="str">
        <f t="shared" si="1"/>
        <v/>
      </c>
      <c r="N543" s="134" t="str">
        <f t="array" ref="N543">IF(M543="LOANED / ON KOL", INDEX('Step 3 FOC Request'!$G:$G, MATCH(1, ('Step 3 FOC Request'!$A:$A=W543) * ('Step 3 FOC Request'!$F:$F=E543), 0)), "-")</f>
        <v>-</v>
      </c>
      <c r="O543" s="126"/>
      <c r="P543" s="126"/>
      <c r="Q543" s="126"/>
      <c r="R543" s="126"/>
      <c r="U543" s="126"/>
      <c r="V543" s="126"/>
      <c r="W543" s="135">
        <f>MAXIFS('Step 3 FOC Request'!$A:$A, 'Step 3 FOC Request'!$F:$F, $E543)</f>
        <v>0</v>
      </c>
      <c r="X543" s="135">
        <f>MAXIFS('Step 4 FOC Return'!$A:$A, 'Step 4 FOC Return'!$E:$E, $E543)</f>
        <v>0</v>
      </c>
      <c r="Y543" s="126"/>
    </row>
    <row r="544">
      <c r="A544" s="126"/>
      <c r="B544" s="154"/>
      <c r="C544" s="146"/>
      <c r="D544" s="146"/>
      <c r="E544" s="146"/>
      <c r="F544" s="155"/>
      <c r="G544" s="146"/>
      <c r="H544" s="126"/>
      <c r="I544" s="132"/>
      <c r="J544" s="146"/>
      <c r="K544" s="126"/>
      <c r="L544" s="126"/>
      <c r="M544" s="134" t="str">
        <f t="shared" si="1"/>
        <v/>
      </c>
      <c r="N544" s="134" t="str">
        <f t="array" ref="N544">IF(M544="LOANED / ON KOL", INDEX('Step 3 FOC Request'!$G:$G, MATCH(1, ('Step 3 FOC Request'!$A:$A=W544) * ('Step 3 FOC Request'!$F:$F=E544), 0)), "-")</f>
        <v>-</v>
      </c>
      <c r="O544" s="126"/>
      <c r="P544" s="126"/>
      <c r="Q544" s="126"/>
      <c r="R544" s="126"/>
      <c r="U544" s="126"/>
      <c r="V544" s="126"/>
      <c r="W544" s="135">
        <f>MAXIFS('Step 3 FOC Request'!$A:$A, 'Step 3 FOC Request'!$F:$F, $E544)</f>
        <v>0</v>
      </c>
      <c r="X544" s="135">
        <f>MAXIFS('Step 4 FOC Return'!$A:$A, 'Step 4 FOC Return'!$E:$E, $E544)</f>
        <v>0</v>
      </c>
      <c r="Y544" s="126"/>
    </row>
    <row r="545">
      <c r="A545" s="126"/>
      <c r="B545" s="154"/>
      <c r="C545" s="146"/>
      <c r="D545" s="146"/>
      <c r="E545" s="146"/>
      <c r="F545" s="155"/>
      <c r="G545" s="146"/>
      <c r="H545" s="126"/>
      <c r="I545" s="132"/>
      <c r="J545" s="146"/>
      <c r="K545" s="126"/>
      <c r="L545" s="126"/>
      <c r="M545" s="134" t="str">
        <f t="shared" si="1"/>
        <v/>
      </c>
      <c r="N545" s="134" t="str">
        <f t="array" ref="N545">IF(M545="LOANED / ON KOL", INDEX('Step 3 FOC Request'!$G:$G, MATCH(1, ('Step 3 FOC Request'!$A:$A=W545) * ('Step 3 FOC Request'!$F:$F=E545), 0)), "-")</f>
        <v>-</v>
      </c>
      <c r="O545" s="126"/>
      <c r="P545" s="126"/>
      <c r="Q545" s="126"/>
      <c r="R545" s="126"/>
      <c r="U545" s="126"/>
      <c r="V545" s="126"/>
      <c r="W545" s="135">
        <f>MAXIFS('Step 3 FOC Request'!$A:$A, 'Step 3 FOC Request'!$F:$F, $E545)</f>
        <v>0</v>
      </c>
      <c r="X545" s="135">
        <f>MAXIFS('Step 4 FOC Return'!$A:$A, 'Step 4 FOC Return'!$E:$E, $E545)</f>
        <v>0</v>
      </c>
      <c r="Y545" s="126"/>
    </row>
    <row r="546">
      <c r="A546" s="126"/>
      <c r="B546" s="154"/>
      <c r="C546" s="146"/>
      <c r="D546" s="146"/>
      <c r="E546" s="146"/>
      <c r="F546" s="155"/>
      <c r="G546" s="146"/>
      <c r="H546" s="126"/>
      <c r="I546" s="132"/>
      <c r="J546" s="146"/>
      <c r="K546" s="126"/>
      <c r="L546" s="126"/>
      <c r="M546" s="134" t="str">
        <f t="shared" si="1"/>
        <v/>
      </c>
      <c r="N546" s="134" t="str">
        <f t="array" ref="N546">IF(M546="LOANED / ON KOL", INDEX('Step 3 FOC Request'!$G:$G, MATCH(1, ('Step 3 FOC Request'!$A:$A=W546) * ('Step 3 FOC Request'!$F:$F=E546), 0)), "-")</f>
        <v>-</v>
      </c>
      <c r="O546" s="126"/>
      <c r="P546" s="126"/>
      <c r="Q546" s="126"/>
      <c r="R546" s="126"/>
      <c r="U546" s="126"/>
      <c r="V546" s="126"/>
      <c r="W546" s="135">
        <f>MAXIFS('Step 3 FOC Request'!$A:$A, 'Step 3 FOC Request'!$F:$F, $E546)</f>
        <v>0</v>
      </c>
      <c r="X546" s="135">
        <f>MAXIFS('Step 4 FOC Return'!$A:$A, 'Step 4 FOC Return'!$E:$E, $E546)</f>
        <v>0</v>
      </c>
      <c r="Y546" s="126"/>
    </row>
    <row r="547">
      <c r="A547" s="126"/>
      <c r="B547" s="154"/>
      <c r="C547" s="146"/>
      <c r="D547" s="146"/>
      <c r="E547" s="146"/>
      <c r="F547" s="155"/>
      <c r="G547" s="146"/>
      <c r="H547" s="126"/>
      <c r="I547" s="132"/>
      <c r="J547" s="146"/>
      <c r="K547" s="126"/>
      <c r="L547" s="126"/>
      <c r="M547" s="134" t="str">
        <f t="shared" si="1"/>
        <v/>
      </c>
      <c r="N547" s="134" t="str">
        <f t="array" ref="N547">IF(M547="LOANED / ON KOL", INDEX('Step 3 FOC Request'!$G:$G, MATCH(1, ('Step 3 FOC Request'!$A:$A=W547) * ('Step 3 FOC Request'!$F:$F=E547), 0)), "-")</f>
        <v>-</v>
      </c>
      <c r="O547" s="126"/>
      <c r="P547" s="126"/>
      <c r="Q547" s="126"/>
      <c r="R547" s="126"/>
      <c r="U547" s="126"/>
      <c r="V547" s="126"/>
      <c r="W547" s="135">
        <f>MAXIFS('Step 3 FOC Request'!$A:$A, 'Step 3 FOC Request'!$F:$F, $E547)</f>
        <v>0</v>
      </c>
      <c r="X547" s="135">
        <f>MAXIFS('Step 4 FOC Return'!$A:$A, 'Step 4 FOC Return'!$E:$E, $E547)</f>
        <v>0</v>
      </c>
      <c r="Y547" s="126"/>
    </row>
    <row r="548">
      <c r="A548" s="126"/>
      <c r="B548" s="154"/>
      <c r="C548" s="146"/>
      <c r="D548" s="146"/>
      <c r="E548" s="146"/>
      <c r="F548" s="155"/>
      <c r="G548" s="146"/>
      <c r="H548" s="126"/>
      <c r="I548" s="132"/>
      <c r="J548" s="146"/>
      <c r="K548" s="126"/>
      <c r="L548" s="126"/>
      <c r="M548" s="134" t="str">
        <f t="shared" si="1"/>
        <v/>
      </c>
      <c r="N548" s="134" t="str">
        <f t="array" ref="N548">IF(M548="LOANED / ON KOL", INDEX('Step 3 FOC Request'!$G:$G, MATCH(1, ('Step 3 FOC Request'!$A:$A=W548) * ('Step 3 FOC Request'!$F:$F=E548), 0)), "-")</f>
        <v>-</v>
      </c>
      <c r="O548" s="126"/>
      <c r="P548" s="126"/>
      <c r="Q548" s="126"/>
      <c r="R548" s="126"/>
      <c r="U548" s="126"/>
      <c r="V548" s="126"/>
      <c r="W548" s="135">
        <f>MAXIFS('Step 3 FOC Request'!$A:$A, 'Step 3 FOC Request'!$F:$F, $E548)</f>
        <v>0</v>
      </c>
      <c r="X548" s="135">
        <f>MAXIFS('Step 4 FOC Return'!$A:$A, 'Step 4 FOC Return'!$E:$E, $E548)</f>
        <v>0</v>
      </c>
      <c r="Y548" s="126"/>
    </row>
    <row r="549">
      <c r="A549" s="126"/>
      <c r="B549" s="154"/>
      <c r="C549" s="146"/>
      <c r="D549" s="146"/>
      <c r="E549" s="146"/>
      <c r="F549" s="155"/>
      <c r="G549" s="146"/>
      <c r="H549" s="126"/>
      <c r="I549" s="132"/>
      <c r="J549" s="146"/>
      <c r="K549" s="126"/>
      <c r="L549" s="126"/>
      <c r="M549" s="134" t="str">
        <f t="shared" si="1"/>
        <v/>
      </c>
      <c r="N549" s="134" t="str">
        <f t="array" ref="N549">IF(M549="LOANED / ON KOL", INDEX('Step 3 FOC Request'!$G:$G, MATCH(1, ('Step 3 FOC Request'!$A:$A=W549) * ('Step 3 FOC Request'!$F:$F=E549), 0)), "-")</f>
        <v>-</v>
      </c>
      <c r="O549" s="126"/>
      <c r="P549" s="126"/>
      <c r="Q549" s="126"/>
      <c r="R549" s="126"/>
      <c r="U549" s="126"/>
      <c r="V549" s="126"/>
      <c r="W549" s="135">
        <f>MAXIFS('Step 3 FOC Request'!$A:$A, 'Step 3 FOC Request'!$F:$F, $E549)</f>
        <v>0</v>
      </c>
      <c r="X549" s="135">
        <f>MAXIFS('Step 4 FOC Return'!$A:$A, 'Step 4 FOC Return'!$E:$E, $E549)</f>
        <v>0</v>
      </c>
      <c r="Y549" s="126"/>
    </row>
    <row r="550">
      <c r="A550" s="126"/>
      <c r="B550" s="154"/>
      <c r="C550" s="146"/>
      <c r="D550" s="146"/>
      <c r="E550" s="146"/>
      <c r="F550" s="155"/>
      <c r="G550" s="146"/>
      <c r="H550" s="126"/>
      <c r="I550" s="132"/>
      <c r="J550" s="146"/>
      <c r="K550" s="126"/>
      <c r="L550" s="126"/>
      <c r="M550" s="134" t="str">
        <f t="shared" si="1"/>
        <v/>
      </c>
      <c r="N550" s="134" t="str">
        <f t="array" ref="N550">IF(M550="LOANED / ON KOL", INDEX('Step 3 FOC Request'!$G:$G, MATCH(1, ('Step 3 FOC Request'!$A:$A=W550) * ('Step 3 FOC Request'!$F:$F=E550), 0)), "-")</f>
        <v>-</v>
      </c>
      <c r="O550" s="126"/>
      <c r="P550" s="126"/>
      <c r="Q550" s="126"/>
      <c r="R550" s="126"/>
      <c r="U550" s="126"/>
      <c r="V550" s="126"/>
      <c r="W550" s="135">
        <f>MAXIFS('Step 3 FOC Request'!$A:$A, 'Step 3 FOC Request'!$F:$F, $E550)</f>
        <v>0</v>
      </c>
      <c r="X550" s="135">
        <f>MAXIFS('Step 4 FOC Return'!$A:$A, 'Step 4 FOC Return'!$E:$E, $E550)</f>
        <v>0</v>
      </c>
      <c r="Y550" s="126"/>
    </row>
    <row r="551">
      <c r="A551" s="126"/>
      <c r="B551" s="154"/>
      <c r="C551" s="146"/>
      <c r="D551" s="146"/>
      <c r="E551" s="146"/>
      <c r="F551" s="155"/>
      <c r="G551" s="146"/>
      <c r="H551" s="126"/>
      <c r="I551" s="132"/>
      <c r="J551" s="146"/>
      <c r="K551" s="126"/>
      <c r="L551" s="126"/>
      <c r="M551" s="134" t="str">
        <f t="shared" si="1"/>
        <v/>
      </c>
      <c r="N551" s="134" t="str">
        <f t="array" ref="N551">IF(M551="LOANED / ON KOL", INDEX('Step 3 FOC Request'!$G:$G, MATCH(1, ('Step 3 FOC Request'!$A:$A=W551) * ('Step 3 FOC Request'!$F:$F=E551), 0)), "-")</f>
        <v>-</v>
      </c>
      <c r="O551" s="126"/>
      <c r="P551" s="126"/>
      <c r="Q551" s="126"/>
      <c r="R551" s="126"/>
      <c r="U551" s="126"/>
      <c r="V551" s="126"/>
      <c r="W551" s="135">
        <f>MAXIFS('Step 3 FOC Request'!$A:$A, 'Step 3 FOC Request'!$F:$F, $E551)</f>
        <v>0</v>
      </c>
      <c r="X551" s="135">
        <f>MAXIFS('Step 4 FOC Return'!$A:$A, 'Step 4 FOC Return'!$E:$E, $E551)</f>
        <v>0</v>
      </c>
      <c r="Y551" s="126"/>
    </row>
    <row r="552">
      <c r="A552" s="126"/>
      <c r="B552" s="154"/>
      <c r="C552" s="146"/>
      <c r="D552" s="146"/>
      <c r="E552" s="146"/>
      <c r="F552" s="155"/>
      <c r="G552" s="146"/>
      <c r="H552" s="126"/>
      <c r="I552" s="132"/>
      <c r="J552" s="146"/>
      <c r="K552" s="126"/>
      <c r="L552" s="126"/>
      <c r="M552" s="134" t="str">
        <f t="shared" si="1"/>
        <v/>
      </c>
      <c r="N552" s="134" t="str">
        <f t="array" ref="N552">IF(M552="LOANED / ON KOL", INDEX('Step 3 FOC Request'!$G:$G, MATCH(1, ('Step 3 FOC Request'!$A:$A=W552) * ('Step 3 FOC Request'!$F:$F=E552), 0)), "-")</f>
        <v>-</v>
      </c>
      <c r="O552" s="126"/>
      <c r="P552" s="126"/>
      <c r="Q552" s="126"/>
      <c r="R552" s="126"/>
      <c r="U552" s="126"/>
      <c r="V552" s="126"/>
      <c r="W552" s="135">
        <f>MAXIFS('Step 3 FOC Request'!$A:$A, 'Step 3 FOC Request'!$F:$F, $E552)</f>
        <v>0</v>
      </c>
      <c r="X552" s="135">
        <f>MAXIFS('Step 4 FOC Return'!$A:$A, 'Step 4 FOC Return'!$E:$E, $E552)</f>
        <v>0</v>
      </c>
      <c r="Y552" s="126"/>
    </row>
    <row r="553">
      <c r="A553" s="126"/>
      <c r="B553" s="154"/>
      <c r="C553" s="146"/>
      <c r="D553" s="146"/>
      <c r="E553" s="146"/>
      <c r="F553" s="155"/>
      <c r="G553" s="146"/>
      <c r="H553" s="126"/>
      <c r="I553" s="132"/>
      <c r="J553" s="146"/>
      <c r="K553" s="126"/>
      <c r="L553" s="126"/>
      <c r="M553" s="134" t="str">
        <f t="shared" si="1"/>
        <v/>
      </c>
      <c r="N553" s="134" t="str">
        <f t="array" ref="N553">IF(M553="LOANED / ON KOL", INDEX('Step 3 FOC Request'!$G:$G, MATCH(1, ('Step 3 FOC Request'!$A:$A=W553) * ('Step 3 FOC Request'!$F:$F=E553), 0)), "-")</f>
        <v>-</v>
      </c>
      <c r="O553" s="126"/>
      <c r="P553" s="126"/>
      <c r="Q553" s="126"/>
      <c r="R553" s="126"/>
      <c r="U553" s="126"/>
      <c r="V553" s="126"/>
      <c r="W553" s="135">
        <f>MAXIFS('Step 3 FOC Request'!$A:$A, 'Step 3 FOC Request'!$F:$F, $E553)</f>
        <v>0</v>
      </c>
      <c r="X553" s="135">
        <f>MAXIFS('Step 4 FOC Return'!$A:$A, 'Step 4 FOC Return'!$E:$E, $E553)</f>
        <v>0</v>
      </c>
      <c r="Y553" s="126"/>
    </row>
    <row r="554">
      <c r="A554" s="126"/>
      <c r="B554" s="154"/>
      <c r="C554" s="146"/>
      <c r="D554" s="146"/>
      <c r="E554" s="146"/>
      <c r="F554" s="155"/>
      <c r="G554" s="146"/>
      <c r="H554" s="126"/>
      <c r="I554" s="132"/>
      <c r="J554" s="146"/>
      <c r="K554" s="126"/>
      <c r="L554" s="126"/>
      <c r="M554" s="134" t="str">
        <f t="shared" si="1"/>
        <v/>
      </c>
      <c r="N554" s="134" t="str">
        <f t="array" ref="N554">IF(M554="LOANED / ON KOL", INDEX('Step 3 FOC Request'!$G:$G, MATCH(1, ('Step 3 FOC Request'!$A:$A=W554) * ('Step 3 FOC Request'!$F:$F=E554), 0)), "-")</f>
        <v>-</v>
      </c>
      <c r="O554" s="126"/>
      <c r="P554" s="126"/>
      <c r="Q554" s="126"/>
      <c r="R554" s="126"/>
      <c r="U554" s="126"/>
      <c r="V554" s="126"/>
      <c r="W554" s="135">
        <f>MAXIFS('Step 3 FOC Request'!$A:$A, 'Step 3 FOC Request'!$F:$F, $E554)</f>
        <v>0</v>
      </c>
      <c r="X554" s="135">
        <f>MAXIFS('Step 4 FOC Return'!$A:$A, 'Step 4 FOC Return'!$E:$E, $E554)</f>
        <v>0</v>
      </c>
      <c r="Y554" s="126"/>
    </row>
    <row r="555">
      <c r="A555" s="126"/>
      <c r="B555" s="154"/>
      <c r="C555" s="146"/>
      <c r="D555" s="146"/>
      <c r="E555" s="146"/>
      <c r="F555" s="155"/>
      <c r="G555" s="146"/>
      <c r="H555" s="126"/>
      <c r="I555" s="132"/>
      <c r="J555" s="146"/>
      <c r="K555" s="126"/>
      <c r="L555" s="126"/>
      <c r="M555" s="134" t="str">
        <f t="shared" si="1"/>
        <v/>
      </c>
      <c r="N555" s="134" t="str">
        <f t="array" ref="N555">IF(M555="LOANED / ON KOL", INDEX('Step 3 FOC Request'!$G:$G, MATCH(1, ('Step 3 FOC Request'!$A:$A=W555) * ('Step 3 FOC Request'!$F:$F=E555), 0)), "-")</f>
        <v>-</v>
      </c>
      <c r="O555" s="126"/>
      <c r="P555" s="126"/>
      <c r="Q555" s="126"/>
      <c r="R555" s="126"/>
      <c r="U555" s="126"/>
      <c r="V555" s="126"/>
      <c r="W555" s="135">
        <f>MAXIFS('Step 3 FOC Request'!$A:$A, 'Step 3 FOC Request'!$F:$F, $E555)</f>
        <v>0</v>
      </c>
      <c r="X555" s="135">
        <f>MAXIFS('Step 4 FOC Return'!$A:$A, 'Step 4 FOC Return'!$E:$E, $E555)</f>
        <v>0</v>
      </c>
      <c r="Y555" s="126"/>
    </row>
    <row r="556">
      <c r="A556" s="126"/>
      <c r="B556" s="154"/>
      <c r="C556" s="146"/>
      <c r="D556" s="146"/>
      <c r="E556" s="146"/>
      <c r="F556" s="155"/>
      <c r="G556" s="146"/>
      <c r="H556" s="126"/>
      <c r="I556" s="132"/>
      <c r="J556" s="146"/>
      <c r="K556" s="126"/>
      <c r="L556" s="126"/>
      <c r="M556" s="134" t="str">
        <f t="shared" si="1"/>
        <v/>
      </c>
      <c r="N556" s="134" t="str">
        <f t="array" ref="N556">IF(M556="LOANED / ON KOL", INDEX('Step 3 FOC Request'!$G:$G, MATCH(1, ('Step 3 FOC Request'!$A:$A=W556) * ('Step 3 FOC Request'!$F:$F=E556), 0)), "-")</f>
        <v>-</v>
      </c>
      <c r="O556" s="126"/>
      <c r="P556" s="126"/>
      <c r="Q556" s="126"/>
      <c r="R556" s="126"/>
      <c r="U556" s="126"/>
      <c r="V556" s="126"/>
      <c r="W556" s="135">
        <f>MAXIFS('Step 3 FOC Request'!$A:$A, 'Step 3 FOC Request'!$F:$F, $E556)</f>
        <v>0</v>
      </c>
      <c r="X556" s="135">
        <f>MAXIFS('Step 4 FOC Return'!$A:$A, 'Step 4 FOC Return'!$E:$E, $E556)</f>
        <v>0</v>
      </c>
      <c r="Y556" s="126"/>
    </row>
    <row r="557">
      <c r="A557" s="126"/>
      <c r="B557" s="154"/>
      <c r="C557" s="146"/>
      <c r="D557" s="146"/>
      <c r="E557" s="146"/>
      <c r="F557" s="155"/>
      <c r="G557" s="146"/>
      <c r="H557" s="126"/>
      <c r="I557" s="132"/>
      <c r="J557" s="146"/>
      <c r="K557" s="126"/>
      <c r="L557" s="126"/>
      <c r="M557" s="134" t="str">
        <f t="shared" si="1"/>
        <v/>
      </c>
      <c r="N557" s="134" t="str">
        <f t="array" ref="N557">IF(M557="LOANED / ON KOL", INDEX('Step 3 FOC Request'!$G:$G, MATCH(1, ('Step 3 FOC Request'!$A:$A=W557) * ('Step 3 FOC Request'!$F:$F=E557), 0)), "-")</f>
        <v>-</v>
      </c>
      <c r="O557" s="126"/>
      <c r="P557" s="126"/>
      <c r="Q557" s="126"/>
      <c r="R557" s="126"/>
      <c r="U557" s="126"/>
      <c r="V557" s="126"/>
      <c r="W557" s="135">
        <f>MAXIFS('Step 3 FOC Request'!$A:$A, 'Step 3 FOC Request'!$F:$F, $E557)</f>
        <v>0</v>
      </c>
      <c r="X557" s="135">
        <f>MAXIFS('Step 4 FOC Return'!$A:$A, 'Step 4 FOC Return'!$E:$E, $E557)</f>
        <v>0</v>
      </c>
      <c r="Y557" s="126"/>
    </row>
    <row r="558">
      <c r="A558" s="126"/>
      <c r="B558" s="154"/>
      <c r="C558" s="146"/>
      <c r="D558" s="146"/>
      <c r="E558" s="146"/>
      <c r="F558" s="155"/>
      <c r="G558" s="146"/>
      <c r="H558" s="126"/>
      <c r="I558" s="132"/>
      <c r="J558" s="146"/>
      <c r="K558" s="126"/>
      <c r="L558" s="126"/>
      <c r="M558" s="134" t="str">
        <f t="shared" si="1"/>
        <v/>
      </c>
      <c r="N558" s="134" t="str">
        <f t="array" ref="N558">IF(M558="LOANED / ON KOL", INDEX('Step 3 FOC Request'!$G:$G, MATCH(1, ('Step 3 FOC Request'!$A:$A=W558) * ('Step 3 FOC Request'!$F:$F=E558), 0)), "-")</f>
        <v>-</v>
      </c>
      <c r="O558" s="126"/>
      <c r="P558" s="126"/>
      <c r="Q558" s="126"/>
      <c r="R558" s="126"/>
      <c r="U558" s="126"/>
      <c r="V558" s="126"/>
      <c r="W558" s="135">
        <f>MAXIFS('Step 3 FOC Request'!$A:$A, 'Step 3 FOC Request'!$F:$F, $E558)</f>
        <v>0</v>
      </c>
      <c r="X558" s="135">
        <f>MAXIFS('Step 4 FOC Return'!$A:$A, 'Step 4 FOC Return'!$E:$E, $E558)</f>
        <v>0</v>
      </c>
      <c r="Y558" s="126"/>
    </row>
    <row r="559">
      <c r="A559" s="126"/>
      <c r="B559" s="154"/>
      <c r="C559" s="146"/>
      <c r="D559" s="146"/>
      <c r="E559" s="146"/>
      <c r="F559" s="155"/>
      <c r="G559" s="146"/>
      <c r="H559" s="126"/>
      <c r="I559" s="132"/>
      <c r="J559" s="146"/>
      <c r="K559" s="126"/>
      <c r="L559" s="126"/>
      <c r="M559" s="134" t="str">
        <f t="shared" si="1"/>
        <v/>
      </c>
      <c r="N559" s="134" t="str">
        <f t="array" ref="N559">IF(M559="LOANED / ON KOL", INDEX('Step 3 FOC Request'!$G:$G, MATCH(1, ('Step 3 FOC Request'!$A:$A=W559) * ('Step 3 FOC Request'!$F:$F=E559), 0)), "-")</f>
        <v>-</v>
      </c>
      <c r="O559" s="126"/>
      <c r="P559" s="126"/>
      <c r="Q559" s="126"/>
      <c r="R559" s="126"/>
      <c r="U559" s="126"/>
      <c r="V559" s="126"/>
      <c r="W559" s="135">
        <f>MAXIFS('Step 3 FOC Request'!$A:$A, 'Step 3 FOC Request'!$F:$F, $E559)</f>
        <v>0</v>
      </c>
      <c r="X559" s="135">
        <f>MAXIFS('Step 4 FOC Return'!$A:$A, 'Step 4 FOC Return'!$E:$E, $E559)</f>
        <v>0</v>
      </c>
      <c r="Y559" s="126"/>
    </row>
    <row r="560">
      <c r="A560" s="126"/>
      <c r="B560" s="154"/>
      <c r="C560" s="146"/>
      <c r="D560" s="146"/>
      <c r="E560" s="146"/>
      <c r="F560" s="155"/>
      <c r="G560" s="146"/>
      <c r="H560" s="126"/>
      <c r="I560" s="132"/>
      <c r="J560" s="146"/>
      <c r="K560" s="126"/>
      <c r="L560" s="126"/>
      <c r="M560" s="134" t="str">
        <f t="shared" si="1"/>
        <v/>
      </c>
      <c r="N560" s="134" t="str">
        <f t="array" ref="N560">IF(M560="LOANED / ON KOL", INDEX('Step 3 FOC Request'!$G:$G, MATCH(1, ('Step 3 FOC Request'!$A:$A=W560) * ('Step 3 FOC Request'!$F:$F=E560), 0)), "-")</f>
        <v>-</v>
      </c>
      <c r="O560" s="126"/>
      <c r="P560" s="126"/>
      <c r="Q560" s="126"/>
      <c r="R560" s="126"/>
      <c r="U560" s="126"/>
      <c r="V560" s="126"/>
      <c r="W560" s="135">
        <f>MAXIFS('Step 3 FOC Request'!$A:$A, 'Step 3 FOC Request'!$F:$F, $E560)</f>
        <v>0</v>
      </c>
      <c r="X560" s="135">
        <f>MAXIFS('Step 4 FOC Return'!$A:$A, 'Step 4 FOC Return'!$E:$E, $E560)</f>
        <v>0</v>
      </c>
      <c r="Y560" s="126"/>
    </row>
    <row r="561">
      <c r="A561" s="126"/>
      <c r="B561" s="154"/>
      <c r="C561" s="146"/>
      <c r="D561" s="146"/>
      <c r="E561" s="146"/>
      <c r="F561" s="155"/>
      <c r="G561" s="146"/>
      <c r="H561" s="126"/>
      <c r="I561" s="132"/>
      <c r="J561" s="146"/>
      <c r="K561" s="126"/>
      <c r="L561" s="126"/>
      <c r="M561" s="134" t="str">
        <f t="shared" si="1"/>
        <v/>
      </c>
      <c r="N561" s="134" t="str">
        <f t="array" ref="N561">IF(M561="LOANED / ON KOL", INDEX('Step 3 FOC Request'!$G:$G, MATCH(1, ('Step 3 FOC Request'!$A:$A=W561) * ('Step 3 FOC Request'!$F:$F=E561), 0)), "-")</f>
        <v>-</v>
      </c>
      <c r="O561" s="126"/>
      <c r="P561" s="126"/>
      <c r="Q561" s="126"/>
      <c r="R561" s="126"/>
      <c r="U561" s="126"/>
      <c r="V561" s="126"/>
      <c r="W561" s="135">
        <f>MAXIFS('Step 3 FOC Request'!$A:$A, 'Step 3 FOC Request'!$F:$F, $E561)</f>
        <v>0</v>
      </c>
      <c r="X561" s="135">
        <f>MAXIFS('Step 4 FOC Return'!$A:$A, 'Step 4 FOC Return'!$E:$E, $E561)</f>
        <v>0</v>
      </c>
      <c r="Y561" s="126"/>
    </row>
    <row r="562">
      <c r="A562" s="126"/>
      <c r="B562" s="154"/>
      <c r="C562" s="146"/>
      <c r="D562" s="146"/>
      <c r="E562" s="146"/>
      <c r="F562" s="155"/>
      <c r="G562" s="146"/>
      <c r="H562" s="126"/>
      <c r="I562" s="132"/>
      <c r="J562" s="146"/>
      <c r="K562" s="126"/>
      <c r="L562" s="126"/>
      <c r="M562" s="134" t="str">
        <f t="shared" si="1"/>
        <v/>
      </c>
      <c r="N562" s="134" t="str">
        <f t="array" ref="N562">IF(M562="LOANED / ON KOL", INDEX('Step 3 FOC Request'!$G:$G, MATCH(1, ('Step 3 FOC Request'!$A:$A=W562) * ('Step 3 FOC Request'!$F:$F=E562), 0)), "-")</f>
        <v>-</v>
      </c>
      <c r="O562" s="126"/>
      <c r="P562" s="126"/>
      <c r="Q562" s="126"/>
      <c r="R562" s="126"/>
      <c r="U562" s="126"/>
      <c r="V562" s="126"/>
      <c r="W562" s="135">
        <f>MAXIFS('Step 3 FOC Request'!$A:$A, 'Step 3 FOC Request'!$F:$F, $E562)</f>
        <v>0</v>
      </c>
      <c r="X562" s="135">
        <f>MAXIFS('Step 4 FOC Return'!$A:$A, 'Step 4 FOC Return'!$E:$E, $E562)</f>
        <v>0</v>
      </c>
      <c r="Y562" s="126"/>
    </row>
    <row r="563">
      <c r="A563" s="126"/>
      <c r="B563" s="154"/>
      <c r="C563" s="146"/>
      <c r="D563" s="146"/>
      <c r="E563" s="146"/>
      <c r="F563" s="155"/>
      <c r="G563" s="146"/>
      <c r="H563" s="126"/>
      <c r="I563" s="132"/>
      <c r="J563" s="146"/>
      <c r="K563" s="126"/>
      <c r="L563" s="126"/>
      <c r="M563" s="134" t="str">
        <f t="shared" si="1"/>
        <v/>
      </c>
      <c r="N563" s="134" t="str">
        <f t="array" ref="N563">IF(M563="LOANED / ON KOL", INDEX('Step 3 FOC Request'!$G:$G, MATCH(1, ('Step 3 FOC Request'!$A:$A=W563) * ('Step 3 FOC Request'!$F:$F=E563), 0)), "-")</f>
        <v>-</v>
      </c>
      <c r="O563" s="126"/>
      <c r="P563" s="126"/>
      <c r="Q563" s="126"/>
      <c r="R563" s="126"/>
      <c r="U563" s="126"/>
      <c r="V563" s="126"/>
      <c r="W563" s="135">
        <f>MAXIFS('Step 3 FOC Request'!$A:$A, 'Step 3 FOC Request'!$F:$F, $E563)</f>
        <v>0</v>
      </c>
      <c r="X563" s="135">
        <f>MAXIFS('Step 4 FOC Return'!$A:$A, 'Step 4 FOC Return'!$E:$E, $E563)</f>
        <v>0</v>
      </c>
      <c r="Y563" s="126"/>
    </row>
    <row r="564">
      <c r="A564" s="126"/>
      <c r="B564" s="154"/>
      <c r="C564" s="146"/>
      <c r="D564" s="146"/>
      <c r="E564" s="146"/>
      <c r="F564" s="155"/>
      <c r="G564" s="146"/>
      <c r="H564" s="126"/>
      <c r="I564" s="132"/>
      <c r="J564" s="146"/>
      <c r="K564" s="126"/>
      <c r="L564" s="126"/>
      <c r="M564" s="134" t="str">
        <f t="shared" si="1"/>
        <v/>
      </c>
      <c r="N564" s="134" t="str">
        <f t="array" ref="N564">IF(M564="LOANED / ON KOL", INDEX('Step 3 FOC Request'!$G:$G, MATCH(1, ('Step 3 FOC Request'!$A:$A=W564) * ('Step 3 FOC Request'!$F:$F=E564), 0)), "-")</f>
        <v>-</v>
      </c>
      <c r="O564" s="126"/>
      <c r="P564" s="126"/>
      <c r="Q564" s="126"/>
      <c r="R564" s="126"/>
      <c r="U564" s="126"/>
      <c r="V564" s="126"/>
      <c r="W564" s="135">
        <f>MAXIFS('Step 3 FOC Request'!$A:$A, 'Step 3 FOC Request'!$F:$F, $E564)</f>
        <v>0</v>
      </c>
      <c r="X564" s="135">
        <f>MAXIFS('Step 4 FOC Return'!$A:$A, 'Step 4 FOC Return'!$E:$E, $E564)</f>
        <v>0</v>
      </c>
      <c r="Y564" s="126"/>
    </row>
    <row r="565">
      <c r="A565" s="126"/>
      <c r="B565" s="154"/>
      <c r="C565" s="146"/>
      <c r="D565" s="146"/>
      <c r="E565" s="146"/>
      <c r="F565" s="155"/>
      <c r="G565" s="146"/>
      <c r="H565" s="126"/>
      <c r="I565" s="132"/>
      <c r="J565" s="146"/>
      <c r="K565" s="126"/>
      <c r="L565" s="126"/>
      <c r="M565" s="134" t="str">
        <f t="shared" si="1"/>
        <v/>
      </c>
      <c r="N565" s="134" t="str">
        <f t="array" ref="N565">IF(M565="LOANED / ON KOL", INDEX('Step 3 FOC Request'!$G:$G, MATCH(1, ('Step 3 FOC Request'!$A:$A=W565) * ('Step 3 FOC Request'!$F:$F=E565), 0)), "-")</f>
        <v>-</v>
      </c>
      <c r="O565" s="126"/>
      <c r="P565" s="126"/>
      <c r="Q565" s="126"/>
      <c r="R565" s="126"/>
      <c r="U565" s="126"/>
      <c r="V565" s="126"/>
      <c r="W565" s="135">
        <f>MAXIFS('Step 3 FOC Request'!$A:$A, 'Step 3 FOC Request'!$F:$F, $E565)</f>
        <v>0</v>
      </c>
      <c r="X565" s="135">
        <f>MAXIFS('Step 4 FOC Return'!$A:$A, 'Step 4 FOC Return'!$E:$E, $E565)</f>
        <v>0</v>
      </c>
      <c r="Y565" s="126"/>
    </row>
    <row r="566">
      <c r="A566" s="126"/>
      <c r="B566" s="154"/>
      <c r="C566" s="146"/>
      <c r="D566" s="146"/>
      <c r="E566" s="146"/>
      <c r="F566" s="155"/>
      <c r="G566" s="146"/>
      <c r="H566" s="126"/>
      <c r="I566" s="132"/>
      <c r="J566" s="146"/>
      <c r="K566" s="126"/>
      <c r="L566" s="126"/>
      <c r="M566" s="134" t="str">
        <f t="shared" si="1"/>
        <v/>
      </c>
      <c r="N566" s="134" t="str">
        <f t="array" ref="N566">IF(M566="LOANED / ON KOL", INDEX('Step 3 FOC Request'!$G:$G, MATCH(1, ('Step 3 FOC Request'!$A:$A=W566) * ('Step 3 FOC Request'!$F:$F=E566), 0)), "-")</f>
        <v>-</v>
      </c>
      <c r="O566" s="126"/>
      <c r="P566" s="126"/>
      <c r="Q566" s="126"/>
      <c r="R566" s="126"/>
      <c r="U566" s="126"/>
      <c r="V566" s="126"/>
      <c r="W566" s="135">
        <f>MAXIFS('Step 3 FOC Request'!$A:$A, 'Step 3 FOC Request'!$F:$F, $E566)</f>
        <v>0</v>
      </c>
      <c r="X566" s="135">
        <f>MAXIFS('Step 4 FOC Return'!$A:$A, 'Step 4 FOC Return'!$E:$E, $E566)</f>
        <v>0</v>
      </c>
      <c r="Y566" s="126"/>
    </row>
    <row r="567">
      <c r="A567" s="126"/>
      <c r="B567" s="154"/>
      <c r="C567" s="146"/>
      <c r="D567" s="146"/>
      <c r="E567" s="146"/>
      <c r="F567" s="155"/>
      <c r="G567" s="146"/>
      <c r="H567" s="126"/>
      <c r="I567" s="132"/>
      <c r="J567" s="146"/>
      <c r="K567" s="126"/>
      <c r="L567" s="126"/>
      <c r="M567" s="134" t="str">
        <f t="shared" si="1"/>
        <v/>
      </c>
      <c r="N567" s="134" t="str">
        <f t="array" ref="N567">IF(M567="LOANED / ON KOL", INDEX('Step 3 FOC Request'!$G:$G, MATCH(1, ('Step 3 FOC Request'!$A:$A=W567) * ('Step 3 FOC Request'!$F:$F=E567), 0)), "-")</f>
        <v>-</v>
      </c>
      <c r="O567" s="126"/>
      <c r="P567" s="126"/>
      <c r="Q567" s="126"/>
      <c r="R567" s="126"/>
      <c r="U567" s="126"/>
      <c r="V567" s="126"/>
      <c r="W567" s="135">
        <f>MAXIFS('Step 3 FOC Request'!$A:$A, 'Step 3 FOC Request'!$F:$F, $E567)</f>
        <v>0</v>
      </c>
      <c r="X567" s="135">
        <f>MAXIFS('Step 4 FOC Return'!$A:$A, 'Step 4 FOC Return'!$E:$E, $E567)</f>
        <v>0</v>
      </c>
      <c r="Y567" s="126"/>
    </row>
    <row r="568">
      <c r="A568" s="126"/>
      <c r="B568" s="154"/>
      <c r="C568" s="146"/>
      <c r="D568" s="146"/>
      <c r="E568" s="146"/>
      <c r="F568" s="155"/>
      <c r="G568" s="146"/>
      <c r="H568" s="126"/>
      <c r="I568" s="132"/>
      <c r="J568" s="146"/>
      <c r="K568" s="126"/>
      <c r="L568" s="126"/>
      <c r="M568" s="134" t="str">
        <f t="shared" si="1"/>
        <v/>
      </c>
      <c r="N568" s="134" t="str">
        <f t="array" ref="N568">IF(M568="LOANED / ON KOL", INDEX('Step 3 FOC Request'!$G:$G, MATCH(1, ('Step 3 FOC Request'!$A:$A=W568) * ('Step 3 FOC Request'!$F:$F=E568), 0)), "-")</f>
        <v>-</v>
      </c>
      <c r="O568" s="126"/>
      <c r="P568" s="126"/>
      <c r="Q568" s="126"/>
      <c r="R568" s="126"/>
      <c r="U568" s="126"/>
      <c r="V568" s="126"/>
      <c r="W568" s="135">
        <f>MAXIFS('Step 3 FOC Request'!$A:$A, 'Step 3 FOC Request'!$F:$F, $E568)</f>
        <v>0</v>
      </c>
      <c r="X568" s="135">
        <f>MAXIFS('Step 4 FOC Return'!$A:$A, 'Step 4 FOC Return'!$E:$E, $E568)</f>
        <v>0</v>
      </c>
      <c r="Y568" s="126"/>
    </row>
    <row r="569">
      <c r="A569" s="126"/>
      <c r="B569" s="154"/>
      <c r="C569" s="146"/>
      <c r="D569" s="146"/>
      <c r="E569" s="146"/>
      <c r="F569" s="155"/>
      <c r="G569" s="146"/>
      <c r="H569" s="126"/>
      <c r="I569" s="132"/>
      <c r="J569" s="146"/>
      <c r="K569" s="126"/>
      <c r="L569" s="126"/>
      <c r="M569" s="134" t="str">
        <f t="shared" si="1"/>
        <v/>
      </c>
      <c r="N569" s="134" t="str">
        <f t="array" ref="N569">IF(M569="LOANED / ON KOL", INDEX('Step 3 FOC Request'!$G:$G, MATCH(1, ('Step 3 FOC Request'!$A:$A=W569) * ('Step 3 FOC Request'!$F:$F=E569), 0)), "-")</f>
        <v>-</v>
      </c>
      <c r="O569" s="126"/>
      <c r="P569" s="126"/>
      <c r="Q569" s="126"/>
      <c r="R569" s="126"/>
      <c r="U569" s="126"/>
      <c r="V569" s="126"/>
      <c r="W569" s="135">
        <f>MAXIFS('Step 3 FOC Request'!$A:$A, 'Step 3 FOC Request'!$F:$F, $E569)</f>
        <v>0</v>
      </c>
      <c r="X569" s="135">
        <f>MAXIFS('Step 4 FOC Return'!$A:$A, 'Step 4 FOC Return'!$E:$E, $E569)</f>
        <v>0</v>
      </c>
      <c r="Y569" s="126"/>
    </row>
    <row r="570">
      <c r="A570" s="126"/>
      <c r="B570" s="154"/>
      <c r="C570" s="146"/>
      <c r="D570" s="146"/>
      <c r="E570" s="146"/>
      <c r="F570" s="155"/>
      <c r="G570" s="146"/>
      <c r="H570" s="126"/>
      <c r="I570" s="132"/>
      <c r="J570" s="146"/>
      <c r="K570" s="126"/>
      <c r="L570" s="126"/>
      <c r="M570" s="134" t="str">
        <f t="shared" si="1"/>
        <v/>
      </c>
      <c r="N570" s="134" t="str">
        <f t="array" ref="N570">IF(M570="LOANED / ON KOL", INDEX('Step 3 FOC Request'!$G:$G, MATCH(1, ('Step 3 FOC Request'!$A:$A=W570) * ('Step 3 FOC Request'!$F:$F=E570), 0)), "-")</f>
        <v>-</v>
      </c>
      <c r="O570" s="126"/>
      <c r="P570" s="126"/>
      <c r="Q570" s="126"/>
      <c r="R570" s="126"/>
      <c r="U570" s="126"/>
      <c r="V570" s="126"/>
      <c r="W570" s="135">
        <f>MAXIFS('Step 3 FOC Request'!$A:$A, 'Step 3 FOC Request'!$F:$F, $E570)</f>
        <v>0</v>
      </c>
      <c r="X570" s="135">
        <f>MAXIFS('Step 4 FOC Return'!$A:$A, 'Step 4 FOC Return'!$E:$E, $E570)</f>
        <v>0</v>
      </c>
      <c r="Y570" s="126"/>
    </row>
    <row r="571">
      <c r="A571" s="126"/>
      <c r="B571" s="154"/>
      <c r="C571" s="146"/>
      <c r="D571" s="146"/>
      <c r="E571" s="146"/>
      <c r="F571" s="155"/>
      <c r="G571" s="146"/>
      <c r="H571" s="126"/>
      <c r="I571" s="132"/>
      <c r="J571" s="146"/>
      <c r="K571" s="126"/>
      <c r="L571" s="126"/>
      <c r="M571" s="134" t="str">
        <f t="shared" si="1"/>
        <v/>
      </c>
      <c r="N571" s="134" t="str">
        <f t="array" ref="N571">IF(M571="LOANED / ON KOL", INDEX('Step 3 FOC Request'!$G:$G, MATCH(1, ('Step 3 FOC Request'!$A:$A=W571) * ('Step 3 FOC Request'!$F:$F=E571), 0)), "-")</f>
        <v>-</v>
      </c>
      <c r="O571" s="126"/>
      <c r="P571" s="126"/>
      <c r="Q571" s="126"/>
      <c r="R571" s="126"/>
      <c r="U571" s="126"/>
      <c r="V571" s="126"/>
      <c r="W571" s="135">
        <f>MAXIFS('Step 3 FOC Request'!$A:$A, 'Step 3 FOC Request'!$F:$F, $E571)</f>
        <v>0</v>
      </c>
      <c r="X571" s="135">
        <f>MAXIFS('Step 4 FOC Return'!$A:$A, 'Step 4 FOC Return'!$E:$E, $E571)</f>
        <v>0</v>
      </c>
      <c r="Y571" s="126"/>
    </row>
    <row r="572">
      <c r="A572" s="126"/>
      <c r="B572" s="154"/>
      <c r="C572" s="146"/>
      <c r="D572" s="146"/>
      <c r="E572" s="146"/>
      <c r="F572" s="155"/>
      <c r="G572" s="146"/>
      <c r="H572" s="126"/>
      <c r="I572" s="132"/>
      <c r="J572" s="146"/>
      <c r="K572" s="126"/>
      <c r="L572" s="126"/>
      <c r="M572" s="134" t="str">
        <f t="shared" si="1"/>
        <v/>
      </c>
      <c r="N572" s="134" t="str">
        <f t="array" ref="N572">IF(M572="LOANED / ON KOL", INDEX('Step 3 FOC Request'!$G:$G, MATCH(1, ('Step 3 FOC Request'!$A:$A=W572) * ('Step 3 FOC Request'!$F:$F=E572), 0)), "-")</f>
        <v>-</v>
      </c>
      <c r="O572" s="126"/>
      <c r="P572" s="126"/>
      <c r="Q572" s="126"/>
      <c r="R572" s="126"/>
      <c r="U572" s="126"/>
      <c r="V572" s="126"/>
      <c r="W572" s="135">
        <f>MAXIFS('Step 3 FOC Request'!$A:$A, 'Step 3 FOC Request'!$F:$F, $E572)</f>
        <v>0</v>
      </c>
      <c r="X572" s="135">
        <f>MAXIFS('Step 4 FOC Return'!$A:$A, 'Step 4 FOC Return'!$E:$E, $E572)</f>
        <v>0</v>
      </c>
      <c r="Y572" s="126"/>
    </row>
    <row r="573">
      <c r="A573" s="126"/>
      <c r="B573" s="154"/>
      <c r="C573" s="146"/>
      <c r="D573" s="146"/>
      <c r="E573" s="146"/>
      <c r="F573" s="155"/>
      <c r="G573" s="146"/>
      <c r="H573" s="126"/>
      <c r="I573" s="132"/>
      <c r="J573" s="146"/>
      <c r="K573" s="126"/>
      <c r="L573" s="126"/>
      <c r="M573" s="134" t="str">
        <f t="shared" si="1"/>
        <v/>
      </c>
      <c r="N573" s="134" t="str">
        <f t="array" ref="N573">IF(M573="LOANED / ON KOL", INDEX('Step 3 FOC Request'!$G:$G, MATCH(1, ('Step 3 FOC Request'!$A:$A=W573) * ('Step 3 FOC Request'!$F:$F=E573), 0)), "-")</f>
        <v>-</v>
      </c>
      <c r="O573" s="126"/>
      <c r="P573" s="126"/>
      <c r="Q573" s="126"/>
      <c r="R573" s="126"/>
      <c r="U573" s="126"/>
      <c r="V573" s="126"/>
      <c r="W573" s="135">
        <f>MAXIFS('Step 3 FOC Request'!$A:$A, 'Step 3 FOC Request'!$F:$F, $E573)</f>
        <v>0</v>
      </c>
      <c r="X573" s="135">
        <f>MAXIFS('Step 4 FOC Return'!$A:$A, 'Step 4 FOC Return'!$E:$E, $E573)</f>
        <v>0</v>
      </c>
      <c r="Y573" s="126"/>
    </row>
    <row r="574">
      <c r="A574" s="126"/>
      <c r="B574" s="154"/>
      <c r="C574" s="146"/>
      <c r="D574" s="146"/>
      <c r="E574" s="146"/>
      <c r="F574" s="155"/>
      <c r="G574" s="146"/>
      <c r="H574" s="126"/>
      <c r="I574" s="132"/>
      <c r="J574" s="146"/>
      <c r="K574" s="126"/>
      <c r="L574" s="126"/>
      <c r="M574" s="134" t="str">
        <f t="shared" si="1"/>
        <v/>
      </c>
      <c r="N574" s="134" t="str">
        <f t="array" ref="N574">IF(M574="LOANED / ON KOL", INDEX('Step 3 FOC Request'!$G:$G, MATCH(1, ('Step 3 FOC Request'!$A:$A=W574) * ('Step 3 FOC Request'!$F:$F=E574), 0)), "-")</f>
        <v>-</v>
      </c>
      <c r="O574" s="126"/>
      <c r="P574" s="126"/>
      <c r="Q574" s="126"/>
      <c r="R574" s="126"/>
      <c r="U574" s="126"/>
      <c r="V574" s="126"/>
      <c r="W574" s="135">
        <f>MAXIFS('Step 3 FOC Request'!$A:$A, 'Step 3 FOC Request'!$F:$F, $E574)</f>
        <v>0</v>
      </c>
      <c r="X574" s="135">
        <f>MAXIFS('Step 4 FOC Return'!$A:$A, 'Step 4 FOC Return'!$E:$E, $E574)</f>
        <v>0</v>
      </c>
      <c r="Y574" s="126"/>
    </row>
    <row r="575">
      <c r="A575" s="126"/>
      <c r="B575" s="154"/>
      <c r="C575" s="146"/>
      <c r="D575" s="146"/>
      <c r="E575" s="146"/>
      <c r="F575" s="155"/>
      <c r="G575" s="146"/>
      <c r="H575" s="126"/>
      <c r="I575" s="132"/>
      <c r="J575" s="146"/>
      <c r="K575" s="126"/>
      <c r="L575" s="126"/>
      <c r="M575" s="134" t="str">
        <f t="shared" si="1"/>
        <v/>
      </c>
      <c r="N575" s="134" t="str">
        <f t="array" ref="N575">IF(M575="LOANED / ON KOL", INDEX('Step 3 FOC Request'!$G:$G, MATCH(1, ('Step 3 FOC Request'!$A:$A=W575) * ('Step 3 FOC Request'!$F:$F=E575), 0)), "-")</f>
        <v>-</v>
      </c>
      <c r="O575" s="126"/>
      <c r="P575" s="126"/>
      <c r="Q575" s="126"/>
      <c r="R575" s="126"/>
      <c r="U575" s="126"/>
      <c r="V575" s="126"/>
      <c r="W575" s="135">
        <f>MAXIFS('Step 3 FOC Request'!$A:$A, 'Step 3 FOC Request'!$F:$F, $E575)</f>
        <v>0</v>
      </c>
      <c r="X575" s="135">
        <f>MAXIFS('Step 4 FOC Return'!$A:$A, 'Step 4 FOC Return'!$E:$E, $E575)</f>
        <v>0</v>
      </c>
      <c r="Y575" s="126"/>
    </row>
    <row r="576">
      <c r="A576" s="126"/>
      <c r="B576" s="154"/>
      <c r="C576" s="146"/>
      <c r="D576" s="146"/>
      <c r="E576" s="146"/>
      <c r="F576" s="155"/>
      <c r="G576" s="146"/>
      <c r="H576" s="126"/>
      <c r="I576" s="132"/>
      <c r="J576" s="146"/>
      <c r="K576" s="126"/>
      <c r="L576" s="126"/>
      <c r="M576" s="134" t="str">
        <f t="shared" si="1"/>
        <v/>
      </c>
      <c r="N576" s="134" t="str">
        <f t="array" ref="N576">IF(M576="LOANED / ON KOL", INDEX('Step 3 FOC Request'!$G:$G, MATCH(1, ('Step 3 FOC Request'!$A:$A=W576) * ('Step 3 FOC Request'!$F:$F=E576), 0)), "-")</f>
        <v>-</v>
      </c>
      <c r="O576" s="126"/>
      <c r="P576" s="126"/>
      <c r="Q576" s="126"/>
      <c r="R576" s="126"/>
      <c r="U576" s="126"/>
      <c r="V576" s="126"/>
      <c r="W576" s="135">
        <f>MAXIFS('Step 3 FOC Request'!$A:$A, 'Step 3 FOC Request'!$F:$F, $E576)</f>
        <v>0</v>
      </c>
      <c r="X576" s="135">
        <f>MAXIFS('Step 4 FOC Return'!$A:$A, 'Step 4 FOC Return'!$E:$E, $E576)</f>
        <v>0</v>
      </c>
      <c r="Y576" s="126"/>
    </row>
    <row r="577">
      <c r="A577" s="126"/>
      <c r="B577" s="154"/>
      <c r="C577" s="146"/>
      <c r="D577" s="146"/>
      <c r="E577" s="146"/>
      <c r="F577" s="155"/>
      <c r="G577" s="146"/>
      <c r="H577" s="126"/>
      <c r="I577" s="132"/>
      <c r="J577" s="146"/>
      <c r="K577" s="126"/>
      <c r="L577" s="126"/>
      <c r="M577" s="134" t="str">
        <f t="shared" si="1"/>
        <v/>
      </c>
      <c r="N577" s="134" t="str">
        <f t="array" ref="N577">IF(M577="LOANED / ON KOL", INDEX('Step 3 FOC Request'!$G:$G, MATCH(1, ('Step 3 FOC Request'!$A:$A=W577) * ('Step 3 FOC Request'!$F:$F=E577), 0)), "-")</f>
        <v>-</v>
      </c>
      <c r="O577" s="126"/>
      <c r="P577" s="126"/>
      <c r="Q577" s="126"/>
      <c r="R577" s="126"/>
      <c r="U577" s="126"/>
      <c r="V577" s="126"/>
      <c r="W577" s="135">
        <f>MAXIFS('Step 3 FOC Request'!$A:$A, 'Step 3 FOC Request'!$F:$F, $E577)</f>
        <v>0</v>
      </c>
      <c r="X577" s="135">
        <f>MAXIFS('Step 4 FOC Return'!$A:$A, 'Step 4 FOC Return'!$E:$E, $E577)</f>
        <v>0</v>
      </c>
      <c r="Y577" s="126"/>
    </row>
    <row r="578">
      <c r="A578" s="126"/>
      <c r="B578" s="154"/>
      <c r="C578" s="146"/>
      <c r="D578" s="146"/>
      <c r="E578" s="146"/>
      <c r="F578" s="155"/>
      <c r="G578" s="146"/>
      <c r="H578" s="126"/>
      <c r="I578" s="132"/>
      <c r="J578" s="146"/>
      <c r="K578" s="126"/>
      <c r="L578" s="126"/>
      <c r="M578" s="134" t="str">
        <f t="shared" si="1"/>
        <v/>
      </c>
      <c r="N578" s="134" t="str">
        <f t="array" ref="N578">IF(M578="LOANED / ON KOL", INDEX('Step 3 FOC Request'!$G:$G, MATCH(1, ('Step 3 FOC Request'!$A:$A=W578) * ('Step 3 FOC Request'!$F:$F=E578), 0)), "-")</f>
        <v>-</v>
      </c>
      <c r="O578" s="126"/>
      <c r="P578" s="126"/>
      <c r="Q578" s="126"/>
      <c r="R578" s="126"/>
      <c r="U578" s="126"/>
      <c r="V578" s="126"/>
      <c r="W578" s="135">
        <f>MAXIFS('Step 3 FOC Request'!$A:$A, 'Step 3 FOC Request'!$F:$F, $E578)</f>
        <v>0</v>
      </c>
      <c r="X578" s="135">
        <f>MAXIFS('Step 4 FOC Return'!$A:$A, 'Step 4 FOC Return'!$E:$E, $E578)</f>
        <v>0</v>
      </c>
      <c r="Y578" s="126"/>
    </row>
    <row r="579">
      <c r="A579" s="126"/>
      <c r="B579" s="154"/>
      <c r="C579" s="146"/>
      <c r="D579" s="146"/>
      <c r="E579" s="146"/>
      <c r="F579" s="155"/>
      <c r="G579" s="146"/>
      <c r="H579" s="126"/>
      <c r="I579" s="132"/>
      <c r="J579" s="146"/>
      <c r="K579" s="126"/>
      <c r="L579" s="126"/>
      <c r="M579" s="134" t="str">
        <f t="shared" si="1"/>
        <v/>
      </c>
      <c r="N579" s="134" t="str">
        <f t="array" ref="N579">IF(M579="LOANED / ON KOL", INDEX('Step 3 FOC Request'!$G:$G, MATCH(1, ('Step 3 FOC Request'!$A:$A=W579) * ('Step 3 FOC Request'!$F:$F=E579), 0)), "-")</f>
        <v>-</v>
      </c>
      <c r="O579" s="126"/>
      <c r="P579" s="126"/>
      <c r="Q579" s="126"/>
      <c r="R579" s="126"/>
      <c r="U579" s="126"/>
      <c r="V579" s="126"/>
      <c r="W579" s="135">
        <f>MAXIFS('Step 3 FOC Request'!$A:$A, 'Step 3 FOC Request'!$F:$F, $E579)</f>
        <v>0</v>
      </c>
      <c r="X579" s="135">
        <f>MAXIFS('Step 4 FOC Return'!$A:$A, 'Step 4 FOC Return'!$E:$E, $E579)</f>
        <v>0</v>
      </c>
      <c r="Y579" s="126"/>
    </row>
    <row r="580">
      <c r="A580" s="126"/>
      <c r="B580" s="154"/>
      <c r="C580" s="146"/>
      <c r="D580" s="146"/>
      <c r="E580" s="146"/>
      <c r="F580" s="155"/>
      <c r="G580" s="146"/>
      <c r="H580" s="126"/>
      <c r="I580" s="132"/>
      <c r="J580" s="146"/>
      <c r="K580" s="126"/>
      <c r="L580" s="126"/>
      <c r="M580" s="134" t="str">
        <f t="shared" si="1"/>
        <v/>
      </c>
      <c r="N580" s="134" t="str">
        <f t="array" ref="N580">IF(M580="LOANED / ON KOL", INDEX('Step 3 FOC Request'!$G:$G, MATCH(1, ('Step 3 FOC Request'!$A:$A=W580) * ('Step 3 FOC Request'!$F:$F=E580), 0)), "-")</f>
        <v>-</v>
      </c>
      <c r="O580" s="126"/>
      <c r="P580" s="126"/>
      <c r="Q580" s="126"/>
      <c r="R580" s="126"/>
      <c r="U580" s="126"/>
      <c r="V580" s="126"/>
      <c r="W580" s="135">
        <f>MAXIFS('Step 3 FOC Request'!$A:$A, 'Step 3 FOC Request'!$F:$F, $E580)</f>
        <v>0</v>
      </c>
      <c r="X580" s="135">
        <f>MAXIFS('Step 4 FOC Return'!$A:$A, 'Step 4 FOC Return'!$E:$E, $E580)</f>
        <v>0</v>
      </c>
      <c r="Y580" s="126"/>
    </row>
    <row r="581">
      <c r="A581" s="126"/>
      <c r="B581" s="154"/>
      <c r="C581" s="146"/>
      <c r="D581" s="146"/>
      <c r="E581" s="146"/>
      <c r="F581" s="155"/>
      <c r="G581" s="146"/>
      <c r="H581" s="126"/>
      <c r="I581" s="132"/>
      <c r="J581" s="146"/>
      <c r="K581" s="126"/>
      <c r="L581" s="126"/>
      <c r="M581" s="134" t="str">
        <f t="shared" si="1"/>
        <v/>
      </c>
      <c r="N581" s="134" t="str">
        <f t="array" ref="N581">IF(M581="LOANED / ON KOL", INDEX('Step 3 FOC Request'!$G:$G, MATCH(1, ('Step 3 FOC Request'!$A:$A=W581) * ('Step 3 FOC Request'!$F:$F=E581), 0)), "-")</f>
        <v>-</v>
      </c>
      <c r="O581" s="126"/>
      <c r="P581" s="126"/>
      <c r="Q581" s="126"/>
      <c r="R581" s="126"/>
      <c r="U581" s="126"/>
      <c r="V581" s="126"/>
      <c r="W581" s="135">
        <f>MAXIFS('Step 3 FOC Request'!$A:$A, 'Step 3 FOC Request'!$F:$F, $E581)</f>
        <v>0</v>
      </c>
      <c r="X581" s="135">
        <f>MAXIFS('Step 4 FOC Return'!$A:$A, 'Step 4 FOC Return'!$E:$E, $E581)</f>
        <v>0</v>
      </c>
      <c r="Y581" s="126"/>
    </row>
    <row r="582">
      <c r="A582" s="126"/>
      <c r="B582" s="154"/>
      <c r="C582" s="146"/>
      <c r="D582" s="146"/>
      <c r="E582" s="146"/>
      <c r="F582" s="155"/>
      <c r="G582" s="146"/>
      <c r="H582" s="126"/>
      <c r="I582" s="132"/>
      <c r="J582" s="146"/>
      <c r="K582" s="126"/>
      <c r="L582" s="126"/>
      <c r="M582" s="134" t="str">
        <f t="shared" si="1"/>
        <v/>
      </c>
      <c r="N582" s="134" t="str">
        <f t="array" ref="N582">IF(M582="LOANED / ON KOL", INDEX('Step 3 FOC Request'!$G:$G, MATCH(1, ('Step 3 FOC Request'!$A:$A=W582) * ('Step 3 FOC Request'!$F:$F=E582), 0)), "-")</f>
        <v>-</v>
      </c>
      <c r="O582" s="126"/>
      <c r="P582" s="126"/>
      <c r="Q582" s="126"/>
      <c r="R582" s="126"/>
      <c r="U582" s="126"/>
      <c r="V582" s="126"/>
      <c r="W582" s="135">
        <f>MAXIFS('Step 3 FOC Request'!$A:$A, 'Step 3 FOC Request'!$F:$F, $E582)</f>
        <v>0</v>
      </c>
      <c r="X582" s="135">
        <f>MAXIFS('Step 4 FOC Return'!$A:$A, 'Step 4 FOC Return'!$E:$E, $E582)</f>
        <v>0</v>
      </c>
      <c r="Y582" s="126"/>
    </row>
    <row r="583">
      <c r="A583" s="126"/>
      <c r="B583" s="154"/>
      <c r="C583" s="146"/>
      <c r="D583" s="146"/>
      <c r="E583" s="146"/>
      <c r="F583" s="155"/>
      <c r="G583" s="146"/>
      <c r="H583" s="126"/>
      <c r="I583" s="132"/>
      <c r="J583" s="146"/>
      <c r="K583" s="126"/>
      <c r="L583" s="126"/>
      <c r="M583" s="134" t="str">
        <f t="shared" si="1"/>
        <v/>
      </c>
      <c r="N583" s="134" t="str">
        <f t="array" ref="N583">IF(M583="LOANED / ON KOL", INDEX('Step 3 FOC Request'!$G:$G, MATCH(1, ('Step 3 FOC Request'!$A:$A=W583) * ('Step 3 FOC Request'!$F:$F=E583), 0)), "-")</f>
        <v>-</v>
      </c>
      <c r="O583" s="126"/>
      <c r="P583" s="126"/>
      <c r="Q583" s="126"/>
      <c r="R583" s="126"/>
      <c r="U583" s="126"/>
      <c r="V583" s="126"/>
      <c r="W583" s="135">
        <f>MAXIFS('Step 3 FOC Request'!$A:$A, 'Step 3 FOC Request'!$F:$F, $E583)</f>
        <v>0</v>
      </c>
      <c r="X583" s="135">
        <f>MAXIFS('Step 4 FOC Return'!$A:$A, 'Step 4 FOC Return'!$E:$E, $E583)</f>
        <v>0</v>
      </c>
      <c r="Y583" s="126"/>
    </row>
    <row r="584">
      <c r="A584" s="126"/>
      <c r="B584" s="154"/>
      <c r="C584" s="146"/>
      <c r="D584" s="146"/>
      <c r="E584" s="146"/>
      <c r="F584" s="155"/>
      <c r="G584" s="146"/>
      <c r="H584" s="126"/>
      <c r="I584" s="132"/>
      <c r="J584" s="146"/>
      <c r="K584" s="126"/>
      <c r="L584" s="126"/>
      <c r="M584" s="134" t="str">
        <f t="shared" si="1"/>
        <v/>
      </c>
      <c r="N584" s="134" t="str">
        <f t="array" ref="N584">IF(M584="LOANED / ON KOL", INDEX('Step 3 FOC Request'!$G:$G, MATCH(1, ('Step 3 FOC Request'!$A:$A=W584) * ('Step 3 FOC Request'!$F:$F=E584), 0)), "-")</f>
        <v>-</v>
      </c>
      <c r="O584" s="126"/>
      <c r="P584" s="126"/>
      <c r="Q584" s="126"/>
      <c r="R584" s="126"/>
      <c r="U584" s="126"/>
      <c r="V584" s="126"/>
      <c r="W584" s="135">
        <f>MAXIFS('Step 3 FOC Request'!$A:$A, 'Step 3 FOC Request'!$F:$F, $E584)</f>
        <v>0</v>
      </c>
      <c r="X584" s="135">
        <f>MAXIFS('Step 4 FOC Return'!$A:$A, 'Step 4 FOC Return'!$E:$E, $E584)</f>
        <v>0</v>
      </c>
      <c r="Y584" s="126"/>
    </row>
    <row r="585">
      <c r="A585" s="126"/>
      <c r="B585" s="154"/>
      <c r="C585" s="146"/>
      <c r="D585" s="146"/>
      <c r="E585" s="146"/>
      <c r="F585" s="155"/>
      <c r="G585" s="146"/>
      <c r="H585" s="126"/>
      <c r="I585" s="132"/>
      <c r="J585" s="146"/>
      <c r="K585" s="126"/>
      <c r="L585" s="126"/>
      <c r="M585" s="134" t="str">
        <f t="shared" si="1"/>
        <v/>
      </c>
      <c r="N585" s="134" t="str">
        <f t="array" ref="N585">IF(M585="LOANED / ON KOL", INDEX('Step 3 FOC Request'!$G:$G, MATCH(1, ('Step 3 FOC Request'!$A:$A=W585) * ('Step 3 FOC Request'!$F:$F=E585), 0)), "-")</f>
        <v>-</v>
      </c>
      <c r="O585" s="126"/>
      <c r="P585" s="126"/>
      <c r="Q585" s="126"/>
      <c r="R585" s="126"/>
      <c r="U585" s="126"/>
      <c r="V585" s="126"/>
      <c r="W585" s="135">
        <f>MAXIFS('Step 3 FOC Request'!$A:$A, 'Step 3 FOC Request'!$F:$F, $E585)</f>
        <v>0</v>
      </c>
      <c r="X585" s="135">
        <f>MAXIFS('Step 4 FOC Return'!$A:$A, 'Step 4 FOC Return'!$E:$E, $E585)</f>
        <v>0</v>
      </c>
      <c r="Y585" s="126"/>
    </row>
    <row r="586">
      <c r="A586" s="126"/>
      <c r="B586" s="154"/>
      <c r="C586" s="146"/>
      <c r="D586" s="146"/>
      <c r="E586" s="146"/>
      <c r="F586" s="155"/>
      <c r="G586" s="146"/>
      <c r="H586" s="126"/>
      <c r="I586" s="132"/>
      <c r="J586" s="146"/>
      <c r="K586" s="126"/>
      <c r="L586" s="126"/>
      <c r="M586" s="134" t="str">
        <f t="shared" si="1"/>
        <v/>
      </c>
      <c r="N586" s="134" t="str">
        <f t="array" ref="N586">IF(M586="LOANED / ON KOL", INDEX('Step 3 FOC Request'!$G:$G, MATCH(1, ('Step 3 FOC Request'!$A:$A=W586) * ('Step 3 FOC Request'!$F:$F=E586), 0)), "-")</f>
        <v>-</v>
      </c>
      <c r="O586" s="126"/>
      <c r="P586" s="126"/>
      <c r="Q586" s="126"/>
      <c r="R586" s="126"/>
      <c r="U586" s="126"/>
      <c r="V586" s="126"/>
      <c r="W586" s="135">
        <f>MAXIFS('Step 3 FOC Request'!$A:$A, 'Step 3 FOC Request'!$F:$F, $E586)</f>
        <v>0</v>
      </c>
      <c r="X586" s="135">
        <f>MAXIFS('Step 4 FOC Return'!$A:$A, 'Step 4 FOC Return'!$E:$E, $E586)</f>
        <v>0</v>
      </c>
      <c r="Y586" s="126"/>
    </row>
    <row r="587">
      <c r="A587" s="126"/>
      <c r="B587" s="154"/>
      <c r="C587" s="146"/>
      <c r="D587" s="146"/>
      <c r="E587" s="146"/>
      <c r="F587" s="155"/>
      <c r="G587" s="146"/>
      <c r="H587" s="126"/>
      <c r="I587" s="132"/>
      <c r="J587" s="146"/>
      <c r="K587" s="126"/>
      <c r="L587" s="126"/>
      <c r="M587" s="134" t="str">
        <f t="shared" si="1"/>
        <v/>
      </c>
      <c r="N587" s="134" t="str">
        <f t="array" ref="N587">IF(M587="LOANED / ON KOL", INDEX('Step 3 FOC Request'!$G:$G, MATCH(1, ('Step 3 FOC Request'!$A:$A=W587) * ('Step 3 FOC Request'!$F:$F=E587), 0)), "-")</f>
        <v>-</v>
      </c>
      <c r="O587" s="126"/>
      <c r="P587" s="126"/>
      <c r="Q587" s="126"/>
      <c r="R587" s="126"/>
      <c r="U587" s="126"/>
      <c r="V587" s="126"/>
      <c r="W587" s="135">
        <f>MAXIFS('Step 3 FOC Request'!$A:$A, 'Step 3 FOC Request'!$F:$F, $E587)</f>
        <v>0</v>
      </c>
      <c r="X587" s="135">
        <f>MAXIFS('Step 4 FOC Return'!$A:$A, 'Step 4 FOC Return'!$E:$E, $E587)</f>
        <v>0</v>
      </c>
      <c r="Y587" s="126"/>
    </row>
    <row r="588">
      <c r="A588" s="126"/>
      <c r="B588" s="154"/>
      <c r="C588" s="146"/>
      <c r="D588" s="146"/>
      <c r="E588" s="146"/>
      <c r="F588" s="155"/>
      <c r="G588" s="146"/>
      <c r="H588" s="126"/>
      <c r="I588" s="132"/>
      <c r="J588" s="146"/>
      <c r="K588" s="126"/>
      <c r="L588" s="126"/>
      <c r="M588" s="134" t="str">
        <f t="shared" si="1"/>
        <v/>
      </c>
      <c r="N588" s="134" t="str">
        <f t="array" ref="N588">IF(M588="LOANED / ON KOL", INDEX('Step 3 FOC Request'!$G:$G, MATCH(1, ('Step 3 FOC Request'!$A:$A=W588) * ('Step 3 FOC Request'!$F:$F=E588), 0)), "-")</f>
        <v>-</v>
      </c>
      <c r="O588" s="126"/>
      <c r="P588" s="126"/>
      <c r="Q588" s="126"/>
      <c r="R588" s="126"/>
      <c r="U588" s="126"/>
      <c r="V588" s="126"/>
      <c r="W588" s="135">
        <f>MAXIFS('Step 3 FOC Request'!$A:$A, 'Step 3 FOC Request'!$F:$F, $E588)</f>
        <v>0</v>
      </c>
      <c r="X588" s="135">
        <f>MAXIFS('Step 4 FOC Return'!$A:$A, 'Step 4 FOC Return'!$E:$E, $E588)</f>
        <v>0</v>
      </c>
      <c r="Y588" s="126"/>
    </row>
    <row r="589">
      <c r="A589" s="126"/>
      <c r="B589" s="154"/>
      <c r="C589" s="146"/>
      <c r="D589" s="146"/>
      <c r="E589" s="146"/>
      <c r="F589" s="155"/>
      <c r="G589" s="146"/>
      <c r="H589" s="126"/>
      <c r="I589" s="132"/>
      <c r="J589" s="146"/>
      <c r="K589" s="126"/>
      <c r="L589" s="126"/>
      <c r="M589" s="134" t="str">
        <f t="shared" si="1"/>
        <v/>
      </c>
      <c r="N589" s="134" t="str">
        <f t="array" ref="N589">IF(M589="LOANED / ON KOL", INDEX('Step 3 FOC Request'!$G:$G, MATCH(1, ('Step 3 FOC Request'!$A:$A=W589) * ('Step 3 FOC Request'!$F:$F=E589), 0)), "-")</f>
        <v>-</v>
      </c>
      <c r="O589" s="126"/>
      <c r="P589" s="126"/>
      <c r="Q589" s="126"/>
      <c r="R589" s="126"/>
      <c r="U589" s="126"/>
      <c r="V589" s="126"/>
      <c r="W589" s="135">
        <f>MAXIFS('Step 3 FOC Request'!$A:$A, 'Step 3 FOC Request'!$F:$F, $E589)</f>
        <v>0</v>
      </c>
      <c r="X589" s="135">
        <f>MAXIFS('Step 4 FOC Return'!$A:$A, 'Step 4 FOC Return'!$E:$E, $E589)</f>
        <v>0</v>
      </c>
      <c r="Y589" s="126"/>
    </row>
    <row r="590">
      <c r="A590" s="126"/>
      <c r="B590" s="154"/>
      <c r="C590" s="146"/>
      <c r="D590" s="146"/>
      <c r="E590" s="146"/>
      <c r="F590" s="155"/>
      <c r="G590" s="146"/>
      <c r="H590" s="126"/>
      <c r="I590" s="132"/>
      <c r="J590" s="146"/>
      <c r="K590" s="126"/>
      <c r="L590" s="126"/>
      <c r="M590" s="134" t="str">
        <f t="shared" si="1"/>
        <v/>
      </c>
      <c r="N590" s="134" t="str">
        <f t="array" ref="N590">IF(M590="LOANED / ON KOL", INDEX('Step 3 FOC Request'!$G:$G, MATCH(1, ('Step 3 FOC Request'!$A:$A=W590) * ('Step 3 FOC Request'!$F:$F=E590), 0)), "-")</f>
        <v>-</v>
      </c>
      <c r="O590" s="126"/>
      <c r="P590" s="126"/>
      <c r="Q590" s="126"/>
      <c r="R590" s="126"/>
      <c r="U590" s="126"/>
      <c r="V590" s="126"/>
      <c r="W590" s="135">
        <f>MAXIFS('Step 3 FOC Request'!$A:$A, 'Step 3 FOC Request'!$F:$F, $E590)</f>
        <v>0</v>
      </c>
      <c r="X590" s="135">
        <f>MAXIFS('Step 4 FOC Return'!$A:$A, 'Step 4 FOC Return'!$E:$E, $E590)</f>
        <v>0</v>
      </c>
      <c r="Y590" s="126"/>
    </row>
    <row r="591">
      <c r="A591" s="126"/>
      <c r="B591" s="154"/>
      <c r="C591" s="146"/>
      <c r="D591" s="146"/>
      <c r="E591" s="146"/>
      <c r="F591" s="155"/>
      <c r="G591" s="146"/>
      <c r="H591" s="126"/>
      <c r="I591" s="132"/>
      <c r="J591" s="146"/>
      <c r="K591" s="126"/>
      <c r="L591" s="126"/>
      <c r="M591" s="134" t="str">
        <f t="shared" si="1"/>
        <v/>
      </c>
      <c r="N591" s="134" t="str">
        <f t="array" ref="N591">IF(M591="LOANED / ON KOL", INDEX('Step 3 FOC Request'!$G:$G, MATCH(1, ('Step 3 FOC Request'!$A:$A=W591) * ('Step 3 FOC Request'!$F:$F=E591), 0)), "-")</f>
        <v>-</v>
      </c>
      <c r="O591" s="126"/>
      <c r="P591" s="126"/>
      <c r="Q591" s="126"/>
      <c r="R591" s="126"/>
      <c r="U591" s="126"/>
      <c r="V591" s="126"/>
      <c r="W591" s="135">
        <f>MAXIFS('Step 3 FOC Request'!$A:$A, 'Step 3 FOC Request'!$F:$F, $E591)</f>
        <v>0</v>
      </c>
      <c r="X591" s="135">
        <f>MAXIFS('Step 4 FOC Return'!$A:$A, 'Step 4 FOC Return'!$E:$E, $E591)</f>
        <v>0</v>
      </c>
      <c r="Y591" s="126"/>
    </row>
    <row r="592">
      <c r="A592" s="126"/>
      <c r="B592" s="154"/>
      <c r="C592" s="146"/>
      <c r="D592" s="146"/>
      <c r="E592" s="146"/>
      <c r="F592" s="155"/>
      <c r="G592" s="146"/>
      <c r="H592" s="126"/>
      <c r="I592" s="132"/>
      <c r="J592" s="146"/>
      <c r="K592" s="126"/>
      <c r="L592" s="126"/>
      <c r="M592" s="134" t="str">
        <f t="shared" si="1"/>
        <v/>
      </c>
      <c r="N592" s="134" t="str">
        <f t="array" ref="N592">IF(M592="LOANED / ON KOL", INDEX('Step 3 FOC Request'!$G:$G, MATCH(1, ('Step 3 FOC Request'!$A:$A=W592) * ('Step 3 FOC Request'!$F:$F=E592), 0)), "-")</f>
        <v>-</v>
      </c>
      <c r="O592" s="126"/>
      <c r="P592" s="126"/>
      <c r="Q592" s="126"/>
      <c r="R592" s="126"/>
      <c r="U592" s="126"/>
      <c r="V592" s="126"/>
      <c r="W592" s="135">
        <f>MAXIFS('Step 3 FOC Request'!$A:$A, 'Step 3 FOC Request'!$F:$F, $E592)</f>
        <v>0</v>
      </c>
      <c r="X592" s="135">
        <f>MAXIFS('Step 4 FOC Return'!$A:$A, 'Step 4 FOC Return'!$E:$E, $E592)</f>
        <v>0</v>
      </c>
      <c r="Y592" s="126"/>
    </row>
    <row r="593">
      <c r="A593" s="126"/>
      <c r="B593" s="154"/>
      <c r="C593" s="146"/>
      <c r="D593" s="146"/>
      <c r="E593" s="146"/>
      <c r="F593" s="155"/>
      <c r="G593" s="146"/>
      <c r="H593" s="126"/>
      <c r="I593" s="132"/>
      <c r="J593" s="146"/>
      <c r="K593" s="126"/>
      <c r="L593" s="126"/>
      <c r="M593" s="134" t="str">
        <f t="shared" si="1"/>
        <v/>
      </c>
      <c r="N593" s="134" t="str">
        <f t="array" ref="N593">IF(M593="LOANED / ON KOL", INDEX('Step 3 FOC Request'!$G:$G, MATCH(1, ('Step 3 FOC Request'!$A:$A=W593) * ('Step 3 FOC Request'!$F:$F=E593), 0)), "-")</f>
        <v>-</v>
      </c>
      <c r="O593" s="126"/>
      <c r="P593" s="126"/>
      <c r="Q593" s="126"/>
      <c r="R593" s="126"/>
      <c r="U593" s="126"/>
      <c r="V593" s="126"/>
      <c r="W593" s="135">
        <f>MAXIFS('Step 3 FOC Request'!$A:$A, 'Step 3 FOC Request'!$F:$F, $E593)</f>
        <v>0</v>
      </c>
      <c r="X593" s="135">
        <f>MAXIFS('Step 4 FOC Return'!$A:$A, 'Step 4 FOC Return'!$E:$E, $E593)</f>
        <v>0</v>
      </c>
      <c r="Y593" s="126"/>
    </row>
    <row r="594">
      <c r="A594" s="126"/>
      <c r="B594" s="154"/>
      <c r="C594" s="146"/>
      <c r="D594" s="146"/>
      <c r="E594" s="146"/>
      <c r="F594" s="155"/>
      <c r="G594" s="146"/>
      <c r="H594" s="126"/>
      <c r="I594" s="132"/>
      <c r="J594" s="146"/>
      <c r="K594" s="126"/>
      <c r="L594" s="126"/>
      <c r="M594" s="134" t="str">
        <f t="shared" si="1"/>
        <v/>
      </c>
      <c r="N594" s="134" t="str">
        <f t="array" ref="N594">IF(M594="LOANED / ON KOL", INDEX('Step 3 FOC Request'!$G:$G, MATCH(1, ('Step 3 FOC Request'!$A:$A=W594) * ('Step 3 FOC Request'!$F:$F=E594), 0)), "-")</f>
        <v>-</v>
      </c>
      <c r="O594" s="126"/>
      <c r="P594" s="126"/>
      <c r="Q594" s="126"/>
      <c r="R594" s="126"/>
      <c r="U594" s="126"/>
      <c r="V594" s="126"/>
      <c r="W594" s="135">
        <f>MAXIFS('Step 3 FOC Request'!$A:$A, 'Step 3 FOC Request'!$F:$F, $E594)</f>
        <v>0</v>
      </c>
      <c r="X594" s="135">
        <f>MAXIFS('Step 4 FOC Return'!$A:$A, 'Step 4 FOC Return'!$E:$E, $E594)</f>
        <v>0</v>
      </c>
      <c r="Y594" s="126"/>
    </row>
    <row r="595">
      <c r="A595" s="126"/>
      <c r="B595" s="154"/>
      <c r="C595" s="146"/>
      <c r="D595" s="146"/>
      <c r="E595" s="146"/>
      <c r="F595" s="155"/>
      <c r="G595" s="146"/>
      <c r="H595" s="126"/>
      <c r="I595" s="132"/>
      <c r="J595" s="146"/>
      <c r="K595" s="126"/>
      <c r="L595" s="126"/>
      <c r="M595" s="134" t="str">
        <f t="shared" si="1"/>
        <v/>
      </c>
      <c r="N595" s="134" t="str">
        <f t="array" ref="N595">IF(M595="LOANED / ON KOL", INDEX('Step 3 FOC Request'!$G:$G, MATCH(1, ('Step 3 FOC Request'!$A:$A=W595) * ('Step 3 FOC Request'!$F:$F=E595), 0)), "-")</f>
        <v>-</v>
      </c>
      <c r="O595" s="126"/>
      <c r="P595" s="126"/>
      <c r="Q595" s="126"/>
      <c r="R595" s="126"/>
      <c r="U595" s="126"/>
      <c r="V595" s="126"/>
      <c r="W595" s="135">
        <f>MAXIFS('Step 3 FOC Request'!$A:$A, 'Step 3 FOC Request'!$F:$F, $E595)</f>
        <v>0</v>
      </c>
      <c r="X595" s="135">
        <f>MAXIFS('Step 4 FOC Return'!$A:$A, 'Step 4 FOC Return'!$E:$E, $E595)</f>
        <v>0</v>
      </c>
      <c r="Y595" s="126"/>
    </row>
    <row r="596">
      <c r="A596" s="126"/>
      <c r="B596" s="154"/>
      <c r="C596" s="146"/>
      <c r="D596" s="146"/>
      <c r="E596" s="146"/>
      <c r="F596" s="155"/>
      <c r="G596" s="146"/>
      <c r="H596" s="126"/>
      <c r="I596" s="132"/>
      <c r="J596" s="146"/>
      <c r="K596" s="126"/>
      <c r="L596" s="126"/>
      <c r="M596" s="134" t="str">
        <f t="shared" si="1"/>
        <v/>
      </c>
      <c r="N596" s="134" t="str">
        <f t="array" ref="N596">IF(M596="LOANED / ON KOL", INDEX('Step 3 FOC Request'!$G:$G, MATCH(1, ('Step 3 FOC Request'!$A:$A=W596) * ('Step 3 FOC Request'!$F:$F=E596), 0)), "-")</f>
        <v>-</v>
      </c>
      <c r="O596" s="126"/>
      <c r="P596" s="126"/>
      <c r="Q596" s="126"/>
      <c r="R596" s="126"/>
      <c r="U596" s="126"/>
      <c r="V596" s="126"/>
      <c r="W596" s="135">
        <f>MAXIFS('Step 3 FOC Request'!$A:$A, 'Step 3 FOC Request'!$F:$F, $E596)</f>
        <v>0</v>
      </c>
      <c r="X596" s="135">
        <f>MAXIFS('Step 4 FOC Return'!$A:$A, 'Step 4 FOC Return'!$E:$E, $E596)</f>
        <v>0</v>
      </c>
      <c r="Y596" s="126"/>
    </row>
    <row r="597">
      <c r="A597" s="126"/>
      <c r="B597" s="154"/>
      <c r="C597" s="146"/>
      <c r="D597" s="146"/>
      <c r="E597" s="146"/>
      <c r="F597" s="155"/>
      <c r="G597" s="146"/>
      <c r="H597" s="126"/>
      <c r="I597" s="132"/>
      <c r="J597" s="146"/>
      <c r="K597" s="126"/>
      <c r="L597" s="126"/>
      <c r="M597" s="134" t="str">
        <f t="shared" si="1"/>
        <v/>
      </c>
      <c r="N597" s="134" t="str">
        <f t="array" ref="N597">IF(M597="LOANED / ON KOL", INDEX('Step 3 FOC Request'!$G:$G, MATCH(1, ('Step 3 FOC Request'!$A:$A=W597) * ('Step 3 FOC Request'!$F:$F=E597), 0)), "-")</f>
        <v>-</v>
      </c>
      <c r="O597" s="126"/>
      <c r="P597" s="126"/>
      <c r="Q597" s="126"/>
      <c r="R597" s="126"/>
      <c r="U597" s="126"/>
      <c r="V597" s="126"/>
      <c r="W597" s="135">
        <f>MAXIFS('Step 3 FOC Request'!$A:$A, 'Step 3 FOC Request'!$F:$F, $E597)</f>
        <v>0</v>
      </c>
      <c r="X597" s="135">
        <f>MAXIFS('Step 4 FOC Return'!$A:$A, 'Step 4 FOC Return'!$E:$E, $E597)</f>
        <v>0</v>
      </c>
      <c r="Y597" s="126"/>
    </row>
    <row r="598">
      <c r="A598" s="126"/>
      <c r="B598" s="154"/>
      <c r="C598" s="146"/>
      <c r="D598" s="146"/>
      <c r="E598" s="146"/>
      <c r="F598" s="155"/>
      <c r="G598" s="146"/>
      <c r="H598" s="126"/>
      <c r="I598" s="132"/>
      <c r="J598" s="146"/>
      <c r="K598" s="126"/>
      <c r="L598" s="126"/>
      <c r="M598" s="134" t="str">
        <f t="shared" si="1"/>
        <v/>
      </c>
      <c r="N598" s="134" t="str">
        <f t="array" ref="N598">IF(M598="LOANED / ON KOL", INDEX('Step 3 FOC Request'!$G:$G, MATCH(1, ('Step 3 FOC Request'!$A:$A=W598) * ('Step 3 FOC Request'!$F:$F=E598), 0)), "-")</f>
        <v>-</v>
      </c>
      <c r="O598" s="126"/>
      <c r="P598" s="126"/>
      <c r="Q598" s="126"/>
      <c r="R598" s="126"/>
      <c r="U598" s="126"/>
      <c r="V598" s="126"/>
      <c r="W598" s="135">
        <f>MAXIFS('Step 3 FOC Request'!$A:$A, 'Step 3 FOC Request'!$F:$F, $E598)</f>
        <v>0</v>
      </c>
      <c r="X598" s="135">
        <f>MAXIFS('Step 4 FOC Return'!$A:$A, 'Step 4 FOC Return'!$E:$E, $E598)</f>
        <v>0</v>
      </c>
      <c r="Y598" s="126"/>
    </row>
    <row r="599">
      <c r="A599" s="126"/>
      <c r="B599" s="154"/>
      <c r="C599" s="146"/>
      <c r="D599" s="146"/>
      <c r="E599" s="146"/>
      <c r="F599" s="155"/>
      <c r="G599" s="146"/>
      <c r="H599" s="126"/>
      <c r="I599" s="132"/>
      <c r="J599" s="146"/>
      <c r="K599" s="126"/>
      <c r="L599" s="126"/>
      <c r="M599" s="134" t="str">
        <f t="shared" si="1"/>
        <v/>
      </c>
      <c r="N599" s="134" t="str">
        <f t="array" ref="N599">IF(M599="LOANED / ON KOL", INDEX('Step 3 FOC Request'!$G:$G, MATCH(1, ('Step 3 FOC Request'!$A:$A=W599) * ('Step 3 FOC Request'!$F:$F=E599), 0)), "-")</f>
        <v>-</v>
      </c>
      <c r="O599" s="126"/>
      <c r="P599" s="126"/>
      <c r="Q599" s="126"/>
      <c r="R599" s="126"/>
      <c r="U599" s="126"/>
      <c r="V599" s="126"/>
      <c r="W599" s="135">
        <f>MAXIFS('Step 3 FOC Request'!$A:$A, 'Step 3 FOC Request'!$F:$F, $E599)</f>
        <v>0</v>
      </c>
      <c r="X599" s="135">
        <f>MAXIFS('Step 4 FOC Return'!$A:$A, 'Step 4 FOC Return'!$E:$E, $E599)</f>
        <v>0</v>
      </c>
      <c r="Y599" s="126"/>
    </row>
    <row r="600">
      <c r="A600" s="126"/>
      <c r="B600" s="154"/>
      <c r="C600" s="146"/>
      <c r="D600" s="146"/>
      <c r="E600" s="146"/>
      <c r="F600" s="155"/>
      <c r="G600" s="146"/>
      <c r="H600" s="126"/>
      <c r="I600" s="132"/>
      <c r="J600" s="146"/>
      <c r="K600" s="126"/>
      <c r="L600" s="126"/>
      <c r="M600" s="134" t="str">
        <f t="shared" si="1"/>
        <v/>
      </c>
      <c r="N600" s="134" t="str">
        <f t="array" ref="N600">IF(M600="LOANED / ON KOL", INDEX('Step 3 FOC Request'!$G:$G, MATCH(1, ('Step 3 FOC Request'!$A:$A=W600) * ('Step 3 FOC Request'!$F:$F=E600), 0)), "-")</f>
        <v>-</v>
      </c>
      <c r="O600" s="126"/>
      <c r="P600" s="126"/>
      <c r="Q600" s="126"/>
      <c r="R600" s="126"/>
      <c r="U600" s="126"/>
      <c r="V600" s="126"/>
      <c r="W600" s="135">
        <f>MAXIFS('Step 3 FOC Request'!$A:$A, 'Step 3 FOC Request'!$F:$F, $E600)</f>
        <v>0</v>
      </c>
      <c r="X600" s="135">
        <f>MAXIFS('Step 4 FOC Return'!$A:$A, 'Step 4 FOC Return'!$E:$E, $E600)</f>
        <v>0</v>
      </c>
      <c r="Y600" s="126"/>
    </row>
    <row r="601">
      <c r="A601" s="126"/>
      <c r="B601" s="154"/>
      <c r="C601" s="146"/>
      <c r="D601" s="146"/>
      <c r="E601" s="146"/>
      <c r="F601" s="155"/>
      <c r="G601" s="146"/>
      <c r="H601" s="126"/>
      <c r="I601" s="132"/>
      <c r="J601" s="146"/>
      <c r="K601" s="126"/>
      <c r="L601" s="126"/>
      <c r="M601" s="134" t="str">
        <f t="shared" si="1"/>
        <v/>
      </c>
      <c r="N601" s="134" t="str">
        <f t="array" ref="N601">IF(M601="LOANED / ON KOL", INDEX('Step 3 FOC Request'!$G:$G, MATCH(1, ('Step 3 FOC Request'!$A:$A=W601) * ('Step 3 FOC Request'!$F:$F=E601), 0)), "-")</f>
        <v>-</v>
      </c>
      <c r="O601" s="126"/>
      <c r="P601" s="126"/>
      <c r="Q601" s="126"/>
      <c r="R601" s="126"/>
      <c r="U601" s="126"/>
      <c r="V601" s="126"/>
      <c r="W601" s="135">
        <f>MAXIFS('Step 3 FOC Request'!$A:$A, 'Step 3 FOC Request'!$F:$F, $E601)</f>
        <v>0</v>
      </c>
      <c r="X601" s="135">
        <f>MAXIFS('Step 4 FOC Return'!$A:$A, 'Step 4 FOC Return'!$E:$E, $E601)</f>
        <v>0</v>
      </c>
      <c r="Y601" s="126"/>
    </row>
    <row r="602">
      <c r="A602" s="126"/>
      <c r="B602" s="154"/>
      <c r="C602" s="146"/>
      <c r="D602" s="146"/>
      <c r="E602" s="146"/>
      <c r="F602" s="155"/>
      <c r="G602" s="146"/>
      <c r="H602" s="126"/>
      <c r="I602" s="132"/>
      <c r="J602" s="146"/>
      <c r="K602" s="126"/>
      <c r="L602" s="126"/>
      <c r="M602" s="134" t="str">
        <f t="shared" si="1"/>
        <v/>
      </c>
      <c r="N602" s="134" t="str">
        <f t="array" ref="N602">IF(M602="LOANED / ON KOL", INDEX('Step 3 FOC Request'!$G:$G, MATCH(1, ('Step 3 FOC Request'!$A:$A=W602) * ('Step 3 FOC Request'!$F:$F=E602), 0)), "-")</f>
        <v>-</v>
      </c>
      <c r="O602" s="126"/>
      <c r="P602" s="126"/>
      <c r="Q602" s="126"/>
      <c r="R602" s="126"/>
      <c r="U602" s="126"/>
      <c r="V602" s="126"/>
      <c r="W602" s="135">
        <f>MAXIFS('Step 3 FOC Request'!$A:$A, 'Step 3 FOC Request'!$F:$F, $E602)</f>
        <v>0</v>
      </c>
      <c r="X602" s="135">
        <f>MAXIFS('Step 4 FOC Return'!$A:$A, 'Step 4 FOC Return'!$E:$E, $E602)</f>
        <v>0</v>
      </c>
      <c r="Y602" s="126"/>
    </row>
    <row r="603">
      <c r="A603" s="126"/>
      <c r="B603" s="154"/>
      <c r="C603" s="146"/>
      <c r="D603" s="146"/>
      <c r="E603" s="146"/>
      <c r="F603" s="155"/>
      <c r="G603" s="146"/>
      <c r="H603" s="126"/>
      <c r="I603" s="132"/>
      <c r="J603" s="146"/>
      <c r="K603" s="126"/>
      <c r="L603" s="126"/>
      <c r="M603" s="134" t="str">
        <f t="shared" si="1"/>
        <v/>
      </c>
      <c r="N603" s="134" t="str">
        <f t="array" ref="N603">IF(M603="LOANED / ON KOL", INDEX('Step 3 FOC Request'!$G:$G, MATCH(1, ('Step 3 FOC Request'!$A:$A=W603) * ('Step 3 FOC Request'!$F:$F=E603), 0)), "-")</f>
        <v>-</v>
      </c>
      <c r="O603" s="126"/>
      <c r="P603" s="126"/>
      <c r="Q603" s="126"/>
      <c r="R603" s="126"/>
      <c r="U603" s="126"/>
      <c r="V603" s="126"/>
      <c r="W603" s="135">
        <f>MAXIFS('Step 3 FOC Request'!$A:$A, 'Step 3 FOC Request'!$F:$F, $E603)</f>
        <v>0</v>
      </c>
      <c r="X603" s="135">
        <f>MAXIFS('Step 4 FOC Return'!$A:$A, 'Step 4 FOC Return'!$E:$E, $E603)</f>
        <v>0</v>
      </c>
      <c r="Y603" s="126"/>
    </row>
    <row r="604">
      <c r="A604" s="126"/>
      <c r="B604" s="154"/>
      <c r="C604" s="146"/>
      <c r="D604" s="146"/>
      <c r="E604" s="146"/>
      <c r="F604" s="155"/>
      <c r="G604" s="146"/>
      <c r="H604" s="126"/>
      <c r="I604" s="132"/>
      <c r="J604" s="146"/>
      <c r="K604" s="126"/>
      <c r="L604" s="126"/>
      <c r="M604" s="134" t="str">
        <f t="shared" si="1"/>
        <v/>
      </c>
      <c r="N604" s="134" t="str">
        <f t="array" ref="N604">IF(M604="LOANED / ON KOL", INDEX('Step 3 FOC Request'!$G:$G, MATCH(1, ('Step 3 FOC Request'!$A:$A=W604) * ('Step 3 FOC Request'!$F:$F=E604), 0)), "-")</f>
        <v>-</v>
      </c>
      <c r="O604" s="126"/>
      <c r="P604" s="126"/>
      <c r="Q604" s="126"/>
      <c r="R604" s="126"/>
      <c r="U604" s="126"/>
      <c r="V604" s="126"/>
      <c r="W604" s="135">
        <f>MAXIFS('Step 3 FOC Request'!$A:$A, 'Step 3 FOC Request'!$F:$F, $E604)</f>
        <v>0</v>
      </c>
      <c r="X604" s="135">
        <f>MAXIFS('Step 4 FOC Return'!$A:$A, 'Step 4 FOC Return'!$E:$E, $E604)</f>
        <v>0</v>
      </c>
      <c r="Y604" s="126"/>
    </row>
    <row r="605">
      <c r="A605" s="126"/>
      <c r="B605" s="154"/>
      <c r="C605" s="146"/>
      <c r="D605" s="146"/>
      <c r="E605" s="146"/>
      <c r="F605" s="155"/>
      <c r="G605" s="146"/>
      <c r="H605" s="126"/>
      <c r="I605" s="132"/>
      <c r="J605" s="146"/>
      <c r="K605" s="126"/>
      <c r="L605" s="126"/>
      <c r="M605" s="134" t="str">
        <f t="shared" si="1"/>
        <v/>
      </c>
      <c r="N605" s="134" t="str">
        <f t="array" ref="N605">IF(M605="LOANED / ON KOL", INDEX('Step 3 FOC Request'!$G:$G, MATCH(1, ('Step 3 FOC Request'!$A:$A=W605) * ('Step 3 FOC Request'!$F:$F=E605), 0)), "-")</f>
        <v>-</v>
      </c>
      <c r="O605" s="126"/>
      <c r="P605" s="126"/>
      <c r="Q605" s="126"/>
      <c r="R605" s="126"/>
      <c r="U605" s="126"/>
      <c r="V605" s="126"/>
      <c r="W605" s="135">
        <f>MAXIFS('Step 3 FOC Request'!$A:$A, 'Step 3 FOC Request'!$F:$F, $E605)</f>
        <v>0</v>
      </c>
      <c r="X605" s="135">
        <f>MAXIFS('Step 4 FOC Return'!$A:$A, 'Step 4 FOC Return'!$E:$E, $E605)</f>
        <v>0</v>
      </c>
      <c r="Y605" s="126"/>
    </row>
    <row r="606">
      <c r="A606" s="126"/>
      <c r="B606" s="154"/>
      <c r="C606" s="146"/>
      <c r="D606" s="146"/>
      <c r="E606" s="146"/>
      <c r="F606" s="155"/>
      <c r="G606" s="146"/>
      <c r="H606" s="126"/>
      <c r="I606" s="132"/>
      <c r="J606" s="146"/>
      <c r="K606" s="126"/>
      <c r="L606" s="126"/>
      <c r="M606" s="134" t="str">
        <f t="shared" si="1"/>
        <v/>
      </c>
      <c r="N606" s="134" t="str">
        <f t="array" ref="N606">IF(M606="LOANED / ON KOL", INDEX('Step 3 FOC Request'!$G:$G, MATCH(1, ('Step 3 FOC Request'!$A:$A=W606) * ('Step 3 FOC Request'!$F:$F=E606), 0)), "-")</f>
        <v>-</v>
      </c>
      <c r="O606" s="126"/>
      <c r="P606" s="126"/>
      <c r="Q606" s="126"/>
      <c r="R606" s="126"/>
      <c r="U606" s="126"/>
      <c r="V606" s="126"/>
      <c r="W606" s="135">
        <f>MAXIFS('Step 3 FOC Request'!$A:$A, 'Step 3 FOC Request'!$F:$F, $E606)</f>
        <v>0</v>
      </c>
      <c r="X606" s="135">
        <f>MAXIFS('Step 4 FOC Return'!$A:$A, 'Step 4 FOC Return'!$E:$E, $E606)</f>
        <v>0</v>
      </c>
      <c r="Y606" s="126"/>
    </row>
    <row r="607">
      <c r="A607" s="126"/>
      <c r="B607" s="154"/>
      <c r="C607" s="146"/>
      <c r="D607" s="146"/>
      <c r="E607" s="146"/>
      <c r="F607" s="155"/>
      <c r="G607" s="146"/>
      <c r="H607" s="126"/>
      <c r="I607" s="132"/>
      <c r="J607" s="146"/>
      <c r="K607" s="126"/>
      <c r="L607" s="126"/>
      <c r="M607" s="134" t="str">
        <f t="shared" si="1"/>
        <v/>
      </c>
      <c r="N607" s="134" t="str">
        <f t="array" ref="N607">IF(M607="LOANED / ON KOL", INDEX('Step 3 FOC Request'!$G:$G, MATCH(1, ('Step 3 FOC Request'!$A:$A=W607) * ('Step 3 FOC Request'!$F:$F=E607), 0)), "-")</f>
        <v>-</v>
      </c>
      <c r="O607" s="126"/>
      <c r="P607" s="126"/>
      <c r="Q607" s="126"/>
      <c r="R607" s="126"/>
      <c r="U607" s="126"/>
      <c r="V607" s="126"/>
      <c r="W607" s="135">
        <f>MAXIFS('Step 3 FOC Request'!$A:$A, 'Step 3 FOC Request'!$F:$F, $E607)</f>
        <v>0</v>
      </c>
      <c r="X607" s="135">
        <f>MAXIFS('Step 4 FOC Return'!$A:$A, 'Step 4 FOC Return'!$E:$E, $E607)</f>
        <v>0</v>
      </c>
      <c r="Y607" s="126"/>
    </row>
    <row r="608">
      <c r="A608" s="126"/>
      <c r="B608" s="154"/>
      <c r="C608" s="146"/>
      <c r="D608" s="146"/>
      <c r="E608" s="146"/>
      <c r="F608" s="155"/>
      <c r="G608" s="146"/>
      <c r="H608" s="126"/>
      <c r="I608" s="132"/>
      <c r="J608" s="146"/>
      <c r="K608" s="126"/>
      <c r="L608" s="126"/>
      <c r="M608" s="134" t="str">
        <f t="shared" si="1"/>
        <v/>
      </c>
      <c r="N608" s="134" t="str">
        <f t="array" ref="N608">IF(M608="LOANED / ON KOL", INDEX('Step 3 FOC Request'!$G:$G, MATCH(1, ('Step 3 FOC Request'!$A:$A=W608) * ('Step 3 FOC Request'!$F:$F=E608), 0)), "-")</f>
        <v>-</v>
      </c>
      <c r="O608" s="126"/>
      <c r="P608" s="126"/>
      <c r="Q608" s="126"/>
      <c r="R608" s="126"/>
      <c r="U608" s="126"/>
      <c r="V608" s="126"/>
      <c r="W608" s="135">
        <f>MAXIFS('Step 3 FOC Request'!$A:$A, 'Step 3 FOC Request'!$F:$F, $E608)</f>
        <v>0</v>
      </c>
      <c r="X608" s="135">
        <f>MAXIFS('Step 4 FOC Return'!$A:$A, 'Step 4 FOC Return'!$E:$E, $E608)</f>
        <v>0</v>
      </c>
      <c r="Y608" s="126"/>
    </row>
    <row r="609">
      <c r="A609" s="126"/>
      <c r="B609" s="154"/>
      <c r="C609" s="146"/>
      <c r="D609" s="146"/>
      <c r="E609" s="146"/>
      <c r="F609" s="155"/>
      <c r="G609" s="146"/>
      <c r="H609" s="126"/>
      <c r="I609" s="132"/>
      <c r="J609" s="146"/>
      <c r="K609" s="126"/>
      <c r="L609" s="126"/>
      <c r="M609" s="134" t="str">
        <f t="shared" si="1"/>
        <v/>
      </c>
      <c r="N609" s="134" t="str">
        <f t="array" ref="N609">IF(M609="LOANED / ON KOL", INDEX('Step 3 FOC Request'!$G:$G, MATCH(1, ('Step 3 FOC Request'!$A:$A=W609) * ('Step 3 FOC Request'!$F:$F=E609), 0)), "-")</f>
        <v>-</v>
      </c>
      <c r="O609" s="126"/>
      <c r="P609" s="126"/>
      <c r="Q609" s="126"/>
      <c r="R609" s="126"/>
      <c r="U609" s="126"/>
      <c r="V609" s="126"/>
      <c r="W609" s="135">
        <f>MAXIFS('Step 3 FOC Request'!$A:$A, 'Step 3 FOC Request'!$F:$F, $E609)</f>
        <v>0</v>
      </c>
      <c r="X609" s="135">
        <f>MAXIFS('Step 4 FOC Return'!$A:$A, 'Step 4 FOC Return'!$E:$E, $E609)</f>
        <v>0</v>
      </c>
      <c r="Y609" s="126"/>
    </row>
    <row r="610">
      <c r="A610" s="126"/>
      <c r="B610" s="154"/>
      <c r="C610" s="146"/>
      <c r="D610" s="146"/>
      <c r="E610" s="146"/>
      <c r="F610" s="155"/>
      <c r="G610" s="146"/>
      <c r="H610" s="126"/>
      <c r="I610" s="132"/>
      <c r="J610" s="146"/>
      <c r="K610" s="126"/>
      <c r="L610" s="126"/>
      <c r="M610" s="134" t="str">
        <f t="shared" si="1"/>
        <v/>
      </c>
      <c r="N610" s="134" t="str">
        <f t="array" ref="N610">IF(M610="LOANED / ON KOL", INDEX('Step 3 FOC Request'!$G:$G, MATCH(1, ('Step 3 FOC Request'!$A:$A=W610) * ('Step 3 FOC Request'!$F:$F=E610), 0)), "-")</f>
        <v>-</v>
      </c>
      <c r="O610" s="126"/>
      <c r="P610" s="126"/>
      <c r="Q610" s="126"/>
      <c r="R610" s="126"/>
      <c r="U610" s="126"/>
      <c r="V610" s="126"/>
      <c r="W610" s="135">
        <f>MAXIFS('Step 3 FOC Request'!$A:$A, 'Step 3 FOC Request'!$F:$F, $E610)</f>
        <v>0</v>
      </c>
      <c r="X610" s="135">
        <f>MAXIFS('Step 4 FOC Return'!$A:$A, 'Step 4 FOC Return'!$E:$E, $E610)</f>
        <v>0</v>
      </c>
      <c r="Y610" s="126"/>
    </row>
    <row r="611">
      <c r="A611" s="126"/>
      <c r="B611" s="154"/>
      <c r="C611" s="146"/>
      <c r="D611" s="146"/>
      <c r="E611" s="146"/>
      <c r="F611" s="155"/>
      <c r="G611" s="146"/>
      <c r="H611" s="126"/>
      <c r="I611" s="132"/>
      <c r="J611" s="146"/>
      <c r="K611" s="126"/>
      <c r="L611" s="126"/>
      <c r="M611" s="134" t="str">
        <f t="shared" si="1"/>
        <v/>
      </c>
      <c r="N611" s="134" t="str">
        <f t="array" ref="N611">IF(M611="LOANED / ON KOL", INDEX('Step 3 FOC Request'!$G:$G, MATCH(1, ('Step 3 FOC Request'!$A:$A=W611) * ('Step 3 FOC Request'!$F:$F=E611), 0)), "-")</f>
        <v>-</v>
      </c>
      <c r="O611" s="126"/>
      <c r="P611" s="126"/>
      <c r="Q611" s="126"/>
      <c r="R611" s="126"/>
      <c r="U611" s="126"/>
      <c r="V611" s="126"/>
      <c r="W611" s="135">
        <f>MAXIFS('Step 3 FOC Request'!$A:$A, 'Step 3 FOC Request'!$F:$F, $E611)</f>
        <v>0</v>
      </c>
      <c r="X611" s="135">
        <f>MAXIFS('Step 4 FOC Return'!$A:$A, 'Step 4 FOC Return'!$E:$E, $E611)</f>
        <v>0</v>
      </c>
      <c r="Y611" s="126"/>
    </row>
    <row r="612">
      <c r="A612" s="126"/>
      <c r="B612" s="154"/>
      <c r="C612" s="146"/>
      <c r="D612" s="146"/>
      <c r="E612" s="146"/>
      <c r="F612" s="155"/>
      <c r="G612" s="146"/>
      <c r="H612" s="126"/>
      <c r="I612" s="132"/>
      <c r="J612" s="146"/>
      <c r="K612" s="126"/>
      <c r="L612" s="126"/>
      <c r="M612" s="134" t="str">
        <f t="shared" si="1"/>
        <v/>
      </c>
      <c r="N612" s="134" t="str">
        <f t="array" ref="N612">IF(M612="LOANED / ON KOL", INDEX('Step 3 FOC Request'!$G:$G, MATCH(1, ('Step 3 FOC Request'!$A:$A=W612) * ('Step 3 FOC Request'!$F:$F=E612), 0)), "-")</f>
        <v>-</v>
      </c>
      <c r="O612" s="126"/>
      <c r="P612" s="126"/>
      <c r="Q612" s="126"/>
      <c r="R612" s="126"/>
      <c r="U612" s="126"/>
      <c r="V612" s="126"/>
      <c r="W612" s="135">
        <f>MAXIFS('Step 3 FOC Request'!$A:$A, 'Step 3 FOC Request'!$F:$F, $E612)</f>
        <v>0</v>
      </c>
      <c r="X612" s="135">
        <f>MAXIFS('Step 4 FOC Return'!$A:$A, 'Step 4 FOC Return'!$E:$E, $E612)</f>
        <v>0</v>
      </c>
      <c r="Y612" s="126"/>
    </row>
    <row r="613">
      <c r="A613" s="126"/>
      <c r="B613" s="154"/>
      <c r="C613" s="146"/>
      <c r="D613" s="146"/>
      <c r="E613" s="146"/>
      <c r="F613" s="155"/>
      <c r="G613" s="146"/>
      <c r="H613" s="126"/>
      <c r="I613" s="132"/>
      <c r="J613" s="146"/>
      <c r="K613" s="126"/>
      <c r="L613" s="126"/>
      <c r="M613" s="134" t="str">
        <f t="shared" si="1"/>
        <v/>
      </c>
      <c r="N613" s="134" t="str">
        <f t="array" ref="N613">IF(M613="LOANED / ON KOL", INDEX('Step 3 FOC Request'!$G:$G, MATCH(1, ('Step 3 FOC Request'!$A:$A=W613) * ('Step 3 FOC Request'!$F:$F=E613), 0)), "-")</f>
        <v>-</v>
      </c>
      <c r="O613" s="126"/>
      <c r="P613" s="126"/>
      <c r="Q613" s="126"/>
      <c r="R613" s="126"/>
      <c r="U613" s="126"/>
      <c r="V613" s="126"/>
      <c r="W613" s="135">
        <f>MAXIFS('Step 3 FOC Request'!$A:$A, 'Step 3 FOC Request'!$F:$F, $E613)</f>
        <v>0</v>
      </c>
      <c r="X613" s="135">
        <f>MAXIFS('Step 4 FOC Return'!$A:$A, 'Step 4 FOC Return'!$E:$E, $E613)</f>
        <v>0</v>
      </c>
      <c r="Y613" s="126"/>
    </row>
    <row r="614">
      <c r="A614" s="126"/>
      <c r="B614" s="154"/>
      <c r="C614" s="146"/>
      <c r="D614" s="146"/>
      <c r="E614" s="146"/>
      <c r="F614" s="155"/>
      <c r="G614" s="146"/>
      <c r="H614" s="126"/>
      <c r="I614" s="132"/>
      <c r="J614" s="146"/>
      <c r="K614" s="126"/>
      <c r="L614" s="126"/>
      <c r="M614" s="134" t="str">
        <f t="shared" si="1"/>
        <v/>
      </c>
      <c r="N614" s="134" t="str">
        <f t="array" ref="N614">IF(M614="LOANED / ON KOL", INDEX('Step 3 FOC Request'!$G:$G, MATCH(1, ('Step 3 FOC Request'!$A:$A=W614) * ('Step 3 FOC Request'!$F:$F=E614), 0)), "-")</f>
        <v>-</v>
      </c>
      <c r="O614" s="126"/>
      <c r="P614" s="126"/>
      <c r="Q614" s="126"/>
      <c r="R614" s="126"/>
      <c r="U614" s="126"/>
      <c r="V614" s="126"/>
      <c r="W614" s="135">
        <f>MAXIFS('Step 3 FOC Request'!$A:$A, 'Step 3 FOC Request'!$F:$F, $E614)</f>
        <v>0</v>
      </c>
      <c r="X614" s="135">
        <f>MAXIFS('Step 4 FOC Return'!$A:$A, 'Step 4 FOC Return'!$E:$E, $E614)</f>
        <v>0</v>
      </c>
      <c r="Y614" s="126"/>
    </row>
    <row r="615">
      <c r="A615" s="126"/>
      <c r="B615" s="154"/>
      <c r="C615" s="146"/>
      <c r="D615" s="146"/>
      <c r="E615" s="146"/>
      <c r="F615" s="155"/>
      <c r="G615" s="146"/>
      <c r="H615" s="126"/>
      <c r="I615" s="132"/>
      <c r="J615" s="146"/>
      <c r="K615" s="126"/>
      <c r="L615" s="126"/>
      <c r="M615" s="134" t="str">
        <f t="shared" si="1"/>
        <v/>
      </c>
      <c r="N615" s="134" t="str">
        <f t="array" ref="N615">IF(M615="LOANED / ON KOL", INDEX('Step 3 FOC Request'!$G:$G, MATCH(1, ('Step 3 FOC Request'!$A:$A=W615) * ('Step 3 FOC Request'!$F:$F=E615), 0)), "-")</f>
        <v>-</v>
      </c>
      <c r="O615" s="126"/>
      <c r="P615" s="126"/>
      <c r="Q615" s="126"/>
      <c r="R615" s="126"/>
      <c r="U615" s="126"/>
      <c r="V615" s="126"/>
      <c r="W615" s="135">
        <f>MAXIFS('Step 3 FOC Request'!$A:$A, 'Step 3 FOC Request'!$F:$F, $E615)</f>
        <v>0</v>
      </c>
      <c r="X615" s="135">
        <f>MAXIFS('Step 4 FOC Return'!$A:$A, 'Step 4 FOC Return'!$E:$E, $E615)</f>
        <v>0</v>
      </c>
      <c r="Y615" s="126"/>
    </row>
    <row r="616">
      <c r="A616" s="126"/>
      <c r="B616" s="154"/>
      <c r="C616" s="146"/>
      <c r="D616" s="146"/>
      <c r="E616" s="146"/>
      <c r="F616" s="155"/>
      <c r="G616" s="146"/>
      <c r="H616" s="126"/>
      <c r="I616" s="132"/>
      <c r="J616" s="146"/>
      <c r="K616" s="126"/>
      <c r="L616" s="126"/>
      <c r="M616" s="134" t="str">
        <f t="shared" si="1"/>
        <v/>
      </c>
      <c r="N616" s="134" t="str">
        <f t="array" ref="N616">IF(M616="LOANED / ON KOL", INDEX('Step 3 FOC Request'!$G:$G, MATCH(1, ('Step 3 FOC Request'!$A:$A=W616) * ('Step 3 FOC Request'!$F:$F=E616), 0)), "-")</f>
        <v>-</v>
      </c>
      <c r="O616" s="126"/>
      <c r="P616" s="126"/>
      <c r="Q616" s="126"/>
      <c r="R616" s="126"/>
      <c r="U616" s="126"/>
      <c r="V616" s="126"/>
      <c r="W616" s="135">
        <f>MAXIFS('Step 3 FOC Request'!$A:$A, 'Step 3 FOC Request'!$F:$F, $E616)</f>
        <v>0</v>
      </c>
      <c r="X616" s="135">
        <f>MAXIFS('Step 4 FOC Return'!$A:$A, 'Step 4 FOC Return'!$E:$E, $E616)</f>
        <v>0</v>
      </c>
      <c r="Y616" s="126"/>
    </row>
    <row r="617">
      <c r="A617" s="126"/>
      <c r="B617" s="154"/>
      <c r="C617" s="146"/>
      <c r="D617" s="146"/>
      <c r="E617" s="146"/>
      <c r="F617" s="155"/>
      <c r="G617" s="146"/>
      <c r="H617" s="126"/>
      <c r="I617" s="132"/>
      <c r="J617" s="146"/>
      <c r="K617" s="126"/>
      <c r="L617" s="126"/>
      <c r="M617" s="134" t="str">
        <f t="shared" si="1"/>
        <v/>
      </c>
      <c r="N617" s="134" t="str">
        <f t="array" ref="N617">IF(M617="LOANED / ON KOL", INDEX('Step 3 FOC Request'!$G:$G, MATCH(1, ('Step 3 FOC Request'!$A:$A=W617) * ('Step 3 FOC Request'!$F:$F=E617), 0)), "-")</f>
        <v>-</v>
      </c>
      <c r="O617" s="126"/>
      <c r="P617" s="126"/>
      <c r="Q617" s="126"/>
      <c r="R617" s="126"/>
      <c r="U617" s="126"/>
      <c r="V617" s="126"/>
      <c r="W617" s="135">
        <f>MAXIFS('Step 3 FOC Request'!$A:$A, 'Step 3 FOC Request'!$F:$F, $E617)</f>
        <v>0</v>
      </c>
      <c r="X617" s="135">
        <f>MAXIFS('Step 4 FOC Return'!$A:$A, 'Step 4 FOC Return'!$E:$E, $E617)</f>
        <v>0</v>
      </c>
      <c r="Y617" s="126"/>
    </row>
    <row r="618">
      <c r="A618" s="126"/>
      <c r="B618" s="154"/>
      <c r="C618" s="146"/>
      <c r="D618" s="146"/>
      <c r="E618" s="146"/>
      <c r="F618" s="155"/>
      <c r="G618" s="146"/>
      <c r="H618" s="126"/>
      <c r="I618" s="132"/>
      <c r="J618" s="146"/>
      <c r="K618" s="126"/>
      <c r="L618" s="126"/>
      <c r="M618" s="134" t="str">
        <f t="shared" si="1"/>
        <v/>
      </c>
      <c r="N618" s="134" t="str">
        <f t="array" ref="N618">IF(M618="LOANED / ON KOL", INDEX('Step 3 FOC Request'!$G:$G, MATCH(1, ('Step 3 FOC Request'!$A:$A=W618) * ('Step 3 FOC Request'!$F:$F=E618), 0)), "-")</f>
        <v>-</v>
      </c>
      <c r="O618" s="126"/>
      <c r="P618" s="126"/>
      <c r="Q618" s="126"/>
      <c r="R618" s="126"/>
      <c r="U618" s="126"/>
      <c r="V618" s="126"/>
      <c r="W618" s="135">
        <f>MAXIFS('Step 3 FOC Request'!$A:$A, 'Step 3 FOC Request'!$F:$F, $E618)</f>
        <v>0</v>
      </c>
      <c r="X618" s="135">
        <f>MAXIFS('Step 4 FOC Return'!$A:$A, 'Step 4 FOC Return'!$E:$E, $E618)</f>
        <v>0</v>
      </c>
      <c r="Y618" s="126"/>
    </row>
    <row r="619">
      <c r="A619" s="126"/>
      <c r="B619" s="154"/>
      <c r="C619" s="146"/>
      <c r="D619" s="146"/>
      <c r="E619" s="146"/>
      <c r="F619" s="155"/>
      <c r="G619" s="146"/>
      <c r="H619" s="126"/>
      <c r="I619" s="132"/>
      <c r="J619" s="146"/>
      <c r="K619" s="126"/>
      <c r="L619" s="126"/>
      <c r="M619" s="134" t="str">
        <f t="shared" si="1"/>
        <v/>
      </c>
      <c r="N619" s="134" t="str">
        <f t="array" ref="N619">IF(M619="LOANED / ON KOL", INDEX('Step 3 FOC Request'!$G:$G, MATCH(1, ('Step 3 FOC Request'!$A:$A=W619) * ('Step 3 FOC Request'!$F:$F=E619), 0)), "-")</f>
        <v>-</v>
      </c>
      <c r="O619" s="126"/>
      <c r="P619" s="126"/>
      <c r="Q619" s="126"/>
      <c r="R619" s="126"/>
      <c r="U619" s="126"/>
      <c r="V619" s="126"/>
      <c r="W619" s="135">
        <f>MAXIFS('Step 3 FOC Request'!$A:$A, 'Step 3 FOC Request'!$F:$F, $E619)</f>
        <v>0</v>
      </c>
      <c r="X619" s="135">
        <f>MAXIFS('Step 4 FOC Return'!$A:$A, 'Step 4 FOC Return'!$E:$E, $E619)</f>
        <v>0</v>
      </c>
      <c r="Y619" s="126"/>
    </row>
    <row r="620">
      <c r="A620" s="126"/>
      <c r="B620" s="154"/>
      <c r="C620" s="146"/>
      <c r="D620" s="146"/>
      <c r="E620" s="146"/>
      <c r="F620" s="155"/>
      <c r="G620" s="146"/>
      <c r="H620" s="126"/>
      <c r="I620" s="132"/>
      <c r="J620" s="146"/>
      <c r="K620" s="126"/>
      <c r="L620" s="126"/>
      <c r="M620" s="134" t="str">
        <f t="shared" si="1"/>
        <v/>
      </c>
      <c r="N620" s="134" t="str">
        <f t="array" ref="N620">IF(M620="LOANED / ON KOL", INDEX('Step 3 FOC Request'!$G:$G, MATCH(1, ('Step 3 FOC Request'!$A:$A=W620) * ('Step 3 FOC Request'!$F:$F=E620), 0)), "-")</f>
        <v>-</v>
      </c>
      <c r="O620" s="126"/>
      <c r="P620" s="126"/>
      <c r="Q620" s="126"/>
      <c r="R620" s="126"/>
      <c r="U620" s="126"/>
      <c r="V620" s="126"/>
      <c r="W620" s="135">
        <f>MAXIFS('Step 3 FOC Request'!$A:$A, 'Step 3 FOC Request'!$F:$F, $E620)</f>
        <v>0</v>
      </c>
      <c r="X620" s="135">
        <f>MAXIFS('Step 4 FOC Return'!$A:$A, 'Step 4 FOC Return'!$E:$E, $E620)</f>
        <v>0</v>
      </c>
      <c r="Y620" s="126"/>
    </row>
    <row r="621">
      <c r="A621" s="126"/>
      <c r="B621" s="154"/>
      <c r="C621" s="146"/>
      <c r="D621" s="146"/>
      <c r="E621" s="146"/>
      <c r="F621" s="155"/>
      <c r="G621" s="146"/>
      <c r="H621" s="126"/>
      <c r="I621" s="132"/>
      <c r="J621" s="146"/>
      <c r="K621" s="126"/>
      <c r="L621" s="126"/>
      <c r="M621" s="134" t="str">
        <f t="shared" si="1"/>
        <v/>
      </c>
      <c r="N621" s="134" t="str">
        <f t="array" ref="N621">IF(M621="LOANED / ON KOL", INDEX('Step 3 FOC Request'!$G:$G, MATCH(1, ('Step 3 FOC Request'!$A:$A=W621) * ('Step 3 FOC Request'!$F:$F=E621), 0)), "-")</f>
        <v>-</v>
      </c>
      <c r="O621" s="126"/>
      <c r="P621" s="126"/>
      <c r="Q621" s="126"/>
      <c r="R621" s="126"/>
      <c r="U621" s="126"/>
      <c r="V621" s="126"/>
      <c r="W621" s="135">
        <f>MAXIFS('Step 3 FOC Request'!$A:$A, 'Step 3 FOC Request'!$F:$F, $E621)</f>
        <v>0</v>
      </c>
      <c r="X621" s="135">
        <f>MAXIFS('Step 4 FOC Return'!$A:$A, 'Step 4 FOC Return'!$E:$E, $E621)</f>
        <v>0</v>
      </c>
      <c r="Y621" s="126"/>
    </row>
    <row r="622">
      <c r="A622" s="126"/>
      <c r="B622" s="154"/>
      <c r="C622" s="146"/>
      <c r="D622" s="146"/>
      <c r="E622" s="146"/>
      <c r="F622" s="155"/>
      <c r="G622" s="146"/>
      <c r="H622" s="126"/>
      <c r="I622" s="132"/>
      <c r="J622" s="146"/>
      <c r="K622" s="126"/>
      <c r="L622" s="126"/>
      <c r="M622" s="134" t="str">
        <f t="shared" si="1"/>
        <v/>
      </c>
      <c r="N622" s="134" t="str">
        <f t="array" ref="N622">IF(M622="LOANED / ON KOL", INDEX('Step 3 FOC Request'!$G:$G, MATCH(1, ('Step 3 FOC Request'!$A:$A=W622) * ('Step 3 FOC Request'!$F:$F=E622), 0)), "-")</f>
        <v>-</v>
      </c>
      <c r="O622" s="126"/>
      <c r="P622" s="126"/>
      <c r="Q622" s="126"/>
      <c r="R622" s="126"/>
      <c r="U622" s="126"/>
      <c r="V622" s="126"/>
      <c r="W622" s="135">
        <f>MAXIFS('Step 3 FOC Request'!$A:$A, 'Step 3 FOC Request'!$F:$F, $E622)</f>
        <v>0</v>
      </c>
      <c r="X622" s="135">
        <f>MAXIFS('Step 4 FOC Return'!$A:$A, 'Step 4 FOC Return'!$E:$E, $E622)</f>
        <v>0</v>
      </c>
      <c r="Y622" s="126"/>
    </row>
    <row r="623">
      <c r="A623" s="126"/>
      <c r="B623" s="154"/>
      <c r="C623" s="146"/>
      <c r="D623" s="146"/>
      <c r="E623" s="146"/>
      <c r="F623" s="155"/>
      <c r="G623" s="146"/>
      <c r="H623" s="126"/>
      <c r="I623" s="132"/>
      <c r="J623" s="146"/>
      <c r="K623" s="126"/>
      <c r="L623" s="126"/>
      <c r="M623" s="134" t="str">
        <f t="shared" si="1"/>
        <v/>
      </c>
      <c r="N623" s="134" t="str">
        <f t="array" ref="N623">IF(M623="LOANED / ON KOL", INDEX('Step 3 FOC Request'!$G:$G, MATCH(1, ('Step 3 FOC Request'!$A:$A=W623) * ('Step 3 FOC Request'!$F:$F=E623), 0)), "-")</f>
        <v>-</v>
      </c>
      <c r="O623" s="126"/>
      <c r="P623" s="126"/>
      <c r="Q623" s="126"/>
      <c r="R623" s="126"/>
      <c r="U623" s="126"/>
      <c r="V623" s="126"/>
      <c r="W623" s="135">
        <f>MAXIFS('Step 3 FOC Request'!$A:$A, 'Step 3 FOC Request'!$F:$F, $E623)</f>
        <v>0</v>
      </c>
      <c r="X623" s="135">
        <f>MAXIFS('Step 4 FOC Return'!$A:$A, 'Step 4 FOC Return'!$E:$E, $E623)</f>
        <v>0</v>
      </c>
      <c r="Y623" s="126"/>
    </row>
    <row r="624">
      <c r="A624" s="126"/>
      <c r="B624" s="154"/>
      <c r="C624" s="146"/>
      <c r="D624" s="146"/>
      <c r="E624" s="146"/>
      <c r="F624" s="155"/>
      <c r="G624" s="146"/>
      <c r="H624" s="126"/>
      <c r="I624" s="132"/>
      <c r="J624" s="146"/>
      <c r="K624" s="126"/>
      <c r="L624" s="126"/>
      <c r="M624" s="134" t="str">
        <f t="shared" si="1"/>
        <v/>
      </c>
      <c r="N624" s="134" t="str">
        <f t="array" ref="N624">IF(M624="LOANED / ON KOL", INDEX('Step 3 FOC Request'!$G:$G, MATCH(1, ('Step 3 FOC Request'!$A:$A=W624) * ('Step 3 FOC Request'!$F:$F=E624), 0)), "-")</f>
        <v>-</v>
      </c>
      <c r="O624" s="126"/>
      <c r="P624" s="126"/>
      <c r="Q624" s="126"/>
      <c r="R624" s="126"/>
      <c r="U624" s="126"/>
      <c r="V624" s="126"/>
      <c r="W624" s="135">
        <f>MAXIFS('Step 3 FOC Request'!$A:$A, 'Step 3 FOC Request'!$F:$F, $E624)</f>
        <v>0</v>
      </c>
      <c r="X624" s="135">
        <f>MAXIFS('Step 4 FOC Return'!$A:$A, 'Step 4 FOC Return'!$E:$E, $E624)</f>
        <v>0</v>
      </c>
      <c r="Y624" s="126"/>
    </row>
    <row r="625">
      <c r="A625" s="126"/>
      <c r="B625" s="154"/>
      <c r="C625" s="146"/>
      <c r="D625" s="146"/>
      <c r="E625" s="146"/>
      <c r="F625" s="155"/>
      <c r="G625" s="146"/>
      <c r="H625" s="126"/>
      <c r="I625" s="132"/>
      <c r="J625" s="146"/>
      <c r="K625" s="126"/>
      <c r="L625" s="126"/>
      <c r="M625" s="134" t="str">
        <f t="shared" si="1"/>
        <v/>
      </c>
      <c r="N625" s="134" t="str">
        <f t="array" ref="N625">IF(M625="LOANED / ON KOL", INDEX('Step 3 FOC Request'!$G:$G, MATCH(1, ('Step 3 FOC Request'!$A:$A=W625) * ('Step 3 FOC Request'!$F:$F=E625), 0)), "-")</f>
        <v>-</v>
      </c>
      <c r="O625" s="126"/>
      <c r="P625" s="126"/>
      <c r="Q625" s="126"/>
      <c r="R625" s="126"/>
      <c r="U625" s="126"/>
      <c r="V625" s="126"/>
      <c r="W625" s="135">
        <f>MAXIFS('Step 3 FOC Request'!$A:$A, 'Step 3 FOC Request'!$F:$F, $E625)</f>
        <v>0</v>
      </c>
      <c r="X625" s="135">
        <f>MAXIFS('Step 4 FOC Return'!$A:$A, 'Step 4 FOC Return'!$E:$E, $E625)</f>
        <v>0</v>
      </c>
      <c r="Y625" s="126"/>
    </row>
    <row r="626">
      <c r="A626" s="126"/>
      <c r="B626" s="154"/>
      <c r="C626" s="146"/>
      <c r="D626" s="146"/>
      <c r="E626" s="146"/>
      <c r="F626" s="155"/>
      <c r="G626" s="146"/>
      <c r="H626" s="126"/>
      <c r="I626" s="132"/>
      <c r="J626" s="146"/>
      <c r="K626" s="126"/>
      <c r="L626" s="126"/>
      <c r="M626" s="134" t="str">
        <f t="shared" si="1"/>
        <v/>
      </c>
      <c r="N626" s="134" t="str">
        <f t="array" ref="N626">IF(M626="LOANED / ON KOL", INDEX('Step 3 FOC Request'!$G:$G, MATCH(1, ('Step 3 FOC Request'!$A:$A=W626) * ('Step 3 FOC Request'!$F:$F=E626), 0)), "-")</f>
        <v>-</v>
      </c>
      <c r="O626" s="126"/>
      <c r="P626" s="126"/>
      <c r="Q626" s="126"/>
      <c r="R626" s="126"/>
      <c r="U626" s="126"/>
      <c r="V626" s="126"/>
      <c r="W626" s="135">
        <f>MAXIFS('Step 3 FOC Request'!$A:$A, 'Step 3 FOC Request'!$F:$F, $E626)</f>
        <v>0</v>
      </c>
      <c r="X626" s="135">
        <f>MAXIFS('Step 4 FOC Return'!$A:$A, 'Step 4 FOC Return'!$E:$E, $E626)</f>
        <v>0</v>
      </c>
      <c r="Y626" s="126"/>
    </row>
    <row r="627">
      <c r="A627" s="126"/>
      <c r="B627" s="154"/>
      <c r="C627" s="146"/>
      <c r="D627" s="146"/>
      <c r="E627" s="146"/>
      <c r="F627" s="155"/>
      <c r="G627" s="146"/>
      <c r="H627" s="126"/>
      <c r="I627" s="132"/>
      <c r="J627" s="146"/>
      <c r="K627" s="126"/>
      <c r="L627" s="126"/>
      <c r="M627" s="134" t="str">
        <f t="shared" si="1"/>
        <v/>
      </c>
      <c r="N627" s="134" t="str">
        <f t="array" ref="N627">IF(M627="LOANED / ON KOL", INDEX('Step 3 FOC Request'!$G:$G, MATCH(1, ('Step 3 FOC Request'!$A:$A=W627) * ('Step 3 FOC Request'!$F:$F=E627), 0)), "-")</f>
        <v>-</v>
      </c>
      <c r="O627" s="126"/>
      <c r="P627" s="126"/>
      <c r="Q627" s="126"/>
      <c r="R627" s="126"/>
      <c r="U627" s="126"/>
      <c r="V627" s="126"/>
      <c r="W627" s="135">
        <f>MAXIFS('Step 3 FOC Request'!$A:$A, 'Step 3 FOC Request'!$F:$F, $E627)</f>
        <v>0</v>
      </c>
      <c r="X627" s="135">
        <f>MAXIFS('Step 4 FOC Return'!$A:$A, 'Step 4 FOC Return'!$E:$E, $E627)</f>
        <v>0</v>
      </c>
      <c r="Y627" s="126"/>
    </row>
    <row r="628">
      <c r="A628" s="126"/>
      <c r="B628" s="154"/>
      <c r="C628" s="146"/>
      <c r="D628" s="146"/>
      <c r="E628" s="146"/>
      <c r="F628" s="155"/>
      <c r="G628" s="146"/>
      <c r="H628" s="126"/>
      <c r="I628" s="132"/>
      <c r="J628" s="146"/>
      <c r="K628" s="126"/>
      <c r="L628" s="126"/>
      <c r="M628" s="134" t="str">
        <f t="shared" si="1"/>
        <v/>
      </c>
      <c r="N628" s="134" t="str">
        <f t="array" ref="N628">IF(M628="LOANED / ON KOL", INDEX('Step 3 FOC Request'!$G:$G, MATCH(1, ('Step 3 FOC Request'!$A:$A=W628) * ('Step 3 FOC Request'!$F:$F=E628), 0)), "-")</f>
        <v>-</v>
      </c>
      <c r="O628" s="126"/>
      <c r="P628" s="126"/>
      <c r="Q628" s="126"/>
      <c r="R628" s="126"/>
      <c r="U628" s="126"/>
      <c r="V628" s="126"/>
      <c r="W628" s="135">
        <f>MAXIFS('Step 3 FOC Request'!$A:$A, 'Step 3 FOC Request'!$F:$F, $E628)</f>
        <v>0</v>
      </c>
      <c r="X628" s="135">
        <f>MAXIFS('Step 4 FOC Return'!$A:$A, 'Step 4 FOC Return'!$E:$E, $E628)</f>
        <v>0</v>
      </c>
      <c r="Y628" s="126"/>
    </row>
    <row r="629">
      <c r="A629" s="126"/>
      <c r="B629" s="154"/>
      <c r="C629" s="146"/>
      <c r="D629" s="146"/>
      <c r="E629" s="146"/>
      <c r="F629" s="155"/>
      <c r="G629" s="146"/>
      <c r="H629" s="126"/>
      <c r="I629" s="132"/>
      <c r="J629" s="146"/>
      <c r="K629" s="126"/>
      <c r="L629" s="126"/>
      <c r="M629" s="134" t="str">
        <f t="shared" si="1"/>
        <v/>
      </c>
      <c r="N629" s="134" t="str">
        <f t="array" ref="N629">IF(M629="LOANED / ON KOL", INDEX('Step 3 FOC Request'!$G:$G, MATCH(1, ('Step 3 FOC Request'!$A:$A=W629) * ('Step 3 FOC Request'!$F:$F=E629), 0)), "-")</f>
        <v>-</v>
      </c>
      <c r="O629" s="126"/>
      <c r="P629" s="126"/>
      <c r="Q629" s="126"/>
      <c r="R629" s="126"/>
      <c r="U629" s="126"/>
      <c r="V629" s="126"/>
      <c r="W629" s="135">
        <f>MAXIFS('Step 3 FOC Request'!$A:$A, 'Step 3 FOC Request'!$F:$F, $E629)</f>
        <v>0</v>
      </c>
      <c r="X629" s="135">
        <f>MAXIFS('Step 4 FOC Return'!$A:$A, 'Step 4 FOC Return'!$E:$E, $E629)</f>
        <v>0</v>
      </c>
      <c r="Y629" s="126"/>
    </row>
    <row r="630">
      <c r="A630" s="126"/>
      <c r="B630" s="154"/>
      <c r="C630" s="146"/>
      <c r="D630" s="146"/>
      <c r="E630" s="146"/>
      <c r="F630" s="155"/>
      <c r="G630" s="146"/>
      <c r="H630" s="126"/>
      <c r="I630" s="132"/>
      <c r="J630" s="146"/>
      <c r="K630" s="126"/>
      <c r="L630" s="126"/>
      <c r="M630" s="134" t="str">
        <f t="shared" si="1"/>
        <v/>
      </c>
      <c r="N630" s="134" t="str">
        <f t="array" ref="N630">IF(M630="LOANED / ON KOL", INDEX('Step 3 FOC Request'!$G:$G, MATCH(1, ('Step 3 FOC Request'!$A:$A=W630) * ('Step 3 FOC Request'!$F:$F=E630), 0)), "-")</f>
        <v>-</v>
      </c>
      <c r="O630" s="126"/>
      <c r="P630" s="126"/>
      <c r="Q630" s="126"/>
      <c r="R630" s="126"/>
      <c r="U630" s="126"/>
      <c r="V630" s="126"/>
      <c r="W630" s="135">
        <f>MAXIFS('Step 3 FOC Request'!$A:$A, 'Step 3 FOC Request'!$F:$F, $E630)</f>
        <v>0</v>
      </c>
      <c r="X630" s="135">
        <f>MAXIFS('Step 4 FOC Return'!$A:$A, 'Step 4 FOC Return'!$E:$E, $E630)</f>
        <v>0</v>
      </c>
      <c r="Y630" s="126"/>
    </row>
    <row r="631">
      <c r="A631" s="126"/>
      <c r="B631" s="154"/>
      <c r="C631" s="146"/>
      <c r="D631" s="146"/>
      <c r="E631" s="146"/>
      <c r="F631" s="155"/>
      <c r="G631" s="146"/>
      <c r="H631" s="126"/>
      <c r="I631" s="132"/>
      <c r="J631" s="146"/>
      <c r="K631" s="126"/>
      <c r="L631" s="126"/>
      <c r="M631" s="134" t="str">
        <f t="shared" si="1"/>
        <v/>
      </c>
      <c r="N631" s="134" t="str">
        <f t="array" ref="N631">IF(M631="LOANED / ON KOL", INDEX('Step 3 FOC Request'!$G:$G, MATCH(1, ('Step 3 FOC Request'!$A:$A=W631) * ('Step 3 FOC Request'!$F:$F=E631), 0)), "-")</f>
        <v>-</v>
      </c>
      <c r="O631" s="126"/>
      <c r="P631" s="126"/>
      <c r="Q631" s="126"/>
      <c r="R631" s="126"/>
      <c r="U631" s="126"/>
      <c r="V631" s="126"/>
      <c r="W631" s="135">
        <f>MAXIFS('Step 3 FOC Request'!$A:$A, 'Step 3 FOC Request'!$F:$F, $E631)</f>
        <v>0</v>
      </c>
      <c r="X631" s="135">
        <f>MAXIFS('Step 4 FOC Return'!$A:$A, 'Step 4 FOC Return'!$E:$E, $E631)</f>
        <v>0</v>
      </c>
      <c r="Y631" s="126"/>
    </row>
    <row r="632">
      <c r="A632" s="126"/>
      <c r="B632" s="154"/>
      <c r="C632" s="146"/>
      <c r="D632" s="146"/>
      <c r="E632" s="146"/>
      <c r="F632" s="155"/>
      <c r="G632" s="146"/>
      <c r="H632" s="126"/>
      <c r="I632" s="132"/>
      <c r="J632" s="146"/>
      <c r="K632" s="126"/>
      <c r="L632" s="126"/>
      <c r="M632" s="134" t="str">
        <f t="shared" si="1"/>
        <v/>
      </c>
      <c r="N632" s="134" t="str">
        <f t="array" ref="N632">IF(M632="LOANED / ON KOL", INDEX('Step 3 FOC Request'!$G:$G, MATCH(1, ('Step 3 FOC Request'!$A:$A=W632) * ('Step 3 FOC Request'!$F:$F=E632), 0)), "-")</f>
        <v>-</v>
      </c>
      <c r="O632" s="126"/>
      <c r="P632" s="126"/>
      <c r="Q632" s="126"/>
      <c r="R632" s="126"/>
      <c r="U632" s="126"/>
      <c r="V632" s="126"/>
      <c r="W632" s="135">
        <f>MAXIFS('Step 3 FOC Request'!$A:$A, 'Step 3 FOC Request'!$F:$F, $E632)</f>
        <v>0</v>
      </c>
      <c r="X632" s="135">
        <f>MAXIFS('Step 4 FOC Return'!$A:$A, 'Step 4 FOC Return'!$E:$E, $E632)</f>
        <v>0</v>
      </c>
      <c r="Y632" s="126"/>
    </row>
    <row r="633">
      <c r="A633" s="126"/>
      <c r="B633" s="154"/>
      <c r="C633" s="146"/>
      <c r="D633" s="146"/>
      <c r="E633" s="146"/>
      <c r="F633" s="155"/>
      <c r="G633" s="146"/>
      <c r="H633" s="126"/>
      <c r="I633" s="132"/>
      <c r="J633" s="146"/>
      <c r="K633" s="126"/>
      <c r="L633" s="126"/>
      <c r="M633" s="134" t="str">
        <f t="shared" si="1"/>
        <v/>
      </c>
      <c r="N633" s="134" t="str">
        <f t="array" ref="N633">IF(M633="LOANED / ON KOL", INDEX('Step 3 FOC Request'!$G:$G, MATCH(1, ('Step 3 FOC Request'!$A:$A=W633) * ('Step 3 FOC Request'!$F:$F=E633), 0)), "-")</f>
        <v>-</v>
      </c>
      <c r="O633" s="126"/>
      <c r="P633" s="126"/>
      <c r="Q633" s="126"/>
      <c r="R633" s="126"/>
      <c r="U633" s="126"/>
      <c r="V633" s="126"/>
      <c r="W633" s="135">
        <f>MAXIFS('Step 3 FOC Request'!$A:$A, 'Step 3 FOC Request'!$F:$F, $E633)</f>
        <v>0</v>
      </c>
      <c r="X633" s="135">
        <f>MAXIFS('Step 4 FOC Return'!$A:$A, 'Step 4 FOC Return'!$E:$E, $E633)</f>
        <v>0</v>
      </c>
      <c r="Y633" s="126"/>
    </row>
    <row r="634">
      <c r="A634" s="126"/>
      <c r="B634" s="154"/>
      <c r="C634" s="146"/>
      <c r="D634" s="146"/>
      <c r="E634" s="146"/>
      <c r="F634" s="155"/>
      <c r="G634" s="146"/>
      <c r="H634" s="126"/>
      <c r="I634" s="132"/>
      <c r="J634" s="146"/>
      <c r="K634" s="126"/>
      <c r="L634" s="126"/>
      <c r="M634" s="134" t="str">
        <f t="shared" si="1"/>
        <v/>
      </c>
      <c r="N634" s="134" t="str">
        <f t="array" ref="N634">IF(M634="LOANED / ON KOL", INDEX('Step 3 FOC Request'!$G:$G, MATCH(1, ('Step 3 FOC Request'!$A:$A=W634) * ('Step 3 FOC Request'!$F:$F=E634), 0)), "-")</f>
        <v>-</v>
      </c>
      <c r="O634" s="126"/>
      <c r="P634" s="126"/>
      <c r="Q634" s="126"/>
      <c r="R634" s="126"/>
      <c r="U634" s="126"/>
      <c r="V634" s="126"/>
      <c r="W634" s="135">
        <f>MAXIFS('Step 3 FOC Request'!$A:$A, 'Step 3 FOC Request'!$F:$F, $E634)</f>
        <v>0</v>
      </c>
      <c r="X634" s="135">
        <f>MAXIFS('Step 4 FOC Return'!$A:$A, 'Step 4 FOC Return'!$E:$E, $E634)</f>
        <v>0</v>
      </c>
      <c r="Y634" s="126"/>
    </row>
    <row r="635">
      <c r="A635" s="126"/>
      <c r="B635" s="154"/>
      <c r="C635" s="146"/>
      <c r="D635" s="146"/>
      <c r="E635" s="146"/>
      <c r="F635" s="155"/>
      <c r="G635" s="146"/>
      <c r="H635" s="126"/>
      <c r="I635" s="132"/>
      <c r="J635" s="146"/>
      <c r="K635" s="126"/>
      <c r="L635" s="126"/>
      <c r="M635" s="134" t="str">
        <f t="shared" si="1"/>
        <v/>
      </c>
      <c r="N635" s="134" t="str">
        <f t="array" ref="N635">IF(M635="LOANED / ON KOL", INDEX('Step 3 FOC Request'!$G:$G, MATCH(1, ('Step 3 FOC Request'!$A:$A=W635) * ('Step 3 FOC Request'!$F:$F=E635), 0)), "-")</f>
        <v>-</v>
      </c>
      <c r="O635" s="126"/>
      <c r="P635" s="126"/>
      <c r="Q635" s="126"/>
      <c r="R635" s="126"/>
      <c r="U635" s="126"/>
      <c r="V635" s="126"/>
      <c r="W635" s="135">
        <f>MAXIFS('Step 3 FOC Request'!$A:$A, 'Step 3 FOC Request'!$F:$F, $E635)</f>
        <v>0</v>
      </c>
      <c r="X635" s="135">
        <f>MAXIFS('Step 4 FOC Return'!$A:$A, 'Step 4 FOC Return'!$E:$E, $E635)</f>
        <v>0</v>
      </c>
      <c r="Y635" s="126"/>
    </row>
    <row r="636">
      <c r="A636" s="126"/>
      <c r="B636" s="154"/>
      <c r="C636" s="146"/>
      <c r="D636" s="146"/>
      <c r="E636" s="146"/>
      <c r="F636" s="155"/>
      <c r="G636" s="146"/>
      <c r="H636" s="126"/>
      <c r="I636" s="132"/>
      <c r="J636" s="146"/>
      <c r="K636" s="126"/>
      <c r="L636" s="126"/>
      <c r="M636" s="134" t="str">
        <f t="shared" si="1"/>
        <v/>
      </c>
      <c r="N636" s="134" t="str">
        <f t="array" ref="N636">IF(M636="LOANED / ON KOL", INDEX('Step 3 FOC Request'!$G:$G, MATCH(1, ('Step 3 FOC Request'!$A:$A=W636) * ('Step 3 FOC Request'!$F:$F=E636), 0)), "-")</f>
        <v>-</v>
      </c>
      <c r="O636" s="126"/>
      <c r="P636" s="126"/>
      <c r="Q636" s="126"/>
      <c r="R636" s="126"/>
      <c r="U636" s="126"/>
      <c r="V636" s="126"/>
      <c r="W636" s="135">
        <f>MAXIFS('Step 3 FOC Request'!$A:$A, 'Step 3 FOC Request'!$F:$F, $E636)</f>
        <v>0</v>
      </c>
      <c r="X636" s="135">
        <f>MAXIFS('Step 4 FOC Return'!$A:$A, 'Step 4 FOC Return'!$E:$E, $E636)</f>
        <v>0</v>
      </c>
      <c r="Y636" s="126"/>
    </row>
    <row r="637">
      <c r="A637" s="126"/>
      <c r="B637" s="154"/>
      <c r="C637" s="146"/>
      <c r="D637" s="146"/>
      <c r="E637" s="146"/>
      <c r="F637" s="155"/>
      <c r="G637" s="146"/>
      <c r="H637" s="126"/>
      <c r="I637" s="132"/>
      <c r="J637" s="146"/>
      <c r="K637" s="126"/>
      <c r="L637" s="126"/>
      <c r="M637" s="134" t="str">
        <f t="shared" si="1"/>
        <v/>
      </c>
      <c r="N637" s="134" t="str">
        <f t="array" ref="N637">IF(M637="LOANED / ON KOL", INDEX('Step 3 FOC Request'!$G:$G, MATCH(1, ('Step 3 FOC Request'!$A:$A=W637) * ('Step 3 FOC Request'!$F:$F=E637), 0)), "-")</f>
        <v>-</v>
      </c>
      <c r="O637" s="126"/>
      <c r="P637" s="126"/>
      <c r="Q637" s="126"/>
      <c r="R637" s="126"/>
      <c r="U637" s="126"/>
      <c r="V637" s="126"/>
      <c r="W637" s="135">
        <f>MAXIFS('Step 3 FOC Request'!$A:$A, 'Step 3 FOC Request'!$F:$F, $E637)</f>
        <v>0</v>
      </c>
      <c r="X637" s="135">
        <f>MAXIFS('Step 4 FOC Return'!$A:$A, 'Step 4 FOC Return'!$E:$E, $E637)</f>
        <v>0</v>
      </c>
      <c r="Y637" s="126"/>
    </row>
    <row r="638">
      <c r="A638" s="126"/>
      <c r="B638" s="154"/>
      <c r="C638" s="146"/>
      <c r="D638" s="146"/>
      <c r="E638" s="146"/>
      <c r="F638" s="155"/>
      <c r="G638" s="146"/>
      <c r="H638" s="126"/>
      <c r="I638" s="132"/>
      <c r="J638" s="146"/>
      <c r="K638" s="126"/>
      <c r="L638" s="126"/>
      <c r="M638" s="134" t="str">
        <f t="shared" si="1"/>
        <v/>
      </c>
      <c r="N638" s="134" t="str">
        <f t="array" ref="N638">IF(M638="LOANED / ON KOL", INDEX('Step 3 FOC Request'!$G:$G, MATCH(1, ('Step 3 FOC Request'!$A:$A=W638) * ('Step 3 FOC Request'!$F:$F=E638), 0)), "-")</f>
        <v>-</v>
      </c>
      <c r="O638" s="126"/>
      <c r="P638" s="126"/>
      <c r="Q638" s="126"/>
      <c r="R638" s="126"/>
      <c r="U638" s="126"/>
      <c r="V638" s="126"/>
      <c r="W638" s="135">
        <f>MAXIFS('Step 3 FOC Request'!$A:$A, 'Step 3 FOC Request'!$F:$F, $E638)</f>
        <v>0</v>
      </c>
      <c r="X638" s="135">
        <f>MAXIFS('Step 4 FOC Return'!$A:$A, 'Step 4 FOC Return'!$E:$E, $E638)</f>
        <v>0</v>
      </c>
      <c r="Y638" s="126"/>
    </row>
    <row r="639">
      <c r="A639" s="126"/>
      <c r="B639" s="154"/>
      <c r="C639" s="146"/>
      <c r="D639" s="146"/>
      <c r="E639" s="146"/>
      <c r="F639" s="155"/>
      <c r="G639" s="146"/>
      <c r="H639" s="126"/>
      <c r="I639" s="132"/>
      <c r="J639" s="146"/>
      <c r="K639" s="126"/>
      <c r="L639" s="126"/>
      <c r="M639" s="134" t="str">
        <f t="shared" si="1"/>
        <v/>
      </c>
      <c r="N639" s="134" t="str">
        <f t="array" ref="N639">IF(M639="LOANED / ON KOL", INDEX('Step 3 FOC Request'!$G:$G, MATCH(1, ('Step 3 FOC Request'!$A:$A=W639) * ('Step 3 FOC Request'!$F:$F=E639), 0)), "-")</f>
        <v>-</v>
      </c>
      <c r="O639" s="126"/>
      <c r="P639" s="126"/>
      <c r="Q639" s="126"/>
      <c r="R639" s="126"/>
      <c r="U639" s="126"/>
      <c r="V639" s="126"/>
      <c r="W639" s="135">
        <f>MAXIFS('Step 3 FOC Request'!$A:$A, 'Step 3 FOC Request'!$F:$F, $E639)</f>
        <v>0</v>
      </c>
      <c r="X639" s="135">
        <f>MAXIFS('Step 4 FOC Return'!$A:$A, 'Step 4 FOC Return'!$E:$E, $E639)</f>
        <v>0</v>
      </c>
      <c r="Y639" s="126"/>
    </row>
    <row r="640">
      <c r="A640" s="126"/>
      <c r="B640" s="154"/>
      <c r="C640" s="146"/>
      <c r="D640" s="146"/>
      <c r="E640" s="146"/>
      <c r="F640" s="155"/>
      <c r="G640" s="146"/>
      <c r="H640" s="126"/>
      <c r="I640" s="132"/>
      <c r="J640" s="146"/>
      <c r="K640" s="126"/>
      <c r="L640" s="126"/>
      <c r="M640" s="134" t="str">
        <f t="shared" si="1"/>
        <v/>
      </c>
      <c r="N640" s="134" t="str">
        <f t="array" ref="N640">IF(M640="LOANED / ON KOL", INDEX('Step 3 FOC Request'!$G:$G, MATCH(1, ('Step 3 FOC Request'!$A:$A=W640) * ('Step 3 FOC Request'!$F:$F=E640), 0)), "-")</f>
        <v>-</v>
      </c>
      <c r="O640" s="126"/>
      <c r="P640" s="126"/>
      <c r="Q640" s="126"/>
      <c r="R640" s="126"/>
      <c r="U640" s="126"/>
      <c r="V640" s="126"/>
      <c r="W640" s="135">
        <f>MAXIFS('Step 3 FOC Request'!$A:$A, 'Step 3 FOC Request'!$F:$F, $E640)</f>
        <v>0</v>
      </c>
      <c r="X640" s="135">
        <f>MAXIFS('Step 4 FOC Return'!$A:$A, 'Step 4 FOC Return'!$E:$E, $E640)</f>
        <v>0</v>
      </c>
      <c r="Y640" s="126"/>
    </row>
    <row r="641">
      <c r="A641" s="126"/>
      <c r="B641" s="154"/>
      <c r="C641" s="146"/>
      <c r="D641" s="146"/>
      <c r="E641" s="146"/>
      <c r="F641" s="155"/>
      <c r="G641" s="146"/>
      <c r="H641" s="126"/>
      <c r="I641" s="132"/>
      <c r="J641" s="146"/>
      <c r="K641" s="126"/>
      <c r="L641" s="126"/>
      <c r="M641" s="134" t="str">
        <f t="shared" si="1"/>
        <v/>
      </c>
      <c r="N641" s="134" t="str">
        <f t="array" ref="N641">IF(M641="LOANED / ON KOL", INDEX('Step 3 FOC Request'!$G:$G, MATCH(1, ('Step 3 FOC Request'!$A:$A=W641) * ('Step 3 FOC Request'!$F:$F=E641), 0)), "-")</f>
        <v>-</v>
      </c>
      <c r="O641" s="126"/>
      <c r="P641" s="126"/>
      <c r="Q641" s="126"/>
      <c r="R641" s="126"/>
      <c r="U641" s="126"/>
      <c r="V641" s="126"/>
      <c r="W641" s="135">
        <f>MAXIFS('Step 3 FOC Request'!$A:$A, 'Step 3 FOC Request'!$F:$F, $E641)</f>
        <v>0</v>
      </c>
      <c r="X641" s="135">
        <f>MAXIFS('Step 4 FOC Return'!$A:$A, 'Step 4 FOC Return'!$E:$E, $E641)</f>
        <v>0</v>
      </c>
      <c r="Y641" s="126"/>
    </row>
    <row r="642">
      <c r="A642" s="126"/>
      <c r="B642" s="154"/>
      <c r="C642" s="146"/>
      <c r="D642" s="146"/>
      <c r="E642" s="146"/>
      <c r="F642" s="155"/>
      <c r="G642" s="146"/>
      <c r="H642" s="126"/>
      <c r="I642" s="132"/>
      <c r="J642" s="146"/>
      <c r="K642" s="126"/>
      <c r="L642" s="126"/>
      <c r="M642" s="134" t="str">
        <f t="shared" si="1"/>
        <v/>
      </c>
      <c r="N642" s="134" t="str">
        <f t="array" ref="N642">IF(M642="LOANED / ON KOL", INDEX('Step 3 FOC Request'!$G:$G, MATCH(1, ('Step 3 FOC Request'!$A:$A=W642) * ('Step 3 FOC Request'!$F:$F=E642), 0)), "-")</f>
        <v>-</v>
      </c>
      <c r="O642" s="126"/>
      <c r="P642" s="126"/>
      <c r="Q642" s="126"/>
      <c r="R642" s="126"/>
      <c r="U642" s="126"/>
      <c r="V642" s="126"/>
      <c r="W642" s="135">
        <f>MAXIFS('Step 3 FOC Request'!$A:$A, 'Step 3 FOC Request'!$F:$F, $E642)</f>
        <v>0</v>
      </c>
      <c r="X642" s="135">
        <f>MAXIFS('Step 4 FOC Return'!$A:$A, 'Step 4 FOC Return'!$E:$E, $E642)</f>
        <v>0</v>
      </c>
      <c r="Y642" s="126"/>
    </row>
    <row r="643">
      <c r="A643" s="126"/>
      <c r="B643" s="154"/>
      <c r="C643" s="146"/>
      <c r="D643" s="146"/>
      <c r="E643" s="146"/>
      <c r="F643" s="155"/>
      <c r="G643" s="146"/>
      <c r="H643" s="126"/>
      <c r="I643" s="132"/>
      <c r="J643" s="146"/>
      <c r="K643" s="126"/>
      <c r="L643" s="126"/>
      <c r="M643" s="134" t="str">
        <f t="shared" si="1"/>
        <v/>
      </c>
      <c r="N643" s="134" t="str">
        <f t="array" ref="N643">IF(M643="LOANED / ON KOL", INDEX('Step 3 FOC Request'!$G:$G, MATCH(1, ('Step 3 FOC Request'!$A:$A=W643) * ('Step 3 FOC Request'!$F:$F=E643), 0)), "-")</f>
        <v>-</v>
      </c>
      <c r="O643" s="126"/>
      <c r="P643" s="126"/>
      <c r="Q643" s="126"/>
      <c r="R643" s="126"/>
      <c r="U643" s="126"/>
      <c r="V643" s="126"/>
      <c r="W643" s="135">
        <f>MAXIFS('Step 3 FOC Request'!$A:$A, 'Step 3 FOC Request'!$F:$F, $E643)</f>
        <v>0</v>
      </c>
      <c r="X643" s="135">
        <f>MAXIFS('Step 4 FOC Return'!$A:$A, 'Step 4 FOC Return'!$E:$E, $E643)</f>
        <v>0</v>
      </c>
      <c r="Y643" s="126"/>
    </row>
    <row r="644">
      <c r="A644" s="126"/>
      <c r="B644" s="154"/>
      <c r="C644" s="146"/>
      <c r="D644" s="146"/>
      <c r="E644" s="146"/>
      <c r="F644" s="155"/>
      <c r="G644" s="146"/>
      <c r="H644" s="126"/>
      <c r="I644" s="132"/>
      <c r="J644" s="146"/>
      <c r="K644" s="126"/>
      <c r="L644" s="126"/>
      <c r="M644" s="134" t="str">
        <f t="shared" si="1"/>
        <v/>
      </c>
      <c r="N644" s="134" t="str">
        <f t="array" ref="N644">IF(M644="LOANED / ON KOL", INDEX('Step 3 FOC Request'!$G:$G, MATCH(1, ('Step 3 FOC Request'!$A:$A=W644) * ('Step 3 FOC Request'!$F:$F=E644), 0)), "-")</f>
        <v>-</v>
      </c>
      <c r="O644" s="126"/>
      <c r="P644" s="126"/>
      <c r="Q644" s="126"/>
      <c r="R644" s="126"/>
      <c r="U644" s="126"/>
      <c r="V644" s="126"/>
      <c r="W644" s="135">
        <f>MAXIFS('Step 3 FOC Request'!$A:$A, 'Step 3 FOC Request'!$F:$F, $E644)</f>
        <v>0</v>
      </c>
      <c r="X644" s="135">
        <f>MAXIFS('Step 4 FOC Return'!$A:$A, 'Step 4 FOC Return'!$E:$E, $E644)</f>
        <v>0</v>
      </c>
      <c r="Y644" s="126"/>
    </row>
    <row r="645">
      <c r="A645" s="126"/>
      <c r="B645" s="154"/>
      <c r="C645" s="146"/>
      <c r="D645" s="146"/>
      <c r="E645" s="146"/>
      <c r="F645" s="155"/>
      <c r="G645" s="146"/>
      <c r="H645" s="126"/>
      <c r="I645" s="132"/>
      <c r="J645" s="146"/>
      <c r="K645" s="126"/>
      <c r="L645" s="126"/>
      <c r="M645" s="134" t="str">
        <f t="shared" si="1"/>
        <v/>
      </c>
      <c r="N645" s="134" t="str">
        <f t="array" ref="N645">IF(M645="LOANED / ON KOL", INDEX('Step 3 FOC Request'!$G:$G, MATCH(1, ('Step 3 FOC Request'!$A:$A=W645) * ('Step 3 FOC Request'!$F:$F=E645), 0)), "-")</f>
        <v>-</v>
      </c>
      <c r="O645" s="126"/>
      <c r="P645" s="126"/>
      <c r="Q645" s="126"/>
      <c r="R645" s="126"/>
      <c r="U645" s="126"/>
      <c r="V645" s="126"/>
      <c r="W645" s="135">
        <f>MAXIFS('Step 3 FOC Request'!$A:$A, 'Step 3 FOC Request'!$F:$F, $E645)</f>
        <v>0</v>
      </c>
      <c r="X645" s="135">
        <f>MAXIFS('Step 4 FOC Return'!$A:$A, 'Step 4 FOC Return'!$E:$E, $E645)</f>
        <v>0</v>
      </c>
      <c r="Y645" s="126"/>
    </row>
    <row r="646">
      <c r="A646" s="126"/>
      <c r="B646" s="154"/>
      <c r="C646" s="146"/>
      <c r="D646" s="146"/>
      <c r="E646" s="146"/>
      <c r="F646" s="155"/>
      <c r="G646" s="146"/>
      <c r="H646" s="126"/>
      <c r="I646" s="132"/>
      <c r="J646" s="146"/>
      <c r="K646" s="126"/>
      <c r="L646" s="126"/>
      <c r="M646" s="134" t="str">
        <f t="shared" si="1"/>
        <v/>
      </c>
      <c r="N646" s="134" t="str">
        <f t="array" ref="N646">IF(M646="LOANED / ON KOL", INDEX('Step 3 FOC Request'!$G:$G, MATCH(1, ('Step 3 FOC Request'!$A:$A=W646) * ('Step 3 FOC Request'!$F:$F=E646), 0)), "-")</f>
        <v>-</v>
      </c>
      <c r="O646" s="126"/>
      <c r="P646" s="126"/>
      <c r="Q646" s="126"/>
      <c r="R646" s="126"/>
      <c r="U646" s="126"/>
      <c r="V646" s="126"/>
      <c r="W646" s="135">
        <f>MAXIFS('Step 3 FOC Request'!$A:$A, 'Step 3 FOC Request'!$F:$F, $E646)</f>
        <v>0</v>
      </c>
      <c r="X646" s="135">
        <f>MAXIFS('Step 4 FOC Return'!$A:$A, 'Step 4 FOC Return'!$E:$E, $E646)</f>
        <v>0</v>
      </c>
      <c r="Y646" s="126"/>
    </row>
    <row r="647">
      <c r="A647" s="126"/>
      <c r="B647" s="154"/>
      <c r="C647" s="146"/>
      <c r="D647" s="146"/>
      <c r="E647" s="146"/>
      <c r="F647" s="155"/>
      <c r="G647" s="146"/>
      <c r="H647" s="126"/>
      <c r="I647" s="132"/>
      <c r="J647" s="146"/>
      <c r="K647" s="126"/>
      <c r="L647" s="126"/>
      <c r="M647" s="134" t="str">
        <f t="shared" si="1"/>
        <v/>
      </c>
      <c r="N647" s="134" t="str">
        <f t="array" ref="N647">IF(M647="LOANED / ON KOL", INDEX('Step 3 FOC Request'!$G:$G, MATCH(1, ('Step 3 FOC Request'!$A:$A=W647) * ('Step 3 FOC Request'!$F:$F=E647), 0)), "-")</f>
        <v>-</v>
      </c>
      <c r="O647" s="126"/>
      <c r="P647" s="126"/>
      <c r="Q647" s="126"/>
      <c r="R647" s="126"/>
      <c r="U647" s="126"/>
      <c r="V647" s="126"/>
      <c r="W647" s="135">
        <f>MAXIFS('Step 3 FOC Request'!$A:$A, 'Step 3 FOC Request'!$F:$F, $E647)</f>
        <v>0</v>
      </c>
      <c r="X647" s="135">
        <f>MAXIFS('Step 4 FOC Return'!$A:$A, 'Step 4 FOC Return'!$E:$E, $E647)</f>
        <v>0</v>
      </c>
      <c r="Y647" s="126"/>
    </row>
    <row r="648">
      <c r="A648" s="126"/>
      <c r="B648" s="154"/>
      <c r="C648" s="146"/>
      <c r="D648" s="146"/>
      <c r="E648" s="146"/>
      <c r="F648" s="155"/>
      <c r="G648" s="146"/>
      <c r="H648" s="126"/>
      <c r="I648" s="132"/>
      <c r="J648" s="146"/>
      <c r="K648" s="126"/>
      <c r="L648" s="126"/>
      <c r="M648" s="134" t="str">
        <f t="shared" si="1"/>
        <v/>
      </c>
      <c r="N648" s="134" t="str">
        <f t="array" ref="N648">IF(M648="LOANED / ON KOL", INDEX('Step 3 FOC Request'!$G:$G, MATCH(1, ('Step 3 FOC Request'!$A:$A=W648) * ('Step 3 FOC Request'!$F:$F=E648), 0)), "-")</f>
        <v>-</v>
      </c>
      <c r="O648" s="126"/>
      <c r="P648" s="126"/>
      <c r="Q648" s="126"/>
      <c r="R648" s="126"/>
      <c r="U648" s="126"/>
      <c r="V648" s="126"/>
      <c r="W648" s="135">
        <f>MAXIFS('Step 3 FOC Request'!$A:$A, 'Step 3 FOC Request'!$F:$F, $E648)</f>
        <v>0</v>
      </c>
      <c r="X648" s="135">
        <f>MAXIFS('Step 4 FOC Return'!$A:$A, 'Step 4 FOC Return'!$E:$E, $E648)</f>
        <v>0</v>
      </c>
      <c r="Y648" s="126"/>
    </row>
    <row r="649">
      <c r="A649" s="126"/>
      <c r="B649" s="154"/>
      <c r="C649" s="146"/>
      <c r="D649" s="146"/>
      <c r="E649" s="146"/>
      <c r="F649" s="155"/>
      <c r="G649" s="146"/>
      <c r="H649" s="126"/>
      <c r="I649" s="132"/>
      <c r="J649" s="146"/>
      <c r="K649" s="126"/>
      <c r="L649" s="126"/>
      <c r="M649" s="134" t="str">
        <f t="shared" si="1"/>
        <v/>
      </c>
      <c r="N649" s="134" t="str">
        <f t="array" ref="N649">IF(M649="LOANED / ON KOL", INDEX('Step 3 FOC Request'!$G:$G, MATCH(1, ('Step 3 FOC Request'!$A:$A=W649) * ('Step 3 FOC Request'!$F:$F=E649), 0)), "-")</f>
        <v>-</v>
      </c>
      <c r="O649" s="126"/>
      <c r="P649" s="126"/>
      <c r="Q649" s="126"/>
      <c r="R649" s="126"/>
      <c r="U649" s="126"/>
      <c r="V649" s="126"/>
      <c r="W649" s="135">
        <f>MAXIFS('Step 3 FOC Request'!$A:$A, 'Step 3 FOC Request'!$F:$F, $E649)</f>
        <v>0</v>
      </c>
      <c r="X649" s="135">
        <f>MAXIFS('Step 4 FOC Return'!$A:$A, 'Step 4 FOC Return'!$E:$E, $E649)</f>
        <v>0</v>
      </c>
      <c r="Y649" s="126"/>
    </row>
    <row r="650">
      <c r="A650" s="126"/>
      <c r="B650" s="154"/>
      <c r="C650" s="146"/>
      <c r="D650" s="146"/>
      <c r="E650" s="146"/>
      <c r="F650" s="155"/>
      <c r="G650" s="146"/>
      <c r="H650" s="126"/>
      <c r="I650" s="132"/>
      <c r="J650" s="146"/>
      <c r="K650" s="126"/>
      <c r="L650" s="126"/>
      <c r="M650" s="134" t="str">
        <f t="shared" si="1"/>
        <v/>
      </c>
      <c r="N650" s="134" t="str">
        <f t="array" ref="N650">IF(M650="LOANED / ON KOL", INDEX('Step 3 FOC Request'!$G:$G, MATCH(1, ('Step 3 FOC Request'!$A:$A=W650) * ('Step 3 FOC Request'!$F:$F=E650), 0)), "-")</f>
        <v>-</v>
      </c>
      <c r="O650" s="126"/>
      <c r="P650" s="126"/>
      <c r="Q650" s="126"/>
      <c r="R650" s="126"/>
      <c r="U650" s="126"/>
      <c r="V650" s="126"/>
      <c r="W650" s="135">
        <f>MAXIFS('Step 3 FOC Request'!$A:$A, 'Step 3 FOC Request'!$F:$F, $E650)</f>
        <v>0</v>
      </c>
      <c r="X650" s="135">
        <f>MAXIFS('Step 4 FOC Return'!$A:$A, 'Step 4 FOC Return'!$E:$E, $E650)</f>
        <v>0</v>
      </c>
      <c r="Y650" s="126"/>
    </row>
    <row r="651">
      <c r="A651" s="126"/>
      <c r="B651" s="154"/>
      <c r="C651" s="146"/>
      <c r="D651" s="146"/>
      <c r="E651" s="146"/>
      <c r="F651" s="155"/>
      <c r="G651" s="146"/>
      <c r="H651" s="126"/>
      <c r="I651" s="132"/>
      <c r="J651" s="146"/>
      <c r="K651" s="126"/>
      <c r="L651" s="126"/>
      <c r="M651" s="134" t="str">
        <f t="shared" si="1"/>
        <v/>
      </c>
      <c r="N651" s="134" t="str">
        <f t="array" ref="N651">IF(M651="LOANED / ON KOL", INDEX('Step 3 FOC Request'!$G:$G, MATCH(1, ('Step 3 FOC Request'!$A:$A=W651) * ('Step 3 FOC Request'!$F:$F=E651), 0)), "-")</f>
        <v>-</v>
      </c>
      <c r="O651" s="126"/>
      <c r="P651" s="126"/>
      <c r="Q651" s="126"/>
      <c r="R651" s="126"/>
      <c r="U651" s="126"/>
      <c r="V651" s="126"/>
      <c r="W651" s="135">
        <f>MAXIFS('Step 3 FOC Request'!$A:$A, 'Step 3 FOC Request'!$F:$F, $E651)</f>
        <v>0</v>
      </c>
      <c r="X651" s="135">
        <f>MAXIFS('Step 4 FOC Return'!$A:$A, 'Step 4 FOC Return'!$E:$E, $E651)</f>
        <v>0</v>
      </c>
      <c r="Y651" s="126"/>
    </row>
    <row r="652">
      <c r="A652" s="126"/>
      <c r="B652" s="154"/>
      <c r="C652" s="146"/>
      <c r="D652" s="146"/>
      <c r="E652" s="146"/>
      <c r="F652" s="155"/>
      <c r="G652" s="146"/>
      <c r="H652" s="126"/>
      <c r="I652" s="132"/>
      <c r="J652" s="146"/>
      <c r="K652" s="126"/>
      <c r="L652" s="126"/>
      <c r="M652" s="134" t="str">
        <f t="shared" si="1"/>
        <v/>
      </c>
      <c r="N652" s="134" t="str">
        <f t="array" ref="N652">IF(M652="LOANED / ON KOL", INDEX('Step 3 FOC Request'!$G:$G, MATCH(1, ('Step 3 FOC Request'!$A:$A=W652) * ('Step 3 FOC Request'!$F:$F=E652), 0)), "-")</f>
        <v>-</v>
      </c>
      <c r="O652" s="126"/>
      <c r="P652" s="126"/>
      <c r="Q652" s="126"/>
      <c r="R652" s="126"/>
      <c r="U652" s="126"/>
      <c r="V652" s="126"/>
      <c r="W652" s="135">
        <f>MAXIFS('Step 3 FOC Request'!$A:$A, 'Step 3 FOC Request'!$F:$F, $E652)</f>
        <v>0</v>
      </c>
      <c r="X652" s="135">
        <f>MAXIFS('Step 4 FOC Return'!$A:$A, 'Step 4 FOC Return'!$E:$E, $E652)</f>
        <v>0</v>
      </c>
      <c r="Y652" s="126"/>
    </row>
    <row r="653">
      <c r="A653" s="126"/>
      <c r="B653" s="154"/>
      <c r="C653" s="146"/>
      <c r="D653" s="146"/>
      <c r="E653" s="146"/>
      <c r="F653" s="155"/>
      <c r="G653" s="146"/>
      <c r="H653" s="126"/>
      <c r="I653" s="132"/>
      <c r="J653" s="146"/>
      <c r="K653" s="126"/>
      <c r="L653" s="126"/>
      <c r="M653" s="134" t="str">
        <f t="shared" si="1"/>
        <v/>
      </c>
      <c r="N653" s="134" t="str">
        <f t="array" ref="N653">IF(M653="LOANED / ON KOL", INDEX('Step 3 FOC Request'!$G:$G, MATCH(1, ('Step 3 FOC Request'!$A:$A=W653) * ('Step 3 FOC Request'!$F:$F=E653), 0)), "-")</f>
        <v>-</v>
      </c>
      <c r="O653" s="126"/>
      <c r="P653" s="126"/>
      <c r="Q653" s="126"/>
      <c r="R653" s="126"/>
      <c r="U653" s="126"/>
      <c r="V653" s="126"/>
      <c r="W653" s="135">
        <f>MAXIFS('Step 3 FOC Request'!$A:$A, 'Step 3 FOC Request'!$F:$F, $E653)</f>
        <v>0</v>
      </c>
      <c r="X653" s="135">
        <f>MAXIFS('Step 4 FOC Return'!$A:$A, 'Step 4 FOC Return'!$E:$E, $E653)</f>
        <v>0</v>
      </c>
      <c r="Y653" s="126"/>
    </row>
    <row r="654">
      <c r="A654" s="126"/>
      <c r="B654" s="154"/>
      <c r="C654" s="146"/>
      <c r="D654" s="146"/>
      <c r="E654" s="146"/>
      <c r="F654" s="155"/>
      <c r="G654" s="146"/>
      <c r="H654" s="126"/>
      <c r="I654" s="132"/>
      <c r="J654" s="146"/>
      <c r="K654" s="126"/>
      <c r="L654" s="126"/>
      <c r="M654" s="134" t="str">
        <f t="shared" si="1"/>
        <v/>
      </c>
      <c r="N654" s="134" t="str">
        <f t="array" ref="N654">IF(M654="LOANED / ON KOL", INDEX('Step 3 FOC Request'!$G:$G, MATCH(1, ('Step 3 FOC Request'!$A:$A=W654) * ('Step 3 FOC Request'!$F:$F=E654), 0)), "-")</f>
        <v>-</v>
      </c>
      <c r="O654" s="126"/>
      <c r="P654" s="126"/>
      <c r="Q654" s="126"/>
      <c r="R654" s="126"/>
      <c r="U654" s="126"/>
      <c r="V654" s="126"/>
      <c r="W654" s="135">
        <f>MAXIFS('Step 3 FOC Request'!$A:$A, 'Step 3 FOC Request'!$F:$F, $E654)</f>
        <v>0</v>
      </c>
      <c r="X654" s="135">
        <f>MAXIFS('Step 4 FOC Return'!$A:$A, 'Step 4 FOC Return'!$E:$E, $E654)</f>
        <v>0</v>
      </c>
      <c r="Y654" s="126"/>
    </row>
    <row r="655">
      <c r="A655" s="126"/>
      <c r="B655" s="154"/>
      <c r="C655" s="146"/>
      <c r="D655" s="146"/>
      <c r="E655" s="146"/>
      <c r="F655" s="155"/>
      <c r="G655" s="146"/>
      <c r="H655" s="126"/>
      <c r="I655" s="132"/>
      <c r="J655" s="146"/>
      <c r="K655" s="126"/>
      <c r="L655" s="126"/>
      <c r="M655" s="134" t="str">
        <f t="shared" si="1"/>
        <v/>
      </c>
      <c r="N655" s="134" t="str">
        <f t="array" ref="N655">IF(M655="LOANED / ON KOL", INDEX('Step 3 FOC Request'!$G:$G, MATCH(1, ('Step 3 FOC Request'!$A:$A=W655) * ('Step 3 FOC Request'!$F:$F=E655), 0)), "-")</f>
        <v>-</v>
      </c>
      <c r="O655" s="126"/>
      <c r="P655" s="126"/>
      <c r="Q655" s="126"/>
      <c r="R655" s="126"/>
      <c r="U655" s="126"/>
      <c r="V655" s="126"/>
      <c r="W655" s="135">
        <f>MAXIFS('Step 3 FOC Request'!$A:$A, 'Step 3 FOC Request'!$F:$F, $E655)</f>
        <v>0</v>
      </c>
      <c r="X655" s="135">
        <f>MAXIFS('Step 4 FOC Return'!$A:$A, 'Step 4 FOC Return'!$E:$E, $E655)</f>
        <v>0</v>
      </c>
      <c r="Y655" s="126"/>
    </row>
    <row r="656">
      <c r="A656" s="126"/>
      <c r="B656" s="154"/>
      <c r="C656" s="146"/>
      <c r="D656" s="146"/>
      <c r="E656" s="146"/>
      <c r="F656" s="155"/>
      <c r="G656" s="146"/>
      <c r="H656" s="126"/>
      <c r="I656" s="132"/>
      <c r="J656" s="146"/>
      <c r="K656" s="126"/>
      <c r="L656" s="126"/>
      <c r="M656" s="134" t="str">
        <f t="shared" si="1"/>
        <v/>
      </c>
      <c r="N656" s="134" t="str">
        <f t="array" ref="N656">IF(M656="LOANED / ON KOL", INDEX('Step 3 FOC Request'!$G:$G, MATCH(1, ('Step 3 FOC Request'!$A:$A=W656) * ('Step 3 FOC Request'!$F:$F=E656), 0)), "-")</f>
        <v>-</v>
      </c>
      <c r="O656" s="126"/>
      <c r="P656" s="126"/>
      <c r="Q656" s="126"/>
      <c r="R656" s="126"/>
      <c r="U656" s="126"/>
      <c r="V656" s="126"/>
      <c r="W656" s="135">
        <f>MAXIFS('Step 3 FOC Request'!$A:$A, 'Step 3 FOC Request'!$F:$F, $E656)</f>
        <v>0</v>
      </c>
      <c r="X656" s="135">
        <f>MAXIFS('Step 4 FOC Return'!$A:$A, 'Step 4 FOC Return'!$E:$E, $E656)</f>
        <v>0</v>
      </c>
      <c r="Y656" s="126"/>
    </row>
    <row r="657">
      <c r="A657" s="126"/>
      <c r="B657" s="154"/>
      <c r="C657" s="146"/>
      <c r="D657" s="146"/>
      <c r="E657" s="146"/>
      <c r="F657" s="155"/>
      <c r="G657" s="146"/>
      <c r="H657" s="126"/>
      <c r="I657" s="132"/>
      <c r="J657" s="146"/>
      <c r="K657" s="126"/>
      <c r="L657" s="126"/>
      <c r="M657" s="134" t="str">
        <f t="shared" si="1"/>
        <v/>
      </c>
      <c r="N657" s="134" t="str">
        <f t="array" ref="N657">IF(M657="LOANED / ON KOL", INDEX('Step 3 FOC Request'!$G:$G, MATCH(1, ('Step 3 FOC Request'!$A:$A=W657) * ('Step 3 FOC Request'!$F:$F=E657), 0)), "-")</f>
        <v>-</v>
      </c>
      <c r="O657" s="126"/>
      <c r="P657" s="126"/>
      <c r="Q657" s="126"/>
      <c r="R657" s="126"/>
      <c r="U657" s="126"/>
      <c r="V657" s="126"/>
      <c r="W657" s="135">
        <f>MAXIFS('Step 3 FOC Request'!$A:$A, 'Step 3 FOC Request'!$F:$F, $E657)</f>
        <v>0</v>
      </c>
      <c r="X657" s="135">
        <f>MAXIFS('Step 4 FOC Return'!$A:$A, 'Step 4 FOC Return'!$E:$E, $E657)</f>
        <v>0</v>
      </c>
      <c r="Y657" s="126"/>
    </row>
    <row r="658">
      <c r="A658" s="126"/>
      <c r="B658" s="154"/>
      <c r="C658" s="146"/>
      <c r="D658" s="146"/>
      <c r="E658" s="146"/>
      <c r="F658" s="155"/>
      <c r="G658" s="146"/>
      <c r="H658" s="126"/>
      <c r="I658" s="132"/>
      <c r="J658" s="146"/>
      <c r="K658" s="126"/>
      <c r="L658" s="126"/>
      <c r="M658" s="134" t="str">
        <f t="shared" si="1"/>
        <v/>
      </c>
      <c r="N658" s="134" t="str">
        <f t="array" ref="N658">IF(M658="LOANED / ON KOL", INDEX('Step 3 FOC Request'!$G:$G, MATCH(1, ('Step 3 FOC Request'!$A:$A=W658) * ('Step 3 FOC Request'!$F:$F=E658), 0)), "-")</f>
        <v>-</v>
      </c>
      <c r="O658" s="126"/>
      <c r="P658" s="126"/>
      <c r="Q658" s="126"/>
      <c r="R658" s="126"/>
      <c r="U658" s="126"/>
      <c r="V658" s="126"/>
      <c r="W658" s="135">
        <f>MAXIFS('Step 3 FOC Request'!$A:$A, 'Step 3 FOC Request'!$F:$F, $E658)</f>
        <v>0</v>
      </c>
      <c r="X658" s="135">
        <f>MAXIFS('Step 4 FOC Return'!$A:$A, 'Step 4 FOC Return'!$E:$E, $E658)</f>
        <v>0</v>
      </c>
      <c r="Y658" s="126"/>
    </row>
    <row r="659">
      <c r="A659" s="126"/>
      <c r="B659" s="154"/>
      <c r="C659" s="146"/>
      <c r="D659" s="146"/>
      <c r="E659" s="146"/>
      <c r="F659" s="155"/>
      <c r="G659" s="146"/>
      <c r="H659" s="126"/>
      <c r="I659" s="132"/>
      <c r="J659" s="146"/>
      <c r="K659" s="126"/>
      <c r="L659" s="126"/>
      <c r="M659" s="134" t="str">
        <f t="shared" si="1"/>
        <v/>
      </c>
      <c r="N659" s="134" t="str">
        <f t="array" ref="N659">IF(M659="LOANED / ON KOL", INDEX('Step 3 FOC Request'!$G:$G, MATCH(1, ('Step 3 FOC Request'!$A:$A=W659) * ('Step 3 FOC Request'!$F:$F=E659), 0)), "-")</f>
        <v>-</v>
      </c>
      <c r="O659" s="126"/>
      <c r="P659" s="126"/>
      <c r="Q659" s="126"/>
      <c r="R659" s="126"/>
      <c r="U659" s="126"/>
      <c r="V659" s="126"/>
      <c r="W659" s="135">
        <f>MAXIFS('Step 3 FOC Request'!$A:$A, 'Step 3 FOC Request'!$F:$F, $E659)</f>
        <v>0</v>
      </c>
      <c r="X659" s="135">
        <f>MAXIFS('Step 4 FOC Return'!$A:$A, 'Step 4 FOC Return'!$E:$E, $E659)</f>
        <v>0</v>
      </c>
      <c r="Y659" s="126"/>
    </row>
    <row r="660">
      <c r="A660" s="126"/>
      <c r="B660" s="154"/>
      <c r="C660" s="146"/>
      <c r="D660" s="146"/>
      <c r="E660" s="146"/>
      <c r="F660" s="155"/>
      <c r="G660" s="146"/>
      <c r="H660" s="126"/>
      <c r="I660" s="132"/>
      <c r="J660" s="146"/>
      <c r="K660" s="126"/>
      <c r="L660" s="126"/>
      <c r="M660" s="134" t="str">
        <f t="shared" si="1"/>
        <v/>
      </c>
      <c r="N660" s="134" t="str">
        <f t="array" ref="N660">IF(M660="LOANED / ON KOL", INDEX('Step 3 FOC Request'!$G:$G, MATCH(1, ('Step 3 FOC Request'!$A:$A=W660) * ('Step 3 FOC Request'!$F:$F=E660), 0)), "-")</f>
        <v>-</v>
      </c>
      <c r="O660" s="126"/>
      <c r="P660" s="126"/>
      <c r="Q660" s="126"/>
      <c r="R660" s="126"/>
      <c r="U660" s="126"/>
      <c r="V660" s="126"/>
      <c r="W660" s="135">
        <f>MAXIFS('Step 3 FOC Request'!$A:$A, 'Step 3 FOC Request'!$F:$F, $E660)</f>
        <v>0</v>
      </c>
      <c r="X660" s="135">
        <f>MAXIFS('Step 4 FOC Return'!$A:$A, 'Step 4 FOC Return'!$E:$E, $E660)</f>
        <v>0</v>
      </c>
      <c r="Y660" s="126"/>
    </row>
    <row r="661">
      <c r="A661" s="126"/>
      <c r="B661" s="154"/>
      <c r="C661" s="146"/>
      <c r="D661" s="146"/>
      <c r="E661" s="146"/>
      <c r="F661" s="155"/>
      <c r="G661" s="146"/>
      <c r="H661" s="126"/>
      <c r="I661" s="132"/>
      <c r="J661" s="146"/>
      <c r="K661" s="126"/>
      <c r="L661" s="126"/>
      <c r="M661" s="134" t="str">
        <f t="shared" si="1"/>
        <v/>
      </c>
      <c r="N661" s="134" t="str">
        <f t="array" ref="N661">IF(M661="LOANED / ON KOL", INDEX('Step 3 FOC Request'!$G:$G, MATCH(1, ('Step 3 FOC Request'!$A:$A=W661) * ('Step 3 FOC Request'!$F:$F=E661), 0)), "-")</f>
        <v>-</v>
      </c>
      <c r="O661" s="126"/>
      <c r="P661" s="126"/>
      <c r="Q661" s="126"/>
      <c r="R661" s="126"/>
      <c r="U661" s="126"/>
      <c r="V661" s="126"/>
      <c r="W661" s="135">
        <f>MAXIFS('Step 3 FOC Request'!$A:$A, 'Step 3 FOC Request'!$F:$F, $E661)</f>
        <v>0</v>
      </c>
      <c r="X661" s="135">
        <f>MAXIFS('Step 4 FOC Return'!$A:$A, 'Step 4 FOC Return'!$E:$E, $E661)</f>
        <v>0</v>
      </c>
      <c r="Y661" s="126"/>
    </row>
    <row r="662">
      <c r="A662" s="126"/>
      <c r="B662" s="154"/>
      <c r="C662" s="146"/>
      <c r="D662" s="146"/>
      <c r="E662" s="146"/>
      <c r="F662" s="155"/>
      <c r="G662" s="146"/>
      <c r="H662" s="126"/>
      <c r="I662" s="132"/>
      <c r="J662" s="146"/>
      <c r="K662" s="126"/>
      <c r="L662" s="126"/>
      <c r="M662" s="134" t="str">
        <f t="shared" si="1"/>
        <v/>
      </c>
      <c r="N662" s="134" t="str">
        <f t="array" ref="N662">IF(M662="LOANED / ON KOL", INDEX('Step 3 FOC Request'!$G:$G, MATCH(1, ('Step 3 FOC Request'!$A:$A=W662) * ('Step 3 FOC Request'!$F:$F=E662), 0)), "-")</f>
        <v>-</v>
      </c>
      <c r="O662" s="126"/>
      <c r="P662" s="126"/>
      <c r="Q662" s="126"/>
      <c r="R662" s="126"/>
      <c r="U662" s="126"/>
      <c r="V662" s="126"/>
      <c r="W662" s="135">
        <f>MAXIFS('Step 3 FOC Request'!$A:$A, 'Step 3 FOC Request'!$F:$F, $E662)</f>
        <v>0</v>
      </c>
      <c r="X662" s="135">
        <f>MAXIFS('Step 4 FOC Return'!$A:$A, 'Step 4 FOC Return'!$E:$E, $E662)</f>
        <v>0</v>
      </c>
      <c r="Y662" s="126"/>
    </row>
    <row r="663">
      <c r="A663" s="126"/>
      <c r="B663" s="154"/>
      <c r="C663" s="146"/>
      <c r="D663" s="146"/>
      <c r="E663" s="146"/>
      <c r="F663" s="155"/>
      <c r="G663" s="146"/>
      <c r="H663" s="126"/>
      <c r="I663" s="132"/>
      <c r="J663" s="146"/>
      <c r="K663" s="126"/>
      <c r="L663" s="126"/>
      <c r="M663" s="134" t="str">
        <f t="shared" si="1"/>
        <v/>
      </c>
      <c r="N663" s="134" t="str">
        <f t="array" ref="N663">IF(M663="LOANED / ON KOL", INDEX('Step 3 FOC Request'!$G:$G, MATCH(1, ('Step 3 FOC Request'!$A:$A=W663) * ('Step 3 FOC Request'!$F:$F=E663), 0)), "-")</f>
        <v>-</v>
      </c>
      <c r="O663" s="126"/>
      <c r="P663" s="126"/>
      <c r="Q663" s="126"/>
      <c r="R663" s="126"/>
      <c r="U663" s="126"/>
      <c r="V663" s="126"/>
      <c r="W663" s="135">
        <f>MAXIFS('Step 3 FOC Request'!$A:$A, 'Step 3 FOC Request'!$F:$F, $E663)</f>
        <v>0</v>
      </c>
      <c r="X663" s="135">
        <f>MAXIFS('Step 4 FOC Return'!$A:$A, 'Step 4 FOC Return'!$E:$E, $E663)</f>
        <v>0</v>
      </c>
      <c r="Y663" s="126"/>
    </row>
    <row r="664">
      <c r="A664" s="126"/>
      <c r="B664" s="154"/>
      <c r="C664" s="146"/>
      <c r="D664" s="146"/>
      <c r="E664" s="146"/>
      <c r="F664" s="155"/>
      <c r="G664" s="146"/>
      <c r="H664" s="126"/>
      <c r="I664" s="132"/>
      <c r="J664" s="146"/>
      <c r="K664" s="126"/>
      <c r="L664" s="126"/>
      <c r="M664" s="134" t="str">
        <f t="shared" si="1"/>
        <v/>
      </c>
      <c r="N664" s="134" t="str">
        <f t="array" ref="N664">IF(M664="LOANED / ON KOL", INDEX('Step 3 FOC Request'!$G:$G, MATCH(1, ('Step 3 FOC Request'!$A:$A=W664) * ('Step 3 FOC Request'!$F:$F=E664), 0)), "-")</f>
        <v>-</v>
      </c>
      <c r="O664" s="126"/>
      <c r="P664" s="126"/>
      <c r="Q664" s="126"/>
      <c r="R664" s="126"/>
      <c r="U664" s="126"/>
      <c r="V664" s="126"/>
      <c r="W664" s="135">
        <f>MAXIFS('Step 3 FOC Request'!$A:$A, 'Step 3 FOC Request'!$F:$F, $E664)</f>
        <v>0</v>
      </c>
      <c r="X664" s="135">
        <f>MAXIFS('Step 4 FOC Return'!$A:$A, 'Step 4 FOC Return'!$E:$E, $E664)</f>
        <v>0</v>
      </c>
      <c r="Y664" s="126"/>
    </row>
    <row r="665">
      <c r="A665" s="126"/>
      <c r="B665" s="154"/>
      <c r="C665" s="146"/>
      <c r="D665" s="146"/>
      <c r="E665" s="146"/>
      <c r="F665" s="155"/>
      <c r="G665" s="146"/>
      <c r="H665" s="126"/>
      <c r="I665" s="132"/>
      <c r="J665" s="146"/>
      <c r="K665" s="126"/>
      <c r="L665" s="126"/>
      <c r="M665" s="134" t="str">
        <f t="shared" si="1"/>
        <v/>
      </c>
      <c r="N665" s="134" t="str">
        <f t="array" ref="N665">IF(M665="LOANED / ON KOL", INDEX('Step 3 FOC Request'!$G:$G, MATCH(1, ('Step 3 FOC Request'!$A:$A=W665) * ('Step 3 FOC Request'!$F:$F=E665), 0)), "-")</f>
        <v>-</v>
      </c>
      <c r="O665" s="126"/>
      <c r="P665" s="126"/>
      <c r="Q665" s="126"/>
      <c r="R665" s="126"/>
      <c r="U665" s="126"/>
      <c r="V665" s="126"/>
      <c r="W665" s="135">
        <f>MAXIFS('Step 3 FOC Request'!$A:$A, 'Step 3 FOC Request'!$F:$F, $E665)</f>
        <v>0</v>
      </c>
      <c r="X665" s="135">
        <f>MAXIFS('Step 4 FOC Return'!$A:$A, 'Step 4 FOC Return'!$E:$E, $E665)</f>
        <v>0</v>
      </c>
      <c r="Y665" s="126"/>
    </row>
    <row r="666">
      <c r="A666" s="126"/>
      <c r="B666" s="154"/>
      <c r="C666" s="146"/>
      <c r="D666" s="146"/>
      <c r="E666" s="146"/>
      <c r="F666" s="155"/>
      <c r="G666" s="146"/>
      <c r="H666" s="126"/>
      <c r="I666" s="132"/>
      <c r="J666" s="146"/>
      <c r="K666" s="126"/>
      <c r="L666" s="126"/>
      <c r="M666" s="134" t="str">
        <f t="shared" si="1"/>
        <v/>
      </c>
      <c r="N666" s="134" t="str">
        <f t="array" ref="N666">IF(M666="LOANED / ON KOL", INDEX('Step 3 FOC Request'!$G:$G, MATCH(1, ('Step 3 FOC Request'!$A:$A=W666) * ('Step 3 FOC Request'!$F:$F=E666), 0)), "-")</f>
        <v>-</v>
      </c>
      <c r="O666" s="126"/>
      <c r="P666" s="126"/>
      <c r="Q666" s="126"/>
      <c r="R666" s="126"/>
      <c r="U666" s="126"/>
      <c r="V666" s="126"/>
      <c r="W666" s="135">
        <f>MAXIFS('Step 3 FOC Request'!$A:$A, 'Step 3 FOC Request'!$F:$F, $E666)</f>
        <v>0</v>
      </c>
      <c r="X666" s="135">
        <f>MAXIFS('Step 4 FOC Return'!$A:$A, 'Step 4 FOC Return'!$E:$E, $E666)</f>
        <v>0</v>
      </c>
      <c r="Y666" s="126"/>
    </row>
    <row r="667">
      <c r="A667" s="126"/>
      <c r="B667" s="154"/>
      <c r="C667" s="146"/>
      <c r="D667" s="146"/>
      <c r="E667" s="146"/>
      <c r="F667" s="155"/>
      <c r="G667" s="146"/>
      <c r="H667" s="126"/>
      <c r="I667" s="132"/>
      <c r="J667" s="146"/>
      <c r="K667" s="126"/>
      <c r="L667" s="126"/>
      <c r="M667" s="134" t="str">
        <f t="shared" si="1"/>
        <v/>
      </c>
      <c r="N667" s="134" t="str">
        <f t="array" ref="N667">IF(M667="LOANED / ON KOL", INDEX('Step 3 FOC Request'!$G:$G, MATCH(1, ('Step 3 FOC Request'!$A:$A=W667) * ('Step 3 FOC Request'!$F:$F=E667), 0)), "-")</f>
        <v>-</v>
      </c>
      <c r="O667" s="126"/>
      <c r="P667" s="126"/>
      <c r="Q667" s="126"/>
      <c r="R667" s="126"/>
      <c r="U667" s="126"/>
      <c r="V667" s="126"/>
      <c r="W667" s="135">
        <f>MAXIFS('Step 3 FOC Request'!$A:$A, 'Step 3 FOC Request'!$F:$F, $E667)</f>
        <v>0</v>
      </c>
      <c r="X667" s="135">
        <f>MAXIFS('Step 4 FOC Return'!$A:$A, 'Step 4 FOC Return'!$E:$E, $E667)</f>
        <v>0</v>
      </c>
      <c r="Y667" s="126"/>
    </row>
    <row r="668">
      <c r="A668" s="126"/>
      <c r="B668" s="154"/>
      <c r="C668" s="146"/>
      <c r="D668" s="146"/>
      <c r="E668" s="146"/>
      <c r="F668" s="155"/>
      <c r="G668" s="146"/>
      <c r="H668" s="126"/>
      <c r="I668" s="132"/>
      <c r="J668" s="146"/>
      <c r="K668" s="126"/>
      <c r="L668" s="126"/>
      <c r="M668" s="134" t="str">
        <f t="shared" si="1"/>
        <v/>
      </c>
      <c r="N668" s="134" t="str">
        <f t="array" ref="N668">IF(M668="LOANED / ON KOL", INDEX('Step 3 FOC Request'!$G:$G, MATCH(1, ('Step 3 FOC Request'!$A:$A=W668) * ('Step 3 FOC Request'!$F:$F=E668), 0)), "-")</f>
        <v>-</v>
      </c>
      <c r="O668" s="126"/>
      <c r="P668" s="126"/>
      <c r="Q668" s="126"/>
      <c r="R668" s="126"/>
      <c r="U668" s="126"/>
      <c r="V668" s="126"/>
      <c r="W668" s="135">
        <f>MAXIFS('Step 3 FOC Request'!$A:$A, 'Step 3 FOC Request'!$F:$F, $E668)</f>
        <v>0</v>
      </c>
      <c r="X668" s="135">
        <f>MAXIFS('Step 4 FOC Return'!$A:$A, 'Step 4 FOC Return'!$E:$E, $E668)</f>
        <v>0</v>
      </c>
      <c r="Y668" s="126"/>
    </row>
    <row r="669">
      <c r="A669" s="126"/>
      <c r="B669" s="154"/>
      <c r="C669" s="146"/>
      <c r="D669" s="146"/>
      <c r="E669" s="146"/>
      <c r="F669" s="155"/>
      <c r="G669" s="146"/>
      <c r="H669" s="126"/>
      <c r="I669" s="132"/>
      <c r="J669" s="146"/>
      <c r="K669" s="126"/>
      <c r="L669" s="126"/>
      <c r="M669" s="134" t="str">
        <f t="shared" si="1"/>
        <v/>
      </c>
      <c r="N669" s="134" t="str">
        <f t="array" ref="N669">IF(M669="LOANED / ON KOL", INDEX('Step 3 FOC Request'!$G:$G, MATCH(1, ('Step 3 FOC Request'!$A:$A=W669) * ('Step 3 FOC Request'!$F:$F=E669), 0)), "-")</f>
        <v>-</v>
      </c>
      <c r="O669" s="126"/>
      <c r="P669" s="126"/>
      <c r="Q669" s="126"/>
      <c r="R669" s="126"/>
      <c r="U669" s="126"/>
      <c r="V669" s="126"/>
      <c r="W669" s="135">
        <f>MAXIFS('Step 3 FOC Request'!$A:$A, 'Step 3 FOC Request'!$F:$F, $E669)</f>
        <v>0</v>
      </c>
      <c r="X669" s="135">
        <f>MAXIFS('Step 4 FOC Return'!$A:$A, 'Step 4 FOC Return'!$E:$E, $E669)</f>
        <v>0</v>
      </c>
      <c r="Y669" s="126"/>
    </row>
    <row r="670">
      <c r="A670" s="126"/>
      <c r="B670" s="154"/>
      <c r="C670" s="146"/>
      <c r="D670" s="146"/>
      <c r="E670" s="146"/>
      <c r="F670" s="155"/>
      <c r="G670" s="146"/>
      <c r="H670" s="126"/>
      <c r="I670" s="132"/>
      <c r="J670" s="146"/>
      <c r="K670" s="126"/>
      <c r="L670" s="126"/>
      <c r="M670" s="134" t="str">
        <f t="shared" si="1"/>
        <v/>
      </c>
      <c r="N670" s="134" t="str">
        <f t="array" ref="N670">IF(M670="LOANED / ON KOL", INDEX('Step 3 FOC Request'!$G:$G, MATCH(1, ('Step 3 FOC Request'!$A:$A=W670) * ('Step 3 FOC Request'!$F:$F=E670), 0)), "-")</f>
        <v>-</v>
      </c>
      <c r="O670" s="126"/>
      <c r="P670" s="126"/>
      <c r="Q670" s="126"/>
      <c r="R670" s="126"/>
      <c r="U670" s="126"/>
      <c r="V670" s="126"/>
      <c r="W670" s="135">
        <f>MAXIFS('Step 3 FOC Request'!$A:$A, 'Step 3 FOC Request'!$F:$F, $E670)</f>
        <v>0</v>
      </c>
      <c r="X670" s="135">
        <f>MAXIFS('Step 4 FOC Return'!$A:$A, 'Step 4 FOC Return'!$E:$E, $E670)</f>
        <v>0</v>
      </c>
      <c r="Y670" s="126"/>
    </row>
    <row r="671">
      <c r="A671" s="126"/>
      <c r="B671" s="154"/>
      <c r="C671" s="146"/>
      <c r="D671" s="146"/>
      <c r="E671" s="146"/>
      <c r="F671" s="155"/>
      <c r="G671" s="146"/>
      <c r="H671" s="126"/>
      <c r="I671" s="132"/>
      <c r="J671" s="146"/>
      <c r="K671" s="126"/>
      <c r="L671" s="126"/>
      <c r="M671" s="134" t="str">
        <f t="shared" si="1"/>
        <v/>
      </c>
      <c r="N671" s="134" t="str">
        <f t="array" ref="N671">IF(M671="LOANED / ON KOL", INDEX('Step 3 FOC Request'!$G:$G, MATCH(1, ('Step 3 FOC Request'!$A:$A=W671) * ('Step 3 FOC Request'!$F:$F=E671), 0)), "-")</f>
        <v>-</v>
      </c>
      <c r="O671" s="126"/>
      <c r="P671" s="126"/>
      <c r="Q671" s="126"/>
      <c r="R671" s="126"/>
      <c r="U671" s="126"/>
      <c r="V671" s="126"/>
      <c r="W671" s="135">
        <f>MAXIFS('Step 3 FOC Request'!$A:$A, 'Step 3 FOC Request'!$F:$F, $E671)</f>
        <v>0</v>
      </c>
      <c r="X671" s="135">
        <f>MAXIFS('Step 4 FOC Return'!$A:$A, 'Step 4 FOC Return'!$E:$E, $E671)</f>
        <v>0</v>
      </c>
      <c r="Y671" s="126"/>
    </row>
    <row r="672">
      <c r="A672" s="126"/>
      <c r="B672" s="154"/>
      <c r="C672" s="146"/>
      <c r="D672" s="146"/>
      <c r="E672" s="146"/>
      <c r="F672" s="155"/>
      <c r="G672" s="146"/>
      <c r="H672" s="126"/>
      <c r="I672" s="132"/>
      <c r="J672" s="146"/>
      <c r="K672" s="126"/>
      <c r="L672" s="126"/>
      <c r="M672" s="134" t="str">
        <f t="shared" si="1"/>
        <v/>
      </c>
      <c r="N672" s="134" t="str">
        <f t="array" ref="N672">IF(M672="LOANED / ON KOL", INDEX('Step 3 FOC Request'!$G:$G, MATCH(1, ('Step 3 FOC Request'!$A:$A=W672) * ('Step 3 FOC Request'!$F:$F=E672), 0)), "-")</f>
        <v>-</v>
      </c>
      <c r="O672" s="126"/>
      <c r="P672" s="126"/>
      <c r="Q672" s="126"/>
      <c r="R672" s="126"/>
      <c r="U672" s="126"/>
      <c r="V672" s="126"/>
      <c r="W672" s="135">
        <f>MAXIFS('Step 3 FOC Request'!$A:$A, 'Step 3 FOC Request'!$F:$F, $E672)</f>
        <v>0</v>
      </c>
      <c r="X672" s="135">
        <f>MAXIFS('Step 4 FOC Return'!$A:$A, 'Step 4 FOC Return'!$E:$E, $E672)</f>
        <v>0</v>
      </c>
      <c r="Y672" s="126"/>
    </row>
    <row r="673">
      <c r="A673" s="126"/>
      <c r="B673" s="154"/>
      <c r="C673" s="146"/>
      <c r="D673" s="146"/>
      <c r="E673" s="146"/>
      <c r="F673" s="155"/>
      <c r="G673" s="146"/>
      <c r="H673" s="126"/>
      <c r="I673" s="132"/>
      <c r="J673" s="146"/>
      <c r="K673" s="126"/>
      <c r="L673" s="126"/>
      <c r="M673" s="134" t="str">
        <f t="shared" si="1"/>
        <v/>
      </c>
      <c r="N673" s="134" t="str">
        <f t="array" ref="N673">IF(M673="LOANED / ON KOL", INDEX('Step 3 FOC Request'!$G:$G, MATCH(1, ('Step 3 FOC Request'!$A:$A=W673) * ('Step 3 FOC Request'!$F:$F=E673), 0)), "-")</f>
        <v>-</v>
      </c>
      <c r="O673" s="126"/>
      <c r="P673" s="126"/>
      <c r="Q673" s="126"/>
      <c r="R673" s="126"/>
      <c r="U673" s="126"/>
      <c r="V673" s="126"/>
      <c r="W673" s="135">
        <f>MAXIFS('Step 3 FOC Request'!$A:$A, 'Step 3 FOC Request'!$F:$F, $E673)</f>
        <v>0</v>
      </c>
      <c r="X673" s="135">
        <f>MAXIFS('Step 4 FOC Return'!$A:$A, 'Step 4 FOC Return'!$E:$E, $E673)</f>
        <v>0</v>
      </c>
      <c r="Y673" s="126"/>
    </row>
    <row r="674">
      <c r="A674" s="126"/>
      <c r="B674" s="154"/>
      <c r="C674" s="146"/>
      <c r="D674" s="146"/>
      <c r="E674" s="146"/>
      <c r="F674" s="155"/>
      <c r="G674" s="146"/>
      <c r="H674" s="126"/>
      <c r="I674" s="132"/>
      <c r="J674" s="146"/>
      <c r="K674" s="126"/>
      <c r="L674" s="126"/>
      <c r="M674" s="134" t="str">
        <f t="shared" si="1"/>
        <v/>
      </c>
      <c r="N674" s="134" t="str">
        <f t="array" ref="N674">IF(M674="LOANED / ON KOL", INDEX('Step 3 FOC Request'!$G:$G, MATCH(1, ('Step 3 FOC Request'!$A:$A=W674) * ('Step 3 FOC Request'!$F:$F=E674), 0)), "-")</f>
        <v>-</v>
      </c>
      <c r="O674" s="126"/>
      <c r="P674" s="126"/>
      <c r="Q674" s="126"/>
      <c r="R674" s="126"/>
      <c r="U674" s="126"/>
      <c r="V674" s="126"/>
      <c r="W674" s="135">
        <f>MAXIFS('Step 3 FOC Request'!$A:$A, 'Step 3 FOC Request'!$F:$F, $E674)</f>
        <v>0</v>
      </c>
      <c r="X674" s="135">
        <f>MAXIFS('Step 4 FOC Return'!$A:$A, 'Step 4 FOC Return'!$E:$E, $E674)</f>
        <v>0</v>
      </c>
      <c r="Y674" s="126"/>
    </row>
    <row r="675">
      <c r="A675" s="126"/>
      <c r="B675" s="154"/>
      <c r="C675" s="146"/>
      <c r="D675" s="146"/>
      <c r="E675" s="146"/>
      <c r="F675" s="155"/>
      <c r="G675" s="146"/>
      <c r="H675" s="126"/>
      <c r="I675" s="132"/>
      <c r="J675" s="146"/>
      <c r="K675" s="126"/>
      <c r="L675" s="126"/>
      <c r="M675" s="134" t="str">
        <f t="shared" si="1"/>
        <v/>
      </c>
      <c r="N675" s="134" t="str">
        <f t="array" ref="N675">IF(M675="LOANED / ON KOL", INDEX('Step 3 FOC Request'!$G:$G, MATCH(1, ('Step 3 FOC Request'!$A:$A=W675) * ('Step 3 FOC Request'!$F:$F=E675), 0)), "-")</f>
        <v>-</v>
      </c>
      <c r="O675" s="126"/>
      <c r="P675" s="126"/>
      <c r="Q675" s="126"/>
      <c r="R675" s="126"/>
      <c r="U675" s="126"/>
      <c r="V675" s="126"/>
      <c r="W675" s="135">
        <f>MAXIFS('Step 3 FOC Request'!$A:$A, 'Step 3 FOC Request'!$F:$F, $E675)</f>
        <v>0</v>
      </c>
      <c r="X675" s="135">
        <f>MAXIFS('Step 4 FOC Return'!$A:$A, 'Step 4 FOC Return'!$E:$E, $E675)</f>
        <v>0</v>
      </c>
      <c r="Y675" s="126"/>
    </row>
    <row r="676">
      <c r="A676" s="126"/>
      <c r="B676" s="154"/>
      <c r="C676" s="146"/>
      <c r="D676" s="146"/>
      <c r="E676" s="146"/>
      <c r="F676" s="155"/>
      <c r="G676" s="146"/>
      <c r="H676" s="126"/>
      <c r="I676" s="132"/>
      <c r="J676" s="146"/>
      <c r="K676" s="126"/>
      <c r="L676" s="126"/>
      <c r="M676" s="134" t="str">
        <f t="shared" si="1"/>
        <v/>
      </c>
      <c r="N676" s="134" t="str">
        <f t="array" ref="N676">IF(M676="LOANED / ON KOL", INDEX('Step 3 FOC Request'!$G:$G, MATCH(1, ('Step 3 FOC Request'!$A:$A=W676) * ('Step 3 FOC Request'!$F:$F=E676), 0)), "-")</f>
        <v>-</v>
      </c>
      <c r="O676" s="126"/>
      <c r="P676" s="126"/>
      <c r="Q676" s="126"/>
      <c r="R676" s="126"/>
      <c r="U676" s="126"/>
      <c r="V676" s="126"/>
      <c r="W676" s="135">
        <f>MAXIFS('Step 3 FOC Request'!$A:$A, 'Step 3 FOC Request'!$F:$F, $E676)</f>
        <v>0</v>
      </c>
      <c r="X676" s="135">
        <f>MAXIFS('Step 4 FOC Return'!$A:$A, 'Step 4 FOC Return'!$E:$E, $E676)</f>
        <v>0</v>
      </c>
      <c r="Y676" s="126"/>
    </row>
    <row r="677">
      <c r="A677" s="126"/>
      <c r="B677" s="154"/>
      <c r="C677" s="146"/>
      <c r="D677" s="146"/>
      <c r="E677" s="146"/>
      <c r="F677" s="155"/>
      <c r="G677" s="146"/>
      <c r="H677" s="126"/>
      <c r="I677" s="132"/>
      <c r="J677" s="146"/>
      <c r="K677" s="126"/>
      <c r="L677" s="126"/>
      <c r="M677" s="134" t="str">
        <f t="shared" si="1"/>
        <v/>
      </c>
      <c r="N677" s="134" t="str">
        <f t="array" ref="N677">IF(M677="LOANED / ON KOL", INDEX('Step 3 FOC Request'!$G:$G, MATCH(1, ('Step 3 FOC Request'!$A:$A=W677) * ('Step 3 FOC Request'!$F:$F=E677), 0)), "-")</f>
        <v>-</v>
      </c>
      <c r="O677" s="126"/>
      <c r="P677" s="126"/>
      <c r="Q677" s="126"/>
      <c r="R677" s="126"/>
      <c r="U677" s="126"/>
      <c r="V677" s="126"/>
      <c r="W677" s="135">
        <f>MAXIFS('Step 3 FOC Request'!$A:$A, 'Step 3 FOC Request'!$F:$F, $E677)</f>
        <v>0</v>
      </c>
      <c r="X677" s="135">
        <f>MAXIFS('Step 4 FOC Return'!$A:$A, 'Step 4 FOC Return'!$E:$E, $E677)</f>
        <v>0</v>
      </c>
      <c r="Y677" s="126"/>
    </row>
    <row r="678">
      <c r="A678" s="126"/>
      <c r="B678" s="154"/>
      <c r="C678" s="146"/>
      <c r="D678" s="146"/>
      <c r="E678" s="146"/>
      <c r="F678" s="155"/>
      <c r="G678" s="146"/>
      <c r="H678" s="126"/>
      <c r="I678" s="132"/>
      <c r="J678" s="146"/>
      <c r="K678" s="126"/>
      <c r="L678" s="126"/>
      <c r="M678" s="134" t="str">
        <f t="shared" si="1"/>
        <v/>
      </c>
      <c r="N678" s="134" t="str">
        <f t="array" ref="N678">IF(M678="LOANED / ON KOL", INDEX('Step 3 FOC Request'!$G:$G, MATCH(1, ('Step 3 FOC Request'!$A:$A=W678) * ('Step 3 FOC Request'!$F:$F=E678), 0)), "-")</f>
        <v>-</v>
      </c>
      <c r="O678" s="126"/>
      <c r="P678" s="126"/>
      <c r="Q678" s="126"/>
      <c r="R678" s="126"/>
      <c r="U678" s="126"/>
      <c r="V678" s="126"/>
      <c r="W678" s="135">
        <f>MAXIFS('Step 3 FOC Request'!$A:$A, 'Step 3 FOC Request'!$F:$F, $E678)</f>
        <v>0</v>
      </c>
      <c r="X678" s="135">
        <f>MAXIFS('Step 4 FOC Return'!$A:$A, 'Step 4 FOC Return'!$E:$E, $E678)</f>
        <v>0</v>
      </c>
      <c r="Y678" s="126"/>
    </row>
    <row r="679">
      <c r="A679" s="126"/>
      <c r="B679" s="154"/>
      <c r="C679" s="146"/>
      <c r="D679" s="146"/>
      <c r="E679" s="146"/>
      <c r="F679" s="155"/>
      <c r="G679" s="146"/>
      <c r="H679" s="126"/>
      <c r="I679" s="132"/>
      <c r="J679" s="146"/>
      <c r="K679" s="126"/>
      <c r="L679" s="126"/>
      <c r="M679" s="134" t="str">
        <f t="shared" si="1"/>
        <v/>
      </c>
      <c r="N679" s="134" t="str">
        <f t="array" ref="N679">IF(M679="LOANED / ON KOL", INDEX('Step 3 FOC Request'!$G:$G, MATCH(1, ('Step 3 FOC Request'!$A:$A=W679) * ('Step 3 FOC Request'!$F:$F=E679), 0)), "-")</f>
        <v>-</v>
      </c>
      <c r="O679" s="126"/>
      <c r="P679" s="126"/>
      <c r="Q679" s="126"/>
      <c r="R679" s="126"/>
      <c r="U679" s="126"/>
      <c r="V679" s="126"/>
      <c r="W679" s="135">
        <f>MAXIFS('Step 3 FOC Request'!$A:$A, 'Step 3 FOC Request'!$F:$F, $E679)</f>
        <v>0</v>
      </c>
      <c r="X679" s="135">
        <f>MAXIFS('Step 4 FOC Return'!$A:$A, 'Step 4 FOC Return'!$E:$E, $E679)</f>
        <v>0</v>
      </c>
      <c r="Y679" s="126"/>
    </row>
    <row r="680">
      <c r="A680" s="126"/>
      <c r="B680" s="154"/>
      <c r="C680" s="146"/>
      <c r="D680" s="146"/>
      <c r="E680" s="146"/>
      <c r="F680" s="155"/>
      <c r="G680" s="146"/>
      <c r="H680" s="126"/>
      <c r="I680" s="132"/>
      <c r="J680" s="146"/>
      <c r="K680" s="126"/>
      <c r="L680" s="126"/>
      <c r="M680" s="134" t="str">
        <f t="shared" si="1"/>
        <v/>
      </c>
      <c r="N680" s="134" t="str">
        <f t="array" ref="N680">IF(M680="LOANED / ON KOL", INDEX('Step 3 FOC Request'!$G:$G, MATCH(1, ('Step 3 FOC Request'!$A:$A=W680) * ('Step 3 FOC Request'!$F:$F=E680), 0)), "-")</f>
        <v>-</v>
      </c>
      <c r="O680" s="126"/>
      <c r="P680" s="126"/>
      <c r="Q680" s="126"/>
      <c r="R680" s="126"/>
      <c r="U680" s="126"/>
      <c r="V680" s="126"/>
      <c r="W680" s="135">
        <f>MAXIFS('Step 3 FOC Request'!$A:$A, 'Step 3 FOC Request'!$F:$F, $E680)</f>
        <v>0</v>
      </c>
      <c r="X680" s="135">
        <f>MAXIFS('Step 4 FOC Return'!$A:$A, 'Step 4 FOC Return'!$E:$E, $E680)</f>
        <v>0</v>
      </c>
      <c r="Y680" s="126"/>
    </row>
    <row r="681">
      <c r="A681" s="126"/>
      <c r="B681" s="154"/>
      <c r="C681" s="146"/>
      <c r="D681" s="146"/>
      <c r="E681" s="146"/>
      <c r="F681" s="155"/>
      <c r="G681" s="146"/>
      <c r="H681" s="126"/>
      <c r="I681" s="132"/>
      <c r="J681" s="146"/>
      <c r="K681" s="126"/>
      <c r="L681" s="126"/>
      <c r="M681" s="134" t="str">
        <f t="shared" si="1"/>
        <v/>
      </c>
      <c r="N681" s="134" t="str">
        <f t="array" ref="N681">IF(M681="LOANED / ON KOL", INDEX('Step 3 FOC Request'!$G:$G, MATCH(1, ('Step 3 FOC Request'!$A:$A=W681) * ('Step 3 FOC Request'!$F:$F=E681), 0)), "-")</f>
        <v>-</v>
      </c>
      <c r="O681" s="126"/>
      <c r="P681" s="126"/>
      <c r="Q681" s="126"/>
      <c r="R681" s="126"/>
      <c r="U681" s="126"/>
      <c r="V681" s="126"/>
      <c r="W681" s="135">
        <f>MAXIFS('Step 3 FOC Request'!$A:$A, 'Step 3 FOC Request'!$F:$F, $E681)</f>
        <v>0</v>
      </c>
      <c r="X681" s="135">
        <f>MAXIFS('Step 4 FOC Return'!$A:$A, 'Step 4 FOC Return'!$E:$E, $E681)</f>
        <v>0</v>
      </c>
      <c r="Y681" s="126"/>
    </row>
    <row r="682">
      <c r="A682" s="126"/>
      <c r="B682" s="154"/>
      <c r="C682" s="146"/>
      <c r="D682" s="146"/>
      <c r="E682" s="146"/>
      <c r="F682" s="155"/>
      <c r="G682" s="146"/>
      <c r="H682" s="126"/>
      <c r="I682" s="132"/>
      <c r="J682" s="146"/>
      <c r="K682" s="126"/>
      <c r="L682" s="126"/>
      <c r="M682" s="134" t="str">
        <f t="shared" si="1"/>
        <v/>
      </c>
      <c r="N682" s="134" t="str">
        <f t="array" ref="N682">IF(M682="LOANED / ON KOL", INDEX('Step 3 FOC Request'!$G:$G, MATCH(1, ('Step 3 FOC Request'!$A:$A=W682) * ('Step 3 FOC Request'!$F:$F=E682), 0)), "-")</f>
        <v>-</v>
      </c>
      <c r="O682" s="126"/>
      <c r="P682" s="126"/>
      <c r="Q682" s="126"/>
      <c r="R682" s="126"/>
      <c r="U682" s="126"/>
      <c r="V682" s="126"/>
      <c r="W682" s="135">
        <f>MAXIFS('Step 3 FOC Request'!$A:$A, 'Step 3 FOC Request'!$F:$F, $E682)</f>
        <v>0</v>
      </c>
      <c r="X682" s="135">
        <f>MAXIFS('Step 4 FOC Return'!$A:$A, 'Step 4 FOC Return'!$E:$E, $E682)</f>
        <v>0</v>
      </c>
      <c r="Y682" s="126"/>
    </row>
    <row r="683">
      <c r="A683" s="126"/>
      <c r="B683" s="154"/>
      <c r="C683" s="146"/>
      <c r="D683" s="146"/>
      <c r="E683" s="146"/>
      <c r="F683" s="155"/>
      <c r="G683" s="146"/>
      <c r="H683" s="126"/>
      <c r="I683" s="132"/>
      <c r="J683" s="146"/>
      <c r="K683" s="126"/>
      <c r="L683" s="126"/>
      <c r="M683" s="134" t="str">
        <f t="shared" si="1"/>
        <v/>
      </c>
      <c r="N683" s="134" t="str">
        <f t="array" ref="N683">IF(M683="LOANED / ON KOL", INDEX('Step 3 FOC Request'!$G:$G, MATCH(1, ('Step 3 FOC Request'!$A:$A=W683) * ('Step 3 FOC Request'!$F:$F=E683), 0)), "-")</f>
        <v>-</v>
      </c>
      <c r="O683" s="126"/>
      <c r="P683" s="126"/>
      <c r="Q683" s="126"/>
      <c r="R683" s="126"/>
      <c r="U683" s="126"/>
      <c r="V683" s="126"/>
      <c r="W683" s="135">
        <f>MAXIFS('Step 3 FOC Request'!$A:$A, 'Step 3 FOC Request'!$F:$F, $E683)</f>
        <v>0</v>
      </c>
      <c r="X683" s="135">
        <f>MAXIFS('Step 4 FOC Return'!$A:$A, 'Step 4 FOC Return'!$E:$E, $E683)</f>
        <v>0</v>
      </c>
      <c r="Y683" s="126"/>
    </row>
    <row r="684">
      <c r="A684" s="126"/>
      <c r="B684" s="154"/>
      <c r="C684" s="146"/>
      <c r="D684" s="146"/>
      <c r="E684" s="146"/>
      <c r="F684" s="155"/>
      <c r="G684" s="146"/>
      <c r="H684" s="126"/>
      <c r="I684" s="132"/>
      <c r="J684" s="146"/>
      <c r="K684" s="126"/>
      <c r="L684" s="126"/>
      <c r="M684" s="134" t="str">
        <f t="shared" si="1"/>
        <v/>
      </c>
      <c r="N684" s="134" t="str">
        <f t="array" ref="N684">IF(M684="LOANED / ON KOL", INDEX('Step 3 FOC Request'!$G:$G, MATCH(1, ('Step 3 FOC Request'!$A:$A=W684) * ('Step 3 FOC Request'!$F:$F=E684), 0)), "-")</f>
        <v>-</v>
      </c>
      <c r="O684" s="126"/>
      <c r="P684" s="126"/>
      <c r="Q684" s="126"/>
      <c r="R684" s="126"/>
      <c r="U684" s="126"/>
      <c r="V684" s="126"/>
      <c r="W684" s="135">
        <f>MAXIFS('Step 3 FOC Request'!$A:$A, 'Step 3 FOC Request'!$F:$F, $E684)</f>
        <v>0</v>
      </c>
      <c r="X684" s="135">
        <f>MAXIFS('Step 4 FOC Return'!$A:$A, 'Step 4 FOC Return'!$E:$E, $E684)</f>
        <v>0</v>
      </c>
      <c r="Y684" s="126"/>
    </row>
    <row r="685">
      <c r="A685" s="126"/>
      <c r="B685" s="154"/>
      <c r="C685" s="146"/>
      <c r="D685" s="146"/>
      <c r="E685" s="146"/>
      <c r="F685" s="155"/>
      <c r="G685" s="146"/>
      <c r="H685" s="126"/>
      <c r="I685" s="132"/>
      <c r="J685" s="146"/>
      <c r="K685" s="126"/>
      <c r="L685" s="126"/>
      <c r="M685" s="134" t="str">
        <f t="shared" si="1"/>
        <v/>
      </c>
      <c r="N685" s="134" t="str">
        <f t="array" ref="N685">IF(M685="LOANED / ON KOL", INDEX('Step 3 FOC Request'!$G:$G, MATCH(1, ('Step 3 FOC Request'!$A:$A=W685) * ('Step 3 FOC Request'!$F:$F=E685), 0)), "-")</f>
        <v>-</v>
      </c>
      <c r="O685" s="126"/>
      <c r="P685" s="126"/>
      <c r="Q685" s="126"/>
      <c r="R685" s="126"/>
      <c r="U685" s="126"/>
      <c r="V685" s="126"/>
      <c r="W685" s="135">
        <f>MAXIFS('Step 3 FOC Request'!$A:$A, 'Step 3 FOC Request'!$F:$F, $E685)</f>
        <v>0</v>
      </c>
      <c r="X685" s="135">
        <f>MAXIFS('Step 4 FOC Return'!$A:$A, 'Step 4 FOC Return'!$E:$E, $E685)</f>
        <v>0</v>
      </c>
      <c r="Y685" s="126"/>
    </row>
    <row r="686">
      <c r="A686" s="126"/>
      <c r="B686" s="154"/>
      <c r="C686" s="146"/>
      <c r="D686" s="146"/>
      <c r="E686" s="146"/>
      <c r="F686" s="155"/>
      <c r="G686" s="146"/>
      <c r="H686" s="126"/>
      <c r="I686" s="132"/>
      <c r="J686" s="146"/>
      <c r="K686" s="126"/>
      <c r="L686" s="126"/>
      <c r="M686" s="134" t="str">
        <f t="shared" si="1"/>
        <v/>
      </c>
      <c r="N686" s="134" t="str">
        <f t="array" ref="N686">IF(M686="LOANED / ON KOL", INDEX('Step 3 FOC Request'!$G:$G, MATCH(1, ('Step 3 FOC Request'!$A:$A=W686) * ('Step 3 FOC Request'!$F:$F=E686), 0)), "-")</f>
        <v>-</v>
      </c>
      <c r="O686" s="126"/>
      <c r="P686" s="126"/>
      <c r="Q686" s="126"/>
      <c r="R686" s="126"/>
      <c r="U686" s="126"/>
      <c r="V686" s="126"/>
      <c r="W686" s="135">
        <f>MAXIFS('Step 3 FOC Request'!$A:$A, 'Step 3 FOC Request'!$F:$F, $E686)</f>
        <v>0</v>
      </c>
      <c r="X686" s="135">
        <f>MAXIFS('Step 4 FOC Return'!$A:$A, 'Step 4 FOC Return'!$E:$E, $E686)</f>
        <v>0</v>
      </c>
      <c r="Y686" s="126"/>
    </row>
    <row r="687">
      <c r="A687" s="126"/>
      <c r="B687" s="154"/>
      <c r="C687" s="146"/>
      <c r="D687" s="146"/>
      <c r="E687" s="146"/>
      <c r="F687" s="155"/>
      <c r="G687" s="146"/>
      <c r="H687" s="126"/>
      <c r="I687" s="132"/>
      <c r="J687" s="146"/>
      <c r="K687" s="126"/>
      <c r="L687" s="126"/>
      <c r="M687" s="134" t="str">
        <f t="shared" si="1"/>
        <v/>
      </c>
      <c r="N687" s="134" t="str">
        <f t="array" ref="N687">IF(M687="LOANED / ON KOL", INDEX('Step 3 FOC Request'!$G:$G, MATCH(1, ('Step 3 FOC Request'!$A:$A=W687) * ('Step 3 FOC Request'!$F:$F=E687), 0)), "-")</f>
        <v>-</v>
      </c>
      <c r="O687" s="126"/>
      <c r="P687" s="126"/>
      <c r="Q687" s="126"/>
      <c r="R687" s="126"/>
      <c r="U687" s="126"/>
      <c r="V687" s="126"/>
      <c r="W687" s="135">
        <f>MAXIFS('Step 3 FOC Request'!$A:$A, 'Step 3 FOC Request'!$F:$F, $E687)</f>
        <v>0</v>
      </c>
      <c r="X687" s="135">
        <f>MAXIFS('Step 4 FOC Return'!$A:$A, 'Step 4 FOC Return'!$E:$E, $E687)</f>
        <v>0</v>
      </c>
      <c r="Y687" s="126"/>
    </row>
    <row r="688">
      <c r="A688" s="126"/>
      <c r="B688" s="154"/>
      <c r="C688" s="146"/>
      <c r="D688" s="146"/>
      <c r="E688" s="146"/>
      <c r="F688" s="155"/>
      <c r="G688" s="146"/>
      <c r="H688" s="126"/>
      <c r="I688" s="132"/>
      <c r="J688" s="146"/>
      <c r="K688" s="126"/>
      <c r="L688" s="126"/>
      <c r="M688" s="134" t="str">
        <f t="shared" si="1"/>
        <v/>
      </c>
      <c r="N688" s="134" t="str">
        <f t="array" ref="N688">IF(M688="LOANED / ON KOL", INDEX('Step 3 FOC Request'!$G:$G, MATCH(1, ('Step 3 FOC Request'!$A:$A=W688) * ('Step 3 FOC Request'!$F:$F=E688), 0)), "-")</f>
        <v>-</v>
      </c>
      <c r="O688" s="126"/>
      <c r="P688" s="126"/>
      <c r="Q688" s="126"/>
      <c r="R688" s="126"/>
      <c r="U688" s="126"/>
      <c r="V688" s="126"/>
      <c r="W688" s="135">
        <f>MAXIFS('Step 3 FOC Request'!$A:$A, 'Step 3 FOC Request'!$F:$F, $E688)</f>
        <v>0</v>
      </c>
      <c r="X688" s="135">
        <f>MAXIFS('Step 4 FOC Return'!$A:$A, 'Step 4 FOC Return'!$E:$E, $E688)</f>
        <v>0</v>
      </c>
      <c r="Y688" s="126"/>
    </row>
    <row r="689">
      <c r="A689" s="126"/>
      <c r="B689" s="154"/>
      <c r="C689" s="146"/>
      <c r="D689" s="146"/>
      <c r="E689" s="146"/>
      <c r="F689" s="155"/>
      <c r="G689" s="146"/>
      <c r="H689" s="126"/>
      <c r="I689" s="132"/>
      <c r="J689" s="146"/>
      <c r="K689" s="126"/>
      <c r="L689" s="126"/>
      <c r="M689" s="134" t="str">
        <f t="shared" si="1"/>
        <v/>
      </c>
      <c r="N689" s="134" t="str">
        <f t="array" ref="N689">IF(M689="LOANED / ON KOL", INDEX('Step 3 FOC Request'!$G:$G, MATCH(1, ('Step 3 FOC Request'!$A:$A=W689) * ('Step 3 FOC Request'!$F:$F=E689), 0)), "-")</f>
        <v>-</v>
      </c>
      <c r="O689" s="126"/>
      <c r="P689" s="126"/>
      <c r="Q689" s="126"/>
      <c r="R689" s="126"/>
      <c r="U689" s="126"/>
      <c r="V689" s="126"/>
      <c r="W689" s="135">
        <f>MAXIFS('Step 3 FOC Request'!$A:$A, 'Step 3 FOC Request'!$F:$F, $E689)</f>
        <v>0</v>
      </c>
      <c r="X689" s="135">
        <f>MAXIFS('Step 4 FOC Return'!$A:$A, 'Step 4 FOC Return'!$E:$E, $E689)</f>
        <v>0</v>
      </c>
      <c r="Y689" s="126"/>
    </row>
    <row r="690">
      <c r="A690" s="126"/>
      <c r="B690" s="154"/>
      <c r="C690" s="146"/>
      <c r="D690" s="146"/>
      <c r="E690" s="146"/>
      <c r="F690" s="155"/>
      <c r="G690" s="146"/>
      <c r="H690" s="126"/>
      <c r="I690" s="132"/>
      <c r="J690" s="146"/>
      <c r="K690" s="126"/>
      <c r="L690" s="126"/>
      <c r="M690" s="134" t="str">
        <f t="shared" si="1"/>
        <v/>
      </c>
      <c r="N690" s="134" t="str">
        <f t="array" ref="N690">IF(M690="LOANED / ON KOL", INDEX('Step 3 FOC Request'!$G:$G, MATCH(1, ('Step 3 FOC Request'!$A:$A=W690) * ('Step 3 FOC Request'!$F:$F=E690), 0)), "-")</f>
        <v>-</v>
      </c>
      <c r="O690" s="126"/>
      <c r="P690" s="126"/>
      <c r="Q690" s="126"/>
      <c r="R690" s="126"/>
      <c r="U690" s="126"/>
      <c r="V690" s="126"/>
      <c r="W690" s="135">
        <f>MAXIFS('Step 3 FOC Request'!$A:$A, 'Step 3 FOC Request'!$F:$F, $E690)</f>
        <v>0</v>
      </c>
      <c r="X690" s="135">
        <f>MAXIFS('Step 4 FOC Return'!$A:$A, 'Step 4 FOC Return'!$E:$E, $E690)</f>
        <v>0</v>
      </c>
      <c r="Y690" s="126"/>
    </row>
    <row r="691">
      <c r="A691" s="126"/>
      <c r="B691" s="154"/>
      <c r="C691" s="146"/>
      <c r="D691" s="146"/>
      <c r="E691" s="146"/>
      <c r="F691" s="155"/>
      <c r="G691" s="146"/>
      <c r="H691" s="126"/>
      <c r="I691" s="132"/>
      <c r="J691" s="146"/>
      <c r="K691" s="126"/>
      <c r="L691" s="126"/>
      <c r="M691" s="134" t="str">
        <f t="shared" si="1"/>
        <v/>
      </c>
      <c r="N691" s="134" t="str">
        <f t="array" ref="N691">IF(M691="LOANED / ON KOL", INDEX('Step 3 FOC Request'!$G:$G, MATCH(1, ('Step 3 FOC Request'!$A:$A=W691) * ('Step 3 FOC Request'!$F:$F=E691), 0)), "-")</f>
        <v>-</v>
      </c>
      <c r="O691" s="126"/>
      <c r="P691" s="126"/>
      <c r="Q691" s="126"/>
      <c r="R691" s="126"/>
      <c r="U691" s="126"/>
      <c r="V691" s="126"/>
      <c r="W691" s="135">
        <f>MAXIFS('Step 3 FOC Request'!$A:$A, 'Step 3 FOC Request'!$F:$F, $E691)</f>
        <v>0</v>
      </c>
      <c r="X691" s="135">
        <f>MAXIFS('Step 4 FOC Return'!$A:$A, 'Step 4 FOC Return'!$E:$E, $E691)</f>
        <v>0</v>
      </c>
      <c r="Y691" s="126"/>
    </row>
    <row r="692">
      <c r="A692" s="126"/>
      <c r="B692" s="154"/>
      <c r="C692" s="146"/>
      <c r="D692" s="146"/>
      <c r="E692" s="146"/>
      <c r="F692" s="155"/>
      <c r="G692" s="146"/>
      <c r="H692" s="126"/>
      <c r="I692" s="132"/>
      <c r="J692" s="146"/>
      <c r="K692" s="126"/>
      <c r="L692" s="126"/>
      <c r="M692" s="134" t="str">
        <f t="shared" si="1"/>
        <v/>
      </c>
      <c r="N692" s="134" t="str">
        <f t="array" ref="N692">IF(M692="LOANED / ON KOL", INDEX('Step 3 FOC Request'!$G:$G, MATCH(1, ('Step 3 FOC Request'!$A:$A=W692) * ('Step 3 FOC Request'!$F:$F=E692), 0)), "-")</f>
        <v>-</v>
      </c>
      <c r="O692" s="126"/>
      <c r="P692" s="126"/>
      <c r="Q692" s="126"/>
      <c r="R692" s="126"/>
      <c r="U692" s="126"/>
      <c r="V692" s="126"/>
      <c r="W692" s="135">
        <f>MAXIFS('Step 3 FOC Request'!$A:$A, 'Step 3 FOC Request'!$F:$F, $E692)</f>
        <v>0</v>
      </c>
      <c r="X692" s="135">
        <f>MAXIFS('Step 4 FOC Return'!$A:$A, 'Step 4 FOC Return'!$E:$E, $E692)</f>
        <v>0</v>
      </c>
      <c r="Y692" s="126"/>
    </row>
    <row r="693">
      <c r="A693" s="126"/>
      <c r="B693" s="154"/>
      <c r="C693" s="146"/>
      <c r="D693" s="146"/>
      <c r="E693" s="146"/>
      <c r="F693" s="155"/>
      <c r="G693" s="146"/>
      <c r="H693" s="126"/>
      <c r="I693" s="132"/>
      <c r="J693" s="146"/>
      <c r="K693" s="126"/>
      <c r="L693" s="126"/>
      <c r="M693" s="134" t="str">
        <f t="shared" si="1"/>
        <v/>
      </c>
      <c r="N693" s="134" t="str">
        <f t="array" ref="N693">IF(M693="LOANED / ON KOL", INDEX('Step 3 FOC Request'!$G:$G, MATCH(1, ('Step 3 FOC Request'!$A:$A=W693) * ('Step 3 FOC Request'!$F:$F=E693), 0)), "-")</f>
        <v>-</v>
      </c>
      <c r="O693" s="126"/>
      <c r="P693" s="126"/>
      <c r="Q693" s="126"/>
      <c r="R693" s="126"/>
      <c r="U693" s="126"/>
      <c r="V693" s="126"/>
      <c r="W693" s="135">
        <f>MAXIFS('Step 3 FOC Request'!$A:$A, 'Step 3 FOC Request'!$F:$F, $E693)</f>
        <v>0</v>
      </c>
      <c r="X693" s="135">
        <f>MAXIFS('Step 4 FOC Return'!$A:$A, 'Step 4 FOC Return'!$E:$E, $E693)</f>
        <v>0</v>
      </c>
      <c r="Y693" s="126"/>
    </row>
    <row r="694">
      <c r="A694" s="126"/>
      <c r="B694" s="154"/>
      <c r="C694" s="146"/>
      <c r="D694" s="146"/>
      <c r="E694" s="146"/>
      <c r="F694" s="155"/>
      <c r="G694" s="146"/>
      <c r="H694" s="126"/>
      <c r="I694" s="132"/>
      <c r="J694" s="146"/>
      <c r="K694" s="126"/>
      <c r="L694" s="126"/>
      <c r="M694" s="134" t="str">
        <f t="shared" si="1"/>
        <v/>
      </c>
      <c r="N694" s="134" t="str">
        <f t="array" ref="N694">IF(M694="LOANED / ON KOL", INDEX('Step 3 FOC Request'!$G:$G, MATCH(1, ('Step 3 FOC Request'!$A:$A=W694) * ('Step 3 FOC Request'!$F:$F=E694), 0)), "-")</f>
        <v>-</v>
      </c>
      <c r="O694" s="126"/>
      <c r="P694" s="126"/>
      <c r="Q694" s="126"/>
      <c r="R694" s="126"/>
      <c r="U694" s="126"/>
      <c r="V694" s="126"/>
      <c r="W694" s="135">
        <f>MAXIFS('Step 3 FOC Request'!$A:$A, 'Step 3 FOC Request'!$F:$F, $E694)</f>
        <v>0</v>
      </c>
      <c r="X694" s="135">
        <f>MAXIFS('Step 4 FOC Return'!$A:$A, 'Step 4 FOC Return'!$E:$E, $E694)</f>
        <v>0</v>
      </c>
      <c r="Y694" s="126"/>
    </row>
    <row r="695">
      <c r="A695" s="126"/>
      <c r="B695" s="154"/>
      <c r="C695" s="146"/>
      <c r="D695" s="146"/>
      <c r="E695" s="146"/>
      <c r="F695" s="155"/>
      <c r="G695" s="146"/>
      <c r="H695" s="126"/>
      <c r="I695" s="132"/>
      <c r="J695" s="146"/>
      <c r="K695" s="126"/>
      <c r="L695" s="126"/>
      <c r="M695" s="134" t="str">
        <f t="shared" si="1"/>
        <v/>
      </c>
      <c r="N695" s="134" t="str">
        <f t="array" ref="N695">IF(M695="LOANED / ON KOL", INDEX('Step 3 FOC Request'!$G:$G, MATCH(1, ('Step 3 FOC Request'!$A:$A=W695) * ('Step 3 FOC Request'!$F:$F=E695), 0)), "-")</f>
        <v>-</v>
      </c>
      <c r="O695" s="126"/>
      <c r="P695" s="126"/>
      <c r="Q695" s="126"/>
      <c r="R695" s="126"/>
      <c r="U695" s="126"/>
      <c r="V695" s="126"/>
      <c r="W695" s="135">
        <f>MAXIFS('Step 3 FOC Request'!$A:$A, 'Step 3 FOC Request'!$F:$F, $E695)</f>
        <v>0</v>
      </c>
      <c r="X695" s="135">
        <f>MAXIFS('Step 4 FOC Return'!$A:$A, 'Step 4 FOC Return'!$E:$E, $E695)</f>
        <v>0</v>
      </c>
      <c r="Y695" s="126"/>
    </row>
    <row r="696">
      <c r="A696" s="126"/>
      <c r="B696" s="154"/>
      <c r="C696" s="146"/>
      <c r="D696" s="146"/>
      <c r="E696" s="146"/>
      <c r="F696" s="155"/>
      <c r="G696" s="146"/>
      <c r="H696" s="126"/>
      <c r="I696" s="132"/>
      <c r="J696" s="146"/>
      <c r="K696" s="126"/>
      <c r="L696" s="126"/>
      <c r="M696" s="134" t="str">
        <f t="shared" si="1"/>
        <v/>
      </c>
      <c r="N696" s="134" t="str">
        <f t="array" ref="N696">IF(M696="LOANED / ON KOL", INDEX('Step 3 FOC Request'!$G:$G, MATCH(1, ('Step 3 FOC Request'!$A:$A=W696) * ('Step 3 FOC Request'!$F:$F=E696), 0)), "-")</f>
        <v>-</v>
      </c>
      <c r="O696" s="126"/>
      <c r="P696" s="126"/>
      <c r="Q696" s="126"/>
      <c r="R696" s="126"/>
      <c r="U696" s="126"/>
      <c r="V696" s="126"/>
      <c r="W696" s="135">
        <f>MAXIFS('Step 3 FOC Request'!$A:$A, 'Step 3 FOC Request'!$F:$F, $E696)</f>
        <v>0</v>
      </c>
      <c r="X696" s="135">
        <f>MAXIFS('Step 4 FOC Return'!$A:$A, 'Step 4 FOC Return'!$E:$E, $E696)</f>
        <v>0</v>
      </c>
      <c r="Y696" s="126"/>
    </row>
    <row r="697">
      <c r="A697" s="126"/>
      <c r="B697" s="154"/>
      <c r="C697" s="146"/>
      <c r="D697" s="146"/>
      <c r="E697" s="146"/>
      <c r="F697" s="155"/>
      <c r="G697" s="146"/>
      <c r="H697" s="126"/>
      <c r="I697" s="132"/>
      <c r="J697" s="146"/>
      <c r="K697" s="126"/>
      <c r="L697" s="126"/>
      <c r="M697" s="134" t="str">
        <f t="shared" si="1"/>
        <v/>
      </c>
      <c r="N697" s="134" t="str">
        <f t="array" ref="N697">IF(M697="LOANED / ON KOL", INDEX('Step 3 FOC Request'!$G:$G, MATCH(1, ('Step 3 FOC Request'!$A:$A=W697) * ('Step 3 FOC Request'!$F:$F=E697), 0)), "-")</f>
        <v>-</v>
      </c>
      <c r="O697" s="126"/>
      <c r="P697" s="126"/>
      <c r="Q697" s="126"/>
      <c r="R697" s="126"/>
      <c r="U697" s="126"/>
      <c r="V697" s="126"/>
      <c r="W697" s="135">
        <f>MAXIFS('Step 3 FOC Request'!$A:$A, 'Step 3 FOC Request'!$F:$F, $E697)</f>
        <v>0</v>
      </c>
      <c r="X697" s="135">
        <f>MAXIFS('Step 4 FOC Return'!$A:$A, 'Step 4 FOC Return'!$E:$E, $E697)</f>
        <v>0</v>
      </c>
      <c r="Y697" s="126"/>
    </row>
    <row r="698">
      <c r="A698" s="126"/>
      <c r="B698" s="154"/>
      <c r="C698" s="146"/>
      <c r="D698" s="146"/>
      <c r="E698" s="146"/>
      <c r="F698" s="155"/>
      <c r="G698" s="146"/>
      <c r="H698" s="126"/>
      <c r="I698" s="132"/>
      <c r="J698" s="146"/>
      <c r="K698" s="126"/>
      <c r="L698" s="126"/>
      <c r="M698" s="134" t="str">
        <f t="shared" si="1"/>
        <v/>
      </c>
      <c r="N698" s="134" t="str">
        <f t="array" ref="N698">IF(M698="LOANED / ON KOL", INDEX('Step 3 FOC Request'!$G:$G, MATCH(1, ('Step 3 FOC Request'!$A:$A=W698) * ('Step 3 FOC Request'!$F:$F=E698), 0)), "-")</f>
        <v>-</v>
      </c>
      <c r="O698" s="126"/>
      <c r="P698" s="126"/>
      <c r="Q698" s="126"/>
      <c r="R698" s="126"/>
      <c r="U698" s="126"/>
      <c r="V698" s="126"/>
      <c r="W698" s="135">
        <f>MAXIFS('Step 3 FOC Request'!$A:$A, 'Step 3 FOC Request'!$F:$F, $E698)</f>
        <v>0</v>
      </c>
      <c r="X698" s="135">
        <f>MAXIFS('Step 4 FOC Return'!$A:$A, 'Step 4 FOC Return'!$E:$E, $E698)</f>
        <v>0</v>
      </c>
      <c r="Y698" s="126"/>
    </row>
    <row r="699">
      <c r="A699" s="126"/>
      <c r="B699" s="154"/>
      <c r="C699" s="146"/>
      <c r="D699" s="146"/>
      <c r="E699" s="146"/>
      <c r="F699" s="155"/>
      <c r="G699" s="146"/>
      <c r="H699" s="126"/>
      <c r="I699" s="132"/>
      <c r="J699" s="146"/>
      <c r="K699" s="126"/>
      <c r="L699" s="126"/>
      <c r="M699" s="134" t="str">
        <f t="shared" si="1"/>
        <v/>
      </c>
      <c r="N699" s="134" t="str">
        <f t="array" ref="N699">IF(M699="LOANED / ON KOL", INDEX('Step 3 FOC Request'!$G:$G, MATCH(1, ('Step 3 FOC Request'!$A:$A=W699) * ('Step 3 FOC Request'!$F:$F=E699), 0)), "-")</f>
        <v>-</v>
      </c>
      <c r="O699" s="126"/>
      <c r="P699" s="126"/>
      <c r="Q699" s="126"/>
      <c r="R699" s="126"/>
      <c r="U699" s="126"/>
      <c r="V699" s="126"/>
      <c r="W699" s="135">
        <f>MAXIFS('Step 3 FOC Request'!$A:$A, 'Step 3 FOC Request'!$F:$F, $E699)</f>
        <v>0</v>
      </c>
      <c r="X699" s="135">
        <f>MAXIFS('Step 4 FOC Return'!$A:$A, 'Step 4 FOC Return'!$E:$E, $E699)</f>
        <v>0</v>
      </c>
      <c r="Y699" s="126"/>
    </row>
    <row r="700">
      <c r="A700" s="126"/>
      <c r="B700" s="154"/>
      <c r="C700" s="146"/>
      <c r="D700" s="146"/>
      <c r="E700" s="146"/>
      <c r="F700" s="155"/>
      <c r="G700" s="146"/>
      <c r="H700" s="126"/>
      <c r="I700" s="132"/>
      <c r="J700" s="146"/>
      <c r="K700" s="126"/>
      <c r="L700" s="126"/>
      <c r="M700" s="134" t="str">
        <f t="shared" si="1"/>
        <v/>
      </c>
      <c r="N700" s="134" t="str">
        <f t="array" ref="N700">IF(M700="LOANED / ON KOL", INDEX('Step 3 FOC Request'!$G:$G, MATCH(1, ('Step 3 FOC Request'!$A:$A=W700) * ('Step 3 FOC Request'!$F:$F=E700), 0)), "-")</f>
        <v>-</v>
      </c>
      <c r="O700" s="126"/>
      <c r="P700" s="126"/>
      <c r="Q700" s="126"/>
      <c r="R700" s="126"/>
      <c r="U700" s="126"/>
      <c r="V700" s="126"/>
      <c r="W700" s="135">
        <f>MAXIFS('Step 3 FOC Request'!$A:$A, 'Step 3 FOC Request'!$F:$F, $E700)</f>
        <v>0</v>
      </c>
      <c r="X700" s="135">
        <f>MAXIFS('Step 4 FOC Return'!$A:$A, 'Step 4 FOC Return'!$E:$E, $E700)</f>
        <v>0</v>
      </c>
      <c r="Y700" s="126"/>
    </row>
    <row r="701">
      <c r="A701" s="126"/>
      <c r="B701" s="154"/>
      <c r="C701" s="146"/>
      <c r="D701" s="146"/>
      <c r="E701" s="146"/>
      <c r="F701" s="155"/>
      <c r="G701" s="146"/>
      <c r="H701" s="126"/>
      <c r="I701" s="132"/>
      <c r="J701" s="146"/>
      <c r="K701" s="126"/>
      <c r="L701" s="126"/>
      <c r="M701" s="134" t="str">
        <f t="shared" si="1"/>
        <v/>
      </c>
      <c r="N701" s="134" t="str">
        <f t="array" ref="N701">IF(M701="LOANED / ON KOL", INDEX('Step 3 FOC Request'!$G:$G, MATCH(1, ('Step 3 FOC Request'!$A:$A=W701) * ('Step 3 FOC Request'!$F:$F=E701), 0)), "-")</f>
        <v>-</v>
      </c>
      <c r="O701" s="126"/>
      <c r="P701" s="126"/>
      <c r="Q701" s="126"/>
      <c r="R701" s="126"/>
      <c r="U701" s="126"/>
      <c r="V701" s="126"/>
      <c r="W701" s="135">
        <f>MAXIFS('Step 3 FOC Request'!$A:$A, 'Step 3 FOC Request'!$F:$F, $E701)</f>
        <v>0</v>
      </c>
      <c r="X701" s="135">
        <f>MAXIFS('Step 4 FOC Return'!$A:$A, 'Step 4 FOC Return'!$E:$E, $E701)</f>
        <v>0</v>
      </c>
      <c r="Y701" s="126"/>
    </row>
    <row r="702">
      <c r="A702" s="126"/>
      <c r="B702" s="154"/>
      <c r="C702" s="146"/>
      <c r="D702" s="146"/>
      <c r="E702" s="146"/>
      <c r="F702" s="155"/>
      <c r="G702" s="146"/>
      <c r="H702" s="126"/>
      <c r="I702" s="132"/>
      <c r="J702" s="146"/>
      <c r="K702" s="126"/>
      <c r="L702" s="126"/>
      <c r="M702" s="134" t="str">
        <f t="shared" si="1"/>
        <v/>
      </c>
      <c r="N702" s="134" t="str">
        <f t="array" ref="N702">IF(M702="LOANED / ON KOL", INDEX('Step 3 FOC Request'!$G:$G, MATCH(1, ('Step 3 FOC Request'!$A:$A=W702) * ('Step 3 FOC Request'!$F:$F=E702), 0)), "-")</f>
        <v>-</v>
      </c>
      <c r="O702" s="126"/>
      <c r="P702" s="126"/>
      <c r="Q702" s="126"/>
      <c r="R702" s="126"/>
      <c r="U702" s="126"/>
      <c r="V702" s="126"/>
      <c r="W702" s="135">
        <f>MAXIFS('Step 3 FOC Request'!$A:$A, 'Step 3 FOC Request'!$F:$F, $E702)</f>
        <v>0</v>
      </c>
      <c r="X702" s="135">
        <f>MAXIFS('Step 4 FOC Return'!$A:$A, 'Step 4 FOC Return'!$E:$E, $E702)</f>
        <v>0</v>
      </c>
      <c r="Y702" s="126"/>
    </row>
    <row r="703">
      <c r="A703" s="126"/>
      <c r="B703" s="154"/>
      <c r="C703" s="146"/>
      <c r="D703" s="146"/>
      <c r="E703" s="146"/>
      <c r="F703" s="155"/>
      <c r="G703" s="146"/>
      <c r="H703" s="126"/>
      <c r="I703" s="132"/>
      <c r="J703" s="146"/>
      <c r="K703" s="126"/>
      <c r="L703" s="126"/>
      <c r="M703" s="134" t="str">
        <f t="shared" si="1"/>
        <v/>
      </c>
      <c r="N703" s="134" t="str">
        <f t="array" ref="N703">IF(M703="LOANED / ON KOL", INDEX('Step 3 FOC Request'!$G:$G, MATCH(1, ('Step 3 FOC Request'!$A:$A=W703) * ('Step 3 FOC Request'!$F:$F=E703), 0)), "-")</f>
        <v>-</v>
      </c>
      <c r="O703" s="126"/>
      <c r="P703" s="126"/>
      <c r="Q703" s="126"/>
      <c r="R703" s="126"/>
      <c r="U703" s="126"/>
      <c r="V703" s="126"/>
      <c r="W703" s="135">
        <f>MAXIFS('Step 3 FOC Request'!$A:$A, 'Step 3 FOC Request'!$F:$F, $E703)</f>
        <v>0</v>
      </c>
      <c r="X703" s="135">
        <f>MAXIFS('Step 4 FOC Return'!$A:$A, 'Step 4 FOC Return'!$E:$E, $E703)</f>
        <v>0</v>
      </c>
      <c r="Y703" s="126"/>
    </row>
    <row r="704">
      <c r="A704" s="126"/>
      <c r="B704" s="154"/>
      <c r="C704" s="146"/>
      <c r="D704" s="146"/>
      <c r="E704" s="146"/>
      <c r="F704" s="155"/>
      <c r="G704" s="146"/>
      <c r="H704" s="126"/>
      <c r="I704" s="132"/>
      <c r="J704" s="146"/>
      <c r="K704" s="126"/>
      <c r="L704" s="126"/>
      <c r="M704" s="134" t="str">
        <f t="shared" si="1"/>
        <v/>
      </c>
      <c r="N704" s="134" t="str">
        <f t="array" ref="N704">IF(M704="LOANED / ON KOL", INDEX('Step 3 FOC Request'!$G:$G, MATCH(1, ('Step 3 FOC Request'!$A:$A=W704) * ('Step 3 FOC Request'!$F:$F=E704), 0)), "-")</f>
        <v>-</v>
      </c>
      <c r="O704" s="126"/>
      <c r="P704" s="126"/>
      <c r="Q704" s="126"/>
      <c r="R704" s="126"/>
      <c r="U704" s="126"/>
      <c r="V704" s="126"/>
      <c r="W704" s="135">
        <f>MAXIFS('Step 3 FOC Request'!$A:$A, 'Step 3 FOC Request'!$F:$F, $E704)</f>
        <v>0</v>
      </c>
      <c r="X704" s="135">
        <f>MAXIFS('Step 4 FOC Return'!$A:$A, 'Step 4 FOC Return'!$E:$E, $E704)</f>
        <v>0</v>
      </c>
      <c r="Y704" s="126"/>
    </row>
    <row r="705">
      <c r="A705" s="126"/>
      <c r="B705" s="154"/>
      <c r="C705" s="146"/>
      <c r="D705" s="146"/>
      <c r="E705" s="146"/>
      <c r="F705" s="155"/>
      <c r="G705" s="146"/>
      <c r="H705" s="126"/>
      <c r="I705" s="132"/>
      <c r="J705" s="146"/>
      <c r="K705" s="126"/>
      <c r="L705" s="126"/>
      <c r="M705" s="134" t="str">
        <f t="shared" si="1"/>
        <v/>
      </c>
      <c r="N705" s="134" t="str">
        <f t="array" ref="N705">IF(M705="LOANED / ON KOL", INDEX('Step 3 FOC Request'!$G:$G, MATCH(1, ('Step 3 FOC Request'!$A:$A=W705) * ('Step 3 FOC Request'!$F:$F=E705), 0)), "-")</f>
        <v>-</v>
      </c>
      <c r="O705" s="126"/>
      <c r="P705" s="126"/>
      <c r="Q705" s="126"/>
      <c r="R705" s="126"/>
      <c r="U705" s="126"/>
      <c r="V705" s="126"/>
      <c r="W705" s="135">
        <f>MAXIFS('Step 3 FOC Request'!$A:$A, 'Step 3 FOC Request'!$F:$F, $E705)</f>
        <v>0</v>
      </c>
      <c r="X705" s="135">
        <f>MAXIFS('Step 4 FOC Return'!$A:$A, 'Step 4 FOC Return'!$E:$E, $E705)</f>
        <v>0</v>
      </c>
      <c r="Y705" s="126"/>
    </row>
    <row r="706">
      <c r="A706" s="126"/>
      <c r="B706" s="154"/>
      <c r="C706" s="146"/>
      <c r="D706" s="146"/>
      <c r="E706" s="146"/>
      <c r="F706" s="155"/>
      <c r="G706" s="146"/>
      <c r="H706" s="126"/>
      <c r="I706" s="132"/>
      <c r="J706" s="146"/>
      <c r="K706" s="126"/>
      <c r="L706" s="126"/>
      <c r="M706" s="134" t="str">
        <f t="shared" si="1"/>
        <v/>
      </c>
      <c r="N706" s="134" t="str">
        <f t="array" ref="N706">IF(M706="LOANED / ON KOL", INDEX('Step 3 FOC Request'!$G:$G, MATCH(1, ('Step 3 FOC Request'!$A:$A=W706) * ('Step 3 FOC Request'!$F:$F=E706), 0)), "-")</f>
        <v>-</v>
      </c>
      <c r="O706" s="126"/>
      <c r="P706" s="126"/>
      <c r="Q706" s="126"/>
      <c r="R706" s="126"/>
      <c r="U706" s="126"/>
      <c r="V706" s="126"/>
      <c r="W706" s="135">
        <f>MAXIFS('Step 3 FOC Request'!$A:$A, 'Step 3 FOC Request'!$F:$F, $E706)</f>
        <v>0</v>
      </c>
      <c r="X706" s="135">
        <f>MAXIFS('Step 4 FOC Return'!$A:$A, 'Step 4 FOC Return'!$E:$E, $E706)</f>
        <v>0</v>
      </c>
      <c r="Y706" s="126"/>
    </row>
    <row r="707">
      <c r="A707" s="126"/>
      <c r="B707" s="154"/>
      <c r="C707" s="146"/>
      <c r="D707" s="146"/>
      <c r="E707" s="146"/>
      <c r="F707" s="155"/>
      <c r="G707" s="146"/>
      <c r="H707" s="126"/>
      <c r="I707" s="132"/>
      <c r="J707" s="146"/>
      <c r="K707" s="126"/>
      <c r="L707" s="126"/>
      <c r="M707" s="134" t="str">
        <f t="shared" si="1"/>
        <v/>
      </c>
      <c r="N707" s="134" t="str">
        <f t="array" ref="N707">IF(M707="LOANED / ON KOL", INDEX('Step 3 FOC Request'!$G:$G, MATCH(1, ('Step 3 FOC Request'!$A:$A=W707) * ('Step 3 FOC Request'!$F:$F=E707), 0)), "-")</f>
        <v>-</v>
      </c>
      <c r="O707" s="126"/>
      <c r="P707" s="126"/>
      <c r="Q707" s="126"/>
      <c r="R707" s="126"/>
      <c r="U707" s="126"/>
      <c r="V707" s="126"/>
      <c r="W707" s="135">
        <f>MAXIFS('Step 3 FOC Request'!$A:$A, 'Step 3 FOC Request'!$F:$F, $E707)</f>
        <v>0</v>
      </c>
      <c r="X707" s="135">
        <f>MAXIFS('Step 4 FOC Return'!$A:$A, 'Step 4 FOC Return'!$E:$E, $E707)</f>
        <v>0</v>
      </c>
      <c r="Y707" s="126"/>
    </row>
    <row r="708">
      <c r="A708" s="126"/>
      <c r="B708" s="154"/>
      <c r="C708" s="146"/>
      <c r="D708" s="146"/>
      <c r="E708" s="146"/>
      <c r="F708" s="155"/>
      <c r="G708" s="146"/>
      <c r="H708" s="126"/>
      <c r="I708" s="132"/>
      <c r="J708" s="146"/>
      <c r="K708" s="126"/>
      <c r="L708" s="126"/>
      <c r="M708" s="134" t="str">
        <f t="shared" si="1"/>
        <v/>
      </c>
      <c r="N708" s="134" t="str">
        <f t="array" ref="N708">IF(M708="LOANED / ON KOL", INDEX('Step 3 FOC Request'!$G:$G, MATCH(1, ('Step 3 FOC Request'!$A:$A=W708) * ('Step 3 FOC Request'!$F:$F=E708), 0)), "-")</f>
        <v>-</v>
      </c>
      <c r="O708" s="126"/>
      <c r="P708" s="126"/>
      <c r="Q708" s="126"/>
      <c r="R708" s="126"/>
      <c r="U708" s="126"/>
      <c r="V708" s="126"/>
      <c r="W708" s="135">
        <f>MAXIFS('Step 3 FOC Request'!$A:$A, 'Step 3 FOC Request'!$F:$F, $E708)</f>
        <v>0</v>
      </c>
      <c r="X708" s="135">
        <f>MAXIFS('Step 4 FOC Return'!$A:$A, 'Step 4 FOC Return'!$E:$E, $E708)</f>
        <v>0</v>
      </c>
      <c r="Y708" s="126"/>
    </row>
    <row r="709">
      <c r="A709" s="126"/>
      <c r="B709" s="154"/>
      <c r="C709" s="146"/>
      <c r="D709" s="146"/>
      <c r="E709" s="146"/>
      <c r="F709" s="155"/>
      <c r="G709" s="146"/>
      <c r="H709" s="126"/>
      <c r="I709" s="132"/>
      <c r="J709" s="146"/>
      <c r="K709" s="126"/>
      <c r="L709" s="126"/>
      <c r="M709" s="134" t="str">
        <f t="shared" si="1"/>
        <v/>
      </c>
      <c r="N709" s="134" t="str">
        <f t="array" ref="N709">IF(M709="LOANED / ON KOL", INDEX('Step 3 FOC Request'!$G:$G, MATCH(1, ('Step 3 FOC Request'!$A:$A=W709) * ('Step 3 FOC Request'!$F:$F=E709), 0)), "-")</f>
        <v>-</v>
      </c>
      <c r="O709" s="126"/>
      <c r="P709" s="126"/>
      <c r="Q709" s="126"/>
      <c r="R709" s="126"/>
      <c r="U709" s="126"/>
      <c r="V709" s="126"/>
      <c r="W709" s="135">
        <f>MAXIFS('Step 3 FOC Request'!$A:$A, 'Step 3 FOC Request'!$F:$F, $E709)</f>
        <v>0</v>
      </c>
      <c r="X709" s="135">
        <f>MAXIFS('Step 4 FOC Return'!$A:$A, 'Step 4 FOC Return'!$E:$E, $E709)</f>
        <v>0</v>
      </c>
      <c r="Y709" s="126"/>
    </row>
    <row r="710">
      <c r="A710" s="126"/>
      <c r="B710" s="154"/>
      <c r="C710" s="146"/>
      <c r="D710" s="146"/>
      <c r="E710" s="146"/>
      <c r="F710" s="155"/>
      <c r="G710" s="146"/>
      <c r="H710" s="126"/>
      <c r="I710" s="132"/>
      <c r="J710" s="146"/>
      <c r="K710" s="126"/>
      <c r="L710" s="126"/>
      <c r="M710" s="134" t="str">
        <f t="shared" si="1"/>
        <v/>
      </c>
      <c r="N710" s="134" t="str">
        <f t="array" ref="N710">IF(M710="LOANED / ON KOL", INDEX('Step 3 FOC Request'!$G:$G, MATCH(1, ('Step 3 FOC Request'!$A:$A=W710) * ('Step 3 FOC Request'!$F:$F=E710), 0)), "-")</f>
        <v>-</v>
      </c>
      <c r="O710" s="126"/>
      <c r="P710" s="126"/>
      <c r="Q710" s="126"/>
      <c r="R710" s="126"/>
      <c r="U710" s="126"/>
      <c r="V710" s="126"/>
      <c r="W710" s="135">
        <f>MAXIFS('Step 3 FOC Request'!$A:$A, 'Step 3 FOC Request'!$F:$F, $E710)</f>
        <v>0</v>
      </c>
      <c r="X710" s="135">
        <f>MAXIFS('Step 4 FOC Return'!$A:$A, 'Step 4 FOC Return'!$E:$E, $E710)</f>
        <v>0</v>
      </c>
      <c r="Y710" s="126"/>
    </row>
    <row r="711">
      <c r="A711" s="126"/>
      <c r="B711" s="154"/>
      <c r="C711" s="146"/>
      <c r="D711" s="146"/>
      <c r="E711" s="146"/>
      <c r="F711" s="155"/>
      <c r="G711" s="146"/>
      <c r="H711" s="126"/>
      <c r="I711" s="132"/>
      <c r="J711" s="146"/>
      <c r="K711" s="126"/>
      <c r="L711" s="126"/>
      <c r="M711" s="134" t="str">
        <f t="shared" si="1"/>
        <v/>
      </c>
      <c r="N711" s="134" t="str">
        <f t="array" ref="N711">IF(M711="LOANED / ON KOL", INDEX('Step 3 FOC Request'!$G:$G, MATCH(1, ('Step 3 FOC Request'!$A:$A=W711) * ('Step 3 FOC Request'!$F:$F=E711), 0)), "-")</f>
        <v>-</v>
      </c>
      <c r="O711" s="126"/>
      <c r="P711" s="126"/>
      <c r="Q711" s="126"/>
      <c r="R711" s="126"/>
      <c r="U711" s="126"/>
      <c r="V711" s="126"/>
      <c r="W711" s="135">
        <f>MAXIFS('Step 3 FOC Request'!$A:$A, 'Step 3 FOC Request'!$F:$F, $E711)</f>
        <v>0</v>
      </c>
      <c r="X711" s="135">
        <f>MAXIFS('Step 4 FOC Return'!$A:$A, 'Step 4 FOC Return'!$E:$E, $E711)</f>
        <v>0</v>
      </c>
      <c r="Y711" s="126"/>
    </row>
    <row r="712">
      <c r="A712" s="126"/>
      <c r="B712" s="154"/>
      <c r="C712" s="146"/>
      <c r="D712" s="146"/>
      <c r="E712" s="146"/>
      <c r="F712" s="155"/>
      <c r="G712" s="146"/>
      <c r="H712" s="126"/>
      <c r="I712" s="132"/>
      <c r="J712" s="146"/>
      <c r="K712" s="126"/>
      <c r="L712" s="126"/>
      <c r="M712" s="134" t="str">
        <f t="shared" si="1"/>
        <v/>
      </c>
      <c r="N712" s="134" t="str">
        <f t="array" ref="N712">IF(M712="LOANED / ON KOL", INDEX('Step 3 FOC Request'!$G:$G, MATCH(1, ('Step 3 FOC Request'!$A:$A=W712) * ('Step 3 FOC Request'!$F:$F=E712), 0)), "-")</f>
        <v>-</v>
      </c>
      <c r="O712" s="126"/>
      <c r="P712" s="126"/>
      <c r="Q712" s="126"/>
      <c r="R712" s="126"/>
      <c r="U712" s="126"/>
      <c r="V712" s="126"/>
      <c r="W712" s="135">
        <f>MAXIFS('Step 3 FOC Request'!$A:$A, 'Step 3 FOC Request'!$F:$F, $E712)</f>
        <v>0</v>
      </c>
      <c r="X712" s="135">
        <f>MAXIFS('Step 4 FOC Return'!$A:$A, 'Step 4 FOC Return'!$E:$E, $E712)</f>
        <v>0</v>
      </c>
      <c r="Y712" s="126"/>
    </row>
    <row r="713">
      <c r="A713" s="126"/>
      <c r="B713" s="154"/>
      <c r="C713" s="146"/>
      <c r="D713" s="146"/>
      <c r="E713" s="146"/>
      <c r="F713" s="155"/>
      <c r="G713" s="146"/>
      <c r="H713" s="126"/>
      <c r="I713" s="132"/>
      <c r="J713" s="146"/>
      <c r="K713" s="126"/>
      <c r="L713" s="126"/>
      <c r="M713" s="134" t="str">
        <f t="shared" si="1"/>
        <v/>
      </c>
      <c r="N713" s="134" t="str">
        <f t="array" ref="N713">IF(M713="LOANED / ON KOL", INDEX('Step 3 FOC Request'!$G:$G, MATCH(1, ('Step 3 FOC Request'!$A:$A=W713) * ('Step 3 FOC Request'!$F:$F=E713), 0)), "-")</f>
        <v>-</v>
      </c>
      <c r="O713" s="126"/>
      <c r="P713" s="126"/>
      <c r="Q713" s="126"/>
      <c r="R713" s="126"/>
      <c r="U713" s="126"/>
      <c r="V713" s="126"/>
      <c r="W713" s="135">
        <f>MAXIFS('Step 3 FOC Request'!$A:$A, 'Step 3 FOC Request'!$F:$F, $E713)</f>
        <v>0</v>
      </c>
      <c r="X713" s="135">
        <f>MAXIFS('Step 4 FOC Return'!$A:$A, 'Step 4 FOC Return'!$E:$E, $E713)</f>
        <v>0</v>
      </c>
      <c r="Y713" s="126"/>
    </row>
    <row r="714">
      <c r="A714" s="126"/>
      <c r="B714" s="154"/>
      <c r="C714" s="146"/>
      <c r="D714" s="146"/>
      <c r="E714" s="146"/>
      <c r="F714" s="155"/>
      <c r="G714" s="146"/>
      <c r="H714" s="126"/>
      <c r="I714" s="132"/>
      <c r="J714" s="146"/>
      <c r="K714" s="126"/>
      <c r="L714" s="126"/>
      <c r="M714" s="134" t="str">
        <f t="shared" si="1"/>
        <v/>
      </c>
      <c r="N714" s="134" t="str">
        <f t="array" ref="N714">IF(M714="LOANED / ON KOL", INDEX('Step 3 FOC Request'!$G:$G, MATCH(1, ('Step 3 FOC Request'!$A:$A=W714) * ('Step 3 FOC Request'!$F:$F=E714), 0)), "-")</f>
        <v>-</v>
      </c>
      <c r="O714" s="126"/>
      <c r="P714" s="126"/>
      <c r="Q714" s="126"/>
      <c r="R714" s="126"/>
      <c r="U714" s="126"/>
      <c r="V714" s="126"/>
      <c r="W714" s="135">
        <f>MAXIFS('Step 3 FOC Request'!$A:$A, 'Step 3 FOC Request'!$F:$F, $E714)</f>
        <v>0</v>
      </c>
      <c r="X714" s="135">
        <f>MAXIFS('Step 4 FOC Return'!$A:$A, 'Step 4 FOC Return'!$E:$E, $E714)</f>
        <v>0</v>
      </c>
      <c r="Y714" s="126"/>
    </row>
    <row r="715">
      <c r="A715" s="126"/>
      <c r="B715" s="154"/>
      <c r="C715" s="146"/>
      <c r="D715" s="146"/>
      <c r="E715" s="146"/>
      <c r="F715" s="155"/>
      <c r="G715" s="146"/>
      <c r="H715" s="126"/>
      <c r="I715" s="132"/>
      <c r="J715" s="146"/>
      <c r="K715" s="126"/>
      <c r="L715" s="126"/>
      <c r="M715" s="134" t="str">
        <f t="shared" si="1"/>
        <v/>
      </c>
      <c r="N715" s="134" t="str">
        <f t="array" ref="N715">IF(M715="LOANED / ON KOL", INDEX('Step 3 FOC Request'!$G:$G, MATCH(1, ('Step 3 FOC Request'!$A:$A=W715) * ('Step 3 FOC Request'!$F:$F=E715), 0)), "-")</f>
        <v>-</v>
      </c>
      <c r="O715" s="126"/>
      <c r="P715" s="126"/>
      <c r="Q715" s="126"/>
      <c r="R715" s="126"/>
      <c r="U715" s="126"/>
      <c r="V715" s="126"/>
      <c r="W715" s="135">
        <f>MAXIFS('Step 3 FOC Request'!$A:$A, 'Step 3 FOC Request'!$F:$F, $E715)</f>
        <v>0</v>
      </c>
      <c r="X715" s="135">
        <f>MAXIFS('Step 4 FOC Return'!$A:$A, 'Step 4 FOC Return'!$E:$E, $E715)</f>
        <v>0</v>
      </c>
      <c r="Y715" s="126"/>
    </row>
    <row r="716">
      <c r="A716" s="126"/>
      <c r="B716" s="154"/>
      <c r="C716" s="146"/>
      <c r="D716" s="146"/>
      <c r="E716" s="146"/>
      <c r="F716" s="155"/>
      <c r="G716" s="146"/>
      <c r="H716" s="126"/>
      <c r="I716" s="132"/>
      <c r="J716" s="146"/>
      <c r="K716" s="126"/>
      <c r="L716" s="126"/>
      <c r="M716" s="134" t="str">
        <f t="shared" si="1"/>
        <v/>
      </c>
      <c r="N716" s="134" t="str">
        <f t="array" ref="N716">IF(M716="LOANED / ON KOL", INDEX('Step 3 FOC Request'!$G:$G, MATCH(1, ('Step 3 FOC Request'!$A:$A=W716) * ('Step 3 FOC Request'!$F:$F=E716), 0)), "-")</f>
        <v>-</v>
      </c>
      <c r="O716" s="126"/>
      <c r="P716" s="126"/>
      <c r="Q716" s="126"/>
      <c r="R716" s="126"/>
      <c r="U716" s="126"/>
      <c r="V716" s="126"/>
      <c r="W716" s="135">
        <f>MAXIFS('Step 3 FOC Request'!$A:$A, 'Step 3 FOC Request'!$F:$F, $E716)</f>
        <v>0</v>
      </c>
      <c r="X716" s="135">
        <f>MAXIFS('Step 4 FOC Return'!$A:$A, 'Step 4 FOC Return'!$E:$E, $E716)</f>
        <v>0</v>
      </c>
      <c r="Y716" s="126"/>
    </row>
    <row r="717">
      <c r="A717" s="126"/>
      <c r="B717" s="154"/>
      <c r="C717" s="146"/>
      <c r="D717" s="146"/>
      <c r="E717" s="146"/>
      <c r="F717" s="155"/>
      <c r="G717" s="146"/>
      <c r="H717" s="126"/>
      <c r="I717" s="132"/>
      <c r="J717" s="146"/>
      <c r="K717" s="126"/>
      <c r="L717" s="126"/>
      <c r="M717" s="134" t="str">
        <f t="shared" si="1"/>
        <v/>
      </c>
      <c r="N717" s="134" t="str">
        <f t="array" ref="N717">IF(M717="LOANED / ON KOL", INDEX('Step 3 FOC Request'!$G:$G, MATCH(1, ('Step 3 FOC Request'!$A:$A=W717) * ('Step 3 FOC Request'!$F:$F=E717), 0)), "-")</f>
        <v>-</v>
      </c>
      <c r="O717" s="126"/>
      <c r="P717" s="126"/>
      <c r="Q717" s="126"/>
      <c r="R717" s="126"/>
      <c r="U717" s="126"/>
      <c r="V717" s="126"/>
      <c r="W717" s="135">
        <f>MAXIFS('Step 3 FOC Request'!$A:$A, 'Step 3 FOC Request'!$F:$F, $E717)</f>
        <v>0</v>
      </c>
      <c r="X717" s="135">
        <f>MAXIFS('Step 4 FOC Return'!$A:$A, 'Step 4 FOC Return'!$E:$E, $E717)</f>
        <v>0</v>
      </c>
      <c r="Y717" s="126"/>
    </row>
    <row r="718">
      <c r="A718" s="126"/>
      <c r="B718" s="154"/>
      <c r="C718" s="146"/>
      <c r="D718" s="146"/>
      <c r="E718" s="146"/>
      <c r="F718" s="155"/>
      <c r="G718" s="146"/>
      <c r="H718" s="126"/>
      <c r="I718" s="132"/>
      <c r="J718" s="146"/>
      <c r="K718" s="126"/>
      <c r="L718" s="126"/>
      <c r="M718" s="134" t="str">
        <f t="shared" si="1"/>
        <v/>
      </c>
      <c r="N718" s="134" t="str">
        <f t="array" ref="N718">IF(M718="LOANED / ON KOL", INDEX('Step 3 FOC Request'!$G:$G, MATCH(1, ('Step 3 FOC Request'!$A:$A=W718) * ('Step 3 FOC Request'!$F:$F=E718), 0)), "-")</f>
        <v>-</v>
      </c>
      <c r="O718" s="126"/>
      <c r="P718" s="126"/>
      <c r="Q718" s="126"/>
      <c r="R718" s="126"/>
      <c r="U718" s="126"/>
      <c r="V718" s="126"/>
      <c r="W718" s="135">
        <f>MAXIFS('Step 3 FOC Request'!$A:$A, 'Step 3 FOC Request'!$F:$F, $E718)</f>
        <v>0</v>
      </c>
      <c r="X718" s="135">
        <f>MAXIFS('Step 4 FOC Return'!$A:$A, 'Step 4 FOC Return'!$E:$E, $E718)</f>
        <v>0</v>
      </c>
      <c r="Y718" s="126"/>
    </row>
    <row r="719">
      <c r="A719" s="126"/>
      <c r="B719" s="154"/>
      <c r="C719" s="146"/>
      <c r="D719" s="146"/>
      <c r="E719" s="146"/>
      <c r="F719" s="155"/>
      <c r="G719" s="146"/>
      <c r="H719" s="126"/>
      <c r="I719" s="132"/>
      <c r="J719" s="146"/>
      <c r="K719" s="126"/>
      <c r="L719" s="126"/>
      <c r="M719" s="134" t="str">
        <f t="shared" si="1"/>
        <v/>
      </c>
      <c r="N719" s="134" t="str">
        <f t="array" ref="N719">IF(M719="LOANED / ON KOL", INDEX('Step 3 FOC Request'!$G:$G, MATCH(1, ('Step 3 FOC Request'!$A:$A=W719) * ('Step 3 FOC Request'!$F:$F=E719), 0)), "-")</f>
        <v>-</v>
      </c>
      <c r="O719" s="126"/>
      <c r="P719" s="126"/>
      <c r="Q719" s="126"/>
      <c r="R719" s="126"/>
      <c r="U719" s="126"/>
      <c r="V719" s="126"/>
      <c r="W719" s="135">
        <f>MAXIFS('Step 3 FOC Request'!$A:$A, 'Step 3 FOC Request'!$F:$F, $E719)</f>
        <v>0</v>
      </c>
      <c r="X719" s="135">
        <f>MAXIFS('Step 4 FOC Return'!$A:$A, 'Step 4 FOC Return'!$E:$E, $E719)</f>
        <v>0</v>
      </c>
      <c r="Y719" s="126"/>
    </row>
    <row r="720">
      <c r="A720" s="126"/>
      <c r="B720" s="154"/>
      <c r="C720" s="146"/>
      <c r="D720" s="146"/>
      <c r="E720" s="146"/>
      <c r="F720" s="155"/>
      <c r="G720" s="146"/>
      <c r="H720" s="126"/>
      <c r="I720" s="132"/>
      <c r="J720" s="146"/>
      <c r="K720" s="126"/>
      <c r="L720" s="126"/>
      <c r="M720" s="134" t="str">
        <f t="shared" si="1"/>
        <v/>
      </c>
      <c r="N720" s="134" t="str">
        <f t="array" ref="N720">IF(M720="LOANED / ON KOL", INDEX('Step 3 FOC Request'!$G:$G, MATCH(1, ('Step 3 FOC Request'!$A:$A=W720) * ('Step 3 FOC Request'!$F:$F=E720), 0)), "-")</f>
        <v>-</v>
      </c>
      <c r="O720" s="126"/>
      <c r="P720" s="126"/>
      <c r="Q720" s="126"/>
      <c r="R720" s="126"/>
      <c r="U720" s="126"/>
      <c r="V720" s="126"/>
      <c r="W720" s="135">
        <f>MAXIFS('Step 3 FOC Request'!$A:$A, 'Step 3 FOC Request'!$F:$F, $E720)</f>
        <v>0</v>
      </c>
      <c r="X720" s="135">
        <f>MAXIFS('Step 4 FOC Return'!$A:$A, 'Step 4 FOC Return'!$E:$E, $E720)</f>
        <v>0</v>
      </c>
      <c r="Y720" s="126"/>
    </row>
    <row r="721">
      <c r="A721" s="126"/>
      <c r="B721" s="154"/>
      <c r="C721" s="146"/>
      <c r="D721" s="146"/>
      <c r="E721" s="146"/>
      <c r="F721" s="155"/>
      <c r="G721" s="146"/>
      <c r="H721" s="126"/>
      <c r="I721" s="132"/>
      <c r="J721" s="146"/>
      <c r="K721" s="126"/>
      <c r="L721" s="126"/>
      <c r="M721" s="134" t="str">
        <f t="shared" si="1"/>
        <v/>
      </c>
      <c r="N721" s="134" t="str">
        <f t="array" ref="N721">IF(M721="LOANED / ON KOL", INDEX('Step 3 FOC Request'!$G:$G, MATCH(1, ('Step 3 FOC Request'!$A:$A=W721) * ('Step 3 FOC Request'!$F:$F=E721), 0)), "-")</f>
        <v>-</v>
      </c>
      <c r="O721" s="126"/>
      <c r="P721" s="126"/>
      <c r="Q721" s="126"/>
      <c r="R721" s="126"/>
      <c r="U721" s="126"/>
      <c r="V721" s="126"/>
      <c r="W721" s="135">
        <f>MAXIFS('Step 3 FOC Request'!$A:$A, 'Step 3 FOC Request'!$F:$F, $E721)</f>
        <v>0</v>
      </c>
      <c r="X721" s="135">
        <f>MAXIFS('Step 4 FOC Return'!$A:$A, 'Step 4 FOC Return'!$E:$E, $E721)</f>
        <v>0</v>
      </c>
      <c r="Y721" s="126"/>
    </row>
    <row r="722">
      <c r="A722" s="126"/>
      <c r="B722" s="154"/>
      <c r="C722" s="146"/>
      <c r="D722" s="146"/>
      <c r="E722" s="146"/>
      <c r="F722" s="155"/>
      <c r="G722" s="146"/>
      <c r="H722" s="126"/>
      <c r="I722" s="132"/>
      <c r="J722" s="146"/>
      <c r="K722" s="126"/>
      <c r="L722" s="126"/>
      <c r="M722" s="134" t="str">
        <f t="shared" si="1"/>
        <v/>
      </c>
      <c r="N722" s="134" t="str">
        <f t="array" ref="N722">IF(M722="LOANED / ON KOL", INDEX('Step 3 FOC Request'!$G:$G, MATCH(1, ('Step 3 FOC Request'!$A:$A=W722) * ('Step 3 FOC Request'!$F:$F=E722), 0)), "-")</f>
        <v>-</v>
      </c>
      <c r="O722" s="126"/>
      <c r="P722" s="126"/>
      <c r="Q722" s="126"/>
      <c r="R722" s="126"/>
      <c r="U722" s="126"/>
      <c r="V722" s="126"/>
      <c r="W722" s="135">
        <f>MAXIFS('Step 3 FOC Request'!$A:$A, 'Step 3 FOC Request'!$F:$F, $E722)</f>
        <v>0</v>
      </c>
      <c r="X722" s="135">
        <f>MAXIFS('Step 4 FOC Return'!$A:$A, 'Step 4 FOC Return'!$E:$E, $E722)</f>
        <v>0</v>
      </c>
      <c r="Y722" s="126"/>
    </row>
    <row r="723">
      <c r="A723" s="126"/>
      <c r="B723" s="154"/>
      <c r="C723" s="146"/>
      <c r="D723" s="146"/>
      <c r="E723" s="146"/>
      <c r="F723" s="155"/>
      <c r="G723" s="146"/>
      <c r="H723" s="126"/>
      <c r="I723" s="132"/>
      <c r="J723" s="146"/>
      <c r="K723" s="126"/>
      <c r="L723" s="126"/>
      <c r="M723" s="134" t="str">
        <f t="shared" si="1"/>
        <v/>
      </c>
      <c r="N723" s="134" t="str">
        <f t="array" ref="N723">IF(M723="LOANED / ON KOL", INDEX('Step 3 FOC Request'!$G:$G, MATCH(1, ('Step 3 FOC Request'!$A:$A=W723) * ('Step 3 FOC Request'!$F:$F=E723), 0)), "-")</f>
        <v>-</v>
      </c>
      <c r="O723" s="126"/>
      <c r="P723" s="126"/>
      <c r="Q723" s="126"/>
      <c r="R723" s="126"/>
      <c r="U723" s="126"/>
      <c r="V723" s="126"/>
      <c r="W723" s="135">
        <f>MAXIFS('Step 3 FOC Request'!$A:$A, 'Step 3 FOC Request'!$F:$F, $E723)</f>
        <v>0</v>
      </c>
      <c r="X723" s="135">
        <f>MAXIFS('Step 4 FOC Return'!$A:$A, 'Step 4 FOC Return'!$E:$E, $E723)</f>
        <v>0</v>
      </c>
      <c r="Y723" s="126"/>
    </row>
    <row r="724">
      <c r="A724" s="126"/>
      <c r="B724" s="154"/>
      <c r="C724" s="146"/>
      <c r="D724" s="146"/>
      <c r="E724" s="146"/>
      <c r="F724" s="155"/>
      <c r="G724" s="146"/>
      <c r="H724" s="126"/>
      <c r="I724" s="132"/>
      <c r="J724" s="146"/>
      <c r="K724" s="126"/>
      <c r="L724" s="126"/>
      <c r="M724" s="134" t="str">
        <f t="shared" si="1"/>
        <v/>
      </c>
      <c r="N724" s="134" t="str">
        <f t="array" ref="N724">IF(M724="LOANED / ON KOL", INDEX('Step 3 FOC Request'!$G:$G, MATCH(1, ('Step 3 FOC Request'!$A:$A=W724) * ('Step 3 FOC Request'!$F:$F=E724), 0)), "-")</f>
        <v>-</v>
      </c>
      <c r="O724" s="126"/>
      <c r="P724" s="126"/>
      <c r="Q724" s="126"/>
      <c r="R724" s="126"/>
      <c r="U724" s="126"/>
      <c r="V724" s="126"/>
      <c r="W724" s="135">
        <f>MAXIFS('Step 3 FOC Request'!$A:$A, 'Step 3 FOC Request'!$F:$F, $E724)</f>
        <v>0</v>
      </c>
      <c r="X724" s="135">
        <f>MAXIFS('Step 4 FOC Return'!$A:$A, 'Step 4 FOC Return'!$E:$E, $E724)</f>
        <v>0</v>
      </c>
      <c r="Y724" s="126"/>
    </row>
    <row r="725">
      <c r="A725" s="126"/>
      <c r="B725" s="154"/>
      <c r="C725" s="146"/>
      <c r="D725" s="146"/>
      <c r="E725" s="146"/>
      <c r="F725" s="155"/>
      <c r="G725" s="146"/>
      <c r="H725" s="126"/>
      <c r="I725" s="132"/>
      <c r="J725" s="146"/>
      <c r="K725" s="126"/>
      <c r="L725" s="126"/>
      <c r="M725" s="134" t="str">
        <f t="shared" si="1"/>
        <v/>
      </c>
      <c r="N725" s="134" t="str">
        <f t="array" ref="N725">IF(M725="LOANED / ON KOL", INDEX('Step 3 FOC Request'!$G:$G, MATCH(1, ('Step 3 FOC Request'!$A:$A=W725) * ('Step 3 FOC Request'!$F:$F=E725), 0)), "-")</f>
        <v>-</v>
      </c>
      <c r="O725" s="126"/>
      <c r="P725" s="126"/>
      <c r="Q725" s="126"/>
      <c r="R725" s="126"/>
      <c r="U725" s="126"/>
      <c r="V725" s="126"/>
      <c r="W725" s="135">
        <f>MAXIFS('Step 3 FOC Request'!$A:$A, 'Step 3 FOC Request'!$F:$F, $E725)</f>
        <v>0</v>
      </c>
      <c r="X725" s="135">
        <f>MAXIFS('Step 4 FOC Return'!$A:$A, 'Step 4 FOC Return'!$E:$E, $E725)</f>
        <v>0</v>
      </c>
      <c r="Y725" s="126"/>
    </row>
    <row r="726">
      <c r="A726" s="126"/>
      <c r="B726" s="154"/>
      <c r="C726" s="146"/>
      <c r="D726" s="146"/>
      <c r="E726" s="146"/>
      <c r="F726" s="155"/>
      <c r="G726" s="146"/>
      <c r="H726" s="126"/>
      <c r="I726" s="132"/>
      <c r="J726" s="146"/>
      <c r="K726" s="126"/>
      <c r="L726" s="126"/>
      <c r="M726" s="134" t="str">
        <f t="shared" si="1"/>
        <v/>
      </c>
      <c r="N726" s="134" t="str">
        <f t="array" ref="N726">IF(M726="LOANED / ON KOL", INDEX('Step 3 FOC Request'!$G:$G, MATCH(1, ('Step 3 FOC Request'!$A:$A=W726) * ('Step 3 FOC Request'!$F:$F=E726), 0)), "-")</f>
        <v>-</v>
      </c>
      <c r="O726" s="126"/>
      <c r="P726" s="126"/>
      <c r="Q726" s="126"/>
      <c r="R726" s="126"/>
      <c r="U726" s="126"/>
      <c r="V726" s="126"/>
      <c r="W726" s="135">
        <f>MAXIFS('Step 3 FOC Request'!$A:$A, 'Step 3 FOC Request'!$F:$F, $E726)</f>
        <v>0</v>
      </c>
      <c r="X726" s="135">
        <f>MAXIFS('Step 4 FOC Return'!$A:$A, 'Step 4 FOC Return'!$E:$E, $E726)</f>
        <v>0</v>
      </c>
      <c r="Y726" s="126"/>
    </row>
    <row r="727">
      <c r="A727" s="126"/>
      <c r="B727" s="154"/>
      <c r="C727" s="146"/>
      <c r="D727" s="146"/>
      <c r="E727" s="146"/>
      <c r="F727" s="155"/>
      <c r="G727" s="146"/>
      <c r="H727" s="126"/>
      <c r="I727" s="132"/>
      <c r="J727" s="146"/>
      <c r="K727" s="126"/>
      <c r="L727" s="126"/>
      <c r="M727" s="134" t="str">
        <f t="shared" si="1"/>
        <v/>
      </c>
      <c r="N727" s="134" t="str">
        <f t="array" ref="N727">IF(M727="LOANED / ON KOL", INDEX('Step 3 FOC Request'!$G:$G, MATCH(1, ('Step 3 FOC Request'!$A:$A=W727) * ('Step 3 FOC Request'!$F:$F=E727), 0)), "-")</f>
        <v>-</v>
      </c>
      <c r="O727" s="126"/>
      <c r="P727" s="126"/>
      <c r="Q727" s="126"/>
      <c r="R727" s="126"/>
      <c r="U727" s="126"/>
      <c r="V727" s="126"/>
      <c r="W727" s="135">
        <f>MAXIFS('Step 3 FOC Request'!$A:$A, 'Step 3 FOC Request'!$F:$F, $E727)</f>
        <v>0</v>
      </c>
      <c r="X727" s="135">
        <f>MAXIFS('Step 4 FOC Return'!$A:$A, 'Step 4 FOC Return'!$E:$E, $E727)</f>
        <v>0</v>
      </c>
      <c r="Y727" s="126"/>
    </row>
    <row r="728">
      <c r="A728" s="126"/>
      <c r="B728" s="154"/>
      <c r="C728" s="146"/>
      <c r="D728" s="146"/>
      <c r="E728" s="146"/>
      <c r="F728" s="155"/>
      <c r="G728" s="146"/>
      <c r="H728" s="126"/>
      <c r="I728" s="132"/>
      <c r="J728" s="146"/>
      <c r="K728" s="126"/>
      <c r="L728" s="126"/>
      <c r="M728" s="134" t="str">
        <f t="shared" si="1"/>
        <v/>
      </c>
      <c r="N728" s="134" t="str">
        <f t="array" ref="N728">IF(M728="LOANED / ON KOL", INDEX('Step 3 FOC Request'!$G:$G, MATCH(1, ('Step 3 FOC Request'!$A:$A=W728) * ('Step 3 FOC Request'!$F:$F=E728), 0)), "-")</f>
        <v>-</v>
      </c>
      <c r="O728" s="126"/>
      <c r="P728" s="126"/>
      <c r="Q728" s="126"/>
      <c r="R728" s="126"/>
      <c r="U728" s="126"/>
      <c r="V728" s="126"/>
      <c r="W728" s="135">
        <f>MAXIFS('Step 3 FOC Request'!$A:$A, 'Step 3 FOC Request'!$F:$F, $E728)</f>
        <v>0</v>
      </c>
      <c r="X728" s="135">
        <f>MAXIFS('Step 4 FOC Return'!$A:$A, 'Step 4 FOC Return'!$E:$E, $E728)</f>
        <v>0</v>
      </c>
      <c r="Y728" s="126"/>
    </row>
    <row r="729">
      <c r="A729" s="126"/>
      <c r="B729" s="154"/>
      <c r="C729" s="146"/>
      <c r="D729" s="146"/>
      <c r="E729" s="146"/>
      <c r="F729" s="155"/>
      <c r="G729" s="146"/>
      <c r="H729" s="126"/>
      <c r="I729" s="132"/>
      <c r="J729" s="146"/>
      <c r="K729" s="126"/>
      <c r="L729" s="126"/>
      <c r="M729" s="134" t="str">
        <f t="shared" si="1"/>
        <v/>
      </c>
      <c r="N729" s="134" t="str">
        <f t="array" ref="N729">IF(M729="LOANED / ON KOL", INDEX('Step 3 FOC Request'!$G:$G, MATCH(1, ('Step 3 FOC Request'!$A:$A=W729) * ('Step 3 FOC Request'!$F:$F=E729), 0)), "-")</f>
        <v>-</v>
      </c>
      <c r="O729" s="126"/>
      <c r="P729" s="126"/>
      <c r="Q729" s="126"/>
      <c r="R729" s="126"/>
      <c r="U729" s="126"/>
      <c r="V729" s="126"/>
      <c r="W729" s="135">
        <f>MAXIFS('Step 3 FOC Request'!$A:$A, 'Step 3 FOC Request'!$F:$F, $E729)</f>
        <v>0</v>
      </c>
      <c r="X729" s="135">
        <f>MAXIFS('Step 4 FOC Return'!$A:$A, 'Step 4 FOC Return'!$E:$E, $E729)</f>
        <v>0</v>
      </c>
      <c r="Y729" s="126"/>
    </row>
    <row r="730">
      <c r="A730" s="126"/>
      <c r="B730" s="154"/>
      <c r="C730" s="146"/>
      <c r="D730" s="146"/>
      <c r="E730" s="146"/>
      <c r="F730" s="155"/>
      <c r="G730" s="146"/>
      <c r="H730" s="126"/>
      <c r="I730" s="132"/>
      <c r="J730" s="146"/>
      <c r="K730" s="126"/>
      <c r="L730" s="126"/>
      <c r="M730" s="134" t="str">
        <f t="shared" si="1"/>
        <v/>
      </c>
      <c r="N730" s="134" t="str">
        <f t="array" ref="N730">IF(M730="LOANED / ON KOL", INDEX('Step 3 FOC Request'!$G:$G, MATCH(1, ('Step 3 FOC Request'!$A:$A=W730) * ('Step 3 FOC Request'!$F:$F=E730), 0)), "-")</f>
        <v>-</v>
      </c>
      <c r="O730" s="126"/>
      <c r="P730" s="126"/>
      <c r="Q730" s="126"/>
      <c r="R730" s="126"/>
      <c r="U730" s="126"/>
      <c r="V730" s="126"/>
      <c r="W730" s="135">
        <f>MAXIFS('Step 3 FOC Request'!$A:$A, 'Step 3 FOC Request'!$F:$F, $E730)</f>
        <v>0</v>
      </c>
      <c r="X730" s="135">
        <f>MAXIFS('Step 4 FOC Return'!$A:$A, 'Step 4 FOC Return'!$E:$E, $E730)</f>
        <v>0</v>
      </c>
      <c r="Y730" s="126"/>
    </row>
    <row r="731">
      <c r="A731" s="126"/>
      <c r="B731" s="154"/>
      <c r="C731" s="146"/>
      <c r="D731" s="146"/>
      <c r="E731" s="146"/>
      <c r="F731" s="155"/>
      <c r="G731" s="146"/>
      <c r="H731" s="126"/>
      <c r="I731" s="132"/>
      <c r="J731" s="146"/>
      <c r="K731" s="126"/>
      <c r="L731" s="126"/>
      <c r="M731" s="134" t="str">
        <f t="shared" si="1"/>
        <v/>
      </c>
      <c r="N731" s="134" t="str">
        <f t="array" ref="N731">IF(M731="LOANED / ON KOL", INDEX('Step 3 FOC Request'!$G:$G, MATCH(1, ('Step 3 FOC Request'!$A:$A=W731) * ('Step 3 FOC Request'!$F:$F=E731), 0)), "-")</f>
        <v>-</v>
      </c>
      <c r="O731" s="126"/>
      <c r="P731" s="126"/>
      <c r="Q731" s="126"/>
      <c r="R731" s="126"/>
      <c r="U731" s="126"/>
      <c r="V731" s="126"/>
      <c r="W731" s="135">
        <f>MAXIFS('Step 3 FOC Request'!$A:$A, 'Step 3 FOC Request'!$F:$F, $E731)</f>
        <v>0</v>
      </c>
      <c r="X731" s="135">
        <f>MAXIFS('Step 4 FOC Return'!$A:$A, 'Step 4 FOC Return'!$E:$E, $E731)</f>
        <v>0</v>
      </c>
      <c r="Y731" s="126"/>
    </row>
    <row r="732">
      <c r="A732" s="126"/>
      <c r="B732" s="154"/>
      <c r="C732" s="146"/>
      <c r="D732" s="146"/>
      <c r="E732" s="146"/>
      <c r="F732" s="155"/>
      <c r="G732" s="146"/>
      <c r="H732" s="126"/>
      <c r="I732" s="132"/>
      <c r="J732" s="146"/>
      <c r="K732" s="126"/>
      <c r="L732" s="126"/>
      <c r="M732" s="134" t="str">
        <f t="shared" si="1"/>
        <v/>
      </c>
      <c r="N732" s="134" t="str">
        <f t="array" ref="N732">IF(M732="LOANED / ON KOL", INDEX('Step 3 FOC Request'!$G:$G, MATCH(1, ('Step 3 FOC Request'!$A:$A=W732) * ('Step 3 FOC Request'!$F:$F=E732), 0)), "-")</f>
        <v>-</v>
      </c>
      <c r="O732" s="126"/>
      <c r="P732" s="126"/>
      <c r="Q732" s="126"/>
      <c r="R732" s="126"/>
      <c r="U732" s="126"/>
      <c r="V732" s="126"/>
      <c r="W732" s="135">
        <f>MAXIFS('Step 3 FOC Request'!$A:$A, 'Step 3 FOC Request'!$F:$F, $E732)</f>
        <v>0</v>
      </c>
      <c r="X732" s="135">
        <f>MAXIFS('Step 4 FOC Return'!$A:$A, 'Step 4 FOC Return'!$E:$E, $E732)</f>
        <v>0</v>
      </c>
      <c r="Y732" s="126"/>
    </row>
    <row r="733">
      <c r="A733" s="126"/>
      <c r="B733" s="154"/>
      <c r="C733" s="146"/>
      <c r="D733" s="146"/>
      <c r="E733" s="146"/>
      <c r="F733" s="155"/>
      <c r="G733" s="146"/>
      <c r="H733" s="126"/>
      <c r="I733" s="132"/>
      <c r="J733" s="146"/>
      <c r="K733" s="126"/>
      <c r="L733" s="126"/>
      <c r="M733" s="134" t="str">
        <f t="shared" si="1"/>
        <v/>
      </c>
      <c r="N733" s="134" t="str">
        <f t="array" ref="N733">IF(M733="LOANED / ON KOL", INDEX('Step 3 FOC Request'!$G:$G, MATCH(1, ('Step 3 FOC Request'!$A:$A=W733) * ('Step 3 FOC Request'!$F:$F=E733), 0)), "-")</f>
        <v>-</v>
      </c>
      <c r="O733" s="126"/>
      <c r="P733" s="126"/>
      <c r="Q733" s="126"/>
      <c r="R733" s="126"/>
      <c r="U733" s="126"/>
      <c r="V733" s="126"/>
      <c r="W733" s="135">
        <f>MAXIFS('Step 3 FOC Request'!$A:$A, 'Step 3 FOC Request'!$F:$F, $E733)</f>
        <v>0</v>
      </c>
      <c r="X733" s="135">
        <f>MAXIFS('Step 4 FOC Return'!$A:$A, 'Step 4 FOC Return'!$E:$E, $E733)</f>
        <v>0</v>
      </c>
      <c r="Y733" s="126"/>
    </row>
    <row r="734">
      <c r="A734" s="126"/>
      <c r="B734" s="154"/>
      <c r="C734" s="146"/>
      <c r="D734" s="146"/>
      <c r="E734" s="146"/>
      <c r="F734" s="155"/>
      <c r="G734" s="146"/>
      <c r="H734" s="126"/>
      <c r="I734" s="132"/>
      <c r="J734" s="146"/>
      <c r="K734" s="126"/>
      <c r="L734" s="126"/>
      <c r="M734" s="134" t="str">
        <f t="shared" si="1"/>
        <v/>
      </c>
      <c r="N734" s="134" t="str">
        <f t="array" ref="N734">IF(M734="LOANED / ON KOL", INDEX('Step 3 FOC Request'!$G:$G, MATCH(1, ('Step 3 FOC Request'!$A:$A=W734) * ('Step 3 FOC Request'!$F:$F=E734), 0)), "-")</f>
        <v>-</v>
      </c>
      <c r="O734" s="126"/>
      <c r="P734" s="126"/>
      <c r="Q734" s="126"/>
      <c r="R734" s="126"/>
      <c r="U734" s="126"/>
      <c r="V734" s="126"/>
      <c r="W734" s="135">
        <f>MAXIFS('Step 3 FOC Request'!$A:$A, 'Step 3 FOC Request'!$F:$F, $E734)</f>
        <v>0</v>
      </c>
      <c r="X734" s="135">
        <f>MAXIFS('Step 4 FOC Return'!$A:$A, 'Step 4 FOC Return'!$E:$E, $E734)</f>
        <v>0</v>
      </c>
      <c r="Y734" s="126"/>
    </row>
    <row r="735">
      <c r="A735" s="126"/>
      <c r="B735" s="154"/>
      <c r="C735" s="146"/>
      <c r="D735" s="146"/>
      <c r="E735" s="146"/>
      <c r="F735" s="155"/>
      <c r="G735" s="146"/>
      <c r="H735" s="126"/>
      <c r="I735" s="132"/>
      <c r="J735" s="146"/>
      <c r="K735" s="126"/>
      <c r="L735" s="126"/>
      <c r="M735" s="134" t="str">
        <f t="shared" si="1"/>
        <v/>
      </c>
      <c r="N735" s="134" t="str">
        <f t="array" ref="N735">IF(M735="LOANED / ON KOL", INDEX('Step 3 FOC Request'!$G:$G, MATCH(1, ('Step 3 FOC Request'!$A:$A=W735) * ('Step 3 FOC Request'!$F:$F=E735), 0)), "-")</f>
        <v>-</v>
      </c>
      <c r="O735" s="126"/>
      <c r="P735" s="126"/>
      <c r="Q735" s="126"/>
      <c r="R735" s="126"/>
      <c r="U735" s="126"/>
      <c r="V735" s="126"/>
      <c r="W735" s="135">
        <f>MAXIFS('Step 3 FOC Request'!$A:$A, 'Step 3 FOC Request'!$F:$F, $E735)</f>
        <v>0</v>
      </c>
      <c r="X735" s="135">
        <f>MAXIFS('Step 4 FOC Return'!$A:$A, 'Step 4 FOC Return'!$E:$E, $E735)</f>
        <v>0</v>
      </c>
      <c r="Y735" s="126"/>
    </row>
    <row r="736">
      <c r="A736" s="126"/>
      <c r="B736" s="154"/>
      <c r="C736" s="146"/>
      <c r="D736" s="146"/>
      <c r="E736" s="146"/>
      <c r="F736" s="155"/>
      <c r="G736" s="146"/>
      <c r="H736" s="126"/>
      <c r="I736" s="132"/>
      <c r="J736" s="146"/>
      <c r="K736" s="126"/>
      <c r="L736" s="126"/>
      <c r="M736" s="134" t="str">
        <f t="shared" si="1"/>
        <v/>
      </c>
      <c r="N736" s="134" t="str">
        <f t="array" ref="N736">IF(M736="LOANED / ON KOL", INDEX('Step 3 FOC Request'!$G:$G, MATCH(1, ('Step 3 FOC Request'!$A:$A=W736) * ('Step 3 FOC Request'!$F:$F=E736), 0)), "-")</f>
        <v>-</v>
      </c>
      <c r="O736" s="126"/>
      <c r="P736" s="126"/>
      <c r="Q736" s="126"/>
      <c r="R736" s="126"/>
      <c r="U736" s="126"/>
      <c r="V736" s="126"/>
      <c r="W736" s="135">
        <f>MAXIFS('Step 3 FOC Request'!$A:$A, 'Step 3 FOC Request'!$F:$F, $E736)</f>
        <v>0</v>
      </c>
      <c r="X736" s="135">
        <f>MAXIFS('Step 4 FOC Return'!$A:$A, 'Step 4 FOC Return'!$E:$E, $E736)</f>
        <v>0</v>
      </c>
      <c r="Y736" s="126"/>
    </row>
    <row r="737">
      <c r="A737" s="126"/>
      <c r="B737" s="154"/>
      <c r="C737" s="146"/>
      <c r="D737" s="146"/>
      <c r="E737" s="146"/>
      <c r="F737" s="155"/>
      <c r="G737" s="146"/>
      <c r="H737" s="126"/>
      <c r="I737" s="132"/>
      <c r="J737" s="146"/>
      <c r="K737" s="126"/>
      <c r="L737" s="126"/>
      <c r="M737" s="134" t="str">
        <f t="shared" si="1"/>
        <v/>
      </c>
      <c r="N737" s="134" t="str">
        <f t="array" ref="N737">IF(M737="LOANED / ON KOL", INDEX('Step 3 FOC Request'!$G:$G, MATCH(1, ('Step 3 FOC Request'!$A:$A=W737) * ('Step 3 FOC Request'!$F:$F=E737), 0)), "-")</f>
        <v>-</v>
      </c>
      <c r="O737" s="126"/>
      <c r="P737" s="126"/>
      <c r="Q737" s="126"/>
      <c r="R737" s="126"/>
      <c r="U737" s="126"/>
      <c r="V737" s="126"/>
      <c r="W737" s="135">
        <f>MAXIFS('Step 3 FOC Request'!$A:$A, 'Step 3 FOC Request'!$F:$F, $E737)</f>
        <v>0</v>
      </c>
      <c r="X737" s="135">
        <f>MAXIFS('Step 4 FOC Return'!$A:$A, 'Step 4 FOC Return'!$E:$E, $E737)</f>
        <v>0</v>
      </c>
      <c r="Y737" s="126"/>
    </row>
    <row r="738">
      <c r="A738" s="126"/>
      <c r="B738" s="154"/>
      <c r="C738" s="146"/>
      <c r="D738" s="146"/>
      <c r="E738" s="146"/>
      <c r="F738" s="155"/>
      <c r="G738" s="146"/>
      <c r="H738" s="126"/>
      <c r="I738" s="132"/>
      <c r="J738" s="146"/>
      <c r="K738" s="126"/>
      <c r="L738" s="126"/>
      <c r="M738" s="134" t="str">
        <f t="shared" si="1"/>
        <v/>
      </c>
      <c r="N738" s="134" t="str">
        <f t="array" ref="N738">IF(M738="LOANED / ON KOL", INDEX('Step 3 FOC Request'!$G:$G, MATCH(1, ('Step 3 FOC Request'!$A:$A=W738) * ('Step 3 FOC Request'!$F:$F=E738), 0)), "-")</f>
        <v>-</v>
      </c>
      <c r="O738" s="126"/>
      <c r="P738" s="126"/>
      <c r="Q738" s="126"/>
      <c r="R738" s="126"/>
      <c r="U738" s="126"/>
      <c r="V738" s="126"/>
      <c r="W738" s="135">
        <f>MAXIFS('Step 3 FOC Request'!$A:$A, 'Step 3 FOC Request'!$F:$F, $E738)</f>
        <v>0</v>
      </c>
      <c r="X738" s="135">
        <f>MAXIFS('Step 4 FOC Return'!$A:$A, 'Step 4 FOC Return'!$E:$E, $E738)</f>
        <v>0</v>
      </c>
      <c r="Y738" s="126"/>
    </row>
    <row r="739">
      <c r="A739" s="126"/>
      <c r="B739" s="154"/>
      <c r="C739" s="146"/>
      <c r="D739" s="146"/>
      <c r="E739" s="146"/>
      <c r="F739" s="155"/>
      <c r="G739" s="146"/>
      <c r="H739" s="126"/>
      <c r="I739" s="132"/>
      <c r="J739" s="146"/>
      <c r="K739" s="126"/>
      <c r="L739" s="126"/>
      <c r="M739" s="134" t="str">
        <f t="shared" si="1"/>
        <v/>
      </c>
      <c r="N739" s="134" t="str">
        <f t="array" ref="N739">IF(M739="LOANED / ON KOL", INDEX('Step 3 FOC Request'!$G:$G, MATCH(1, ('Step 3 FOC Request'!$A:$A=W739) * ('Step 3 FOC Request'!$F:$F=E739), 0)), "-")</f>
        <v>-</v>
      </c>
      <c r="O739" s="126"/>
      <c r="P739" s="126"/>
      <c r="Q739" s="126"/>
      <c r="R739" s="126"/>
      <c r="U739" s="126"/>
      <c r="V739" s="126"/>
      <c r="W739" s="135">
        <f>MAXIFS('Step 3 FOC Request'!$A:$A, 'Step 3 FOC Request'!$F:$F, $E739)</f>
        <v>0</v>
      </c>
      <c r="X739" s="135">
        <f>MAXIFS('Step 4 FOC Return'!$A:$A, 'Step 4 FOC Return'!$E:$E, $E739)</f>
        <v>0</v>
      </c>
      <c r="Y739" s="126"/>
    </row>
    <row r="740">
      <c r="A740" s="126"/>
      <c r="B740" s="154"/>
      <c r="C740" s="146"/>
      <c r="D740" s="146"/>
      <c r="E740" s="146"/>
      <c r="F740" s="155"/>
      <c r="G740" s="146"/>
      <c r="H740" s="126"/>
      <c r="I740" s="132"/>
      <c r="J740" s="146"/>
      <c r="K740" s="126"/>
      <c r="L740" s="126"/>
      <c r="M740" s="134" t="str">
        <f t="shared" si="1"/>
        <v/>
      </c>
      <c r="N740" s="134" t="str">
        <f t="array" ref="N740">IF(M740="LOANED / ON KOL", INDEX('Step 3 FOC Request'!$G:$G, MATCH(1, ('Step 3 FOC Request'!$A:$A=W740) * ('Step 3 FOC Request'!$F:$F=E740), 0)), "-")</f>
        <v>-</v>
      </c>
      <c r="O740" s="126"/>
      <c r="P740" s="126"/>
      <c r="Q740" s="126"/>
      <c r="R740" s="126"/>
      <c r="U740" s="126"/>
      <c r="V740" s="126"/>
      <c r="W740" s="135">
        <f>MAXIFS('Step 3 FOC Request'!$A:$A, 'Step 3 FOC Request'!$F:$F, $E740)</f>
        <v>0</v>
      </c>
      <c r="X740" s="135">
        <f>MAXIFS('Step 4 FOC Return'!$A:$A, 'Step 4 FOC Return'!$E:$E, $E740)</f>
        <v>0</v>
      </c>
      <c r="Y740" s="126"/>
    </row>
    <row r="741">
      <c r="A741" s="126"/>
      <c r="B741" s="154"/>
      <c r="C741" s="146"/>
      <c r="D741" s="146"/>
      <c r="E741" s="146"/>
      <c r="F741" s="155"/>
      <c r="G741" s="146"/>
      <c r="H741" s="126"/>
      <c r="I741" s="132"/>
      <c r="J741" s="146"/>
      <c r="K741" s="126"/>
      <c r="L741" s="126"/>
      <c r="M741" s="134" t="str">
        <f t="shared" si="1"/>
        <v/>
      </c>
      <c r="N741" s="134" t="str">
        <f t="array" ref="N741">IF(M741="LOANED / ON KOL", INDEX('Step 3 FOC Request'!$G:$G, MATCH(1, ('Step 3 FOC Request'!$A:$A=W741) * ('Step 3 FOC Request'!$F:$F=E741), 0)), "-")</f>
        <v>-</v>
      </c>
      <c r="O741" s="126"/>
      <c r="P741" s="126"/>
      <c r="Q741" s="126"/>
      <c r="R741" s="126"/>
      <c r="U741" s="126"/>
      <c r="V741" s="126"/>
      <c r="W741" s="135">
        <f>MAXIFS('Step 3 FOC Request'!$A:$A, 'Step 3 FOC Request'!$F:$F, $E741)</f>
        <v>0</v>
      </c>
      <c r="X741" s="135">
        <f>MAXIFS('Step 4 FOC Return'!$A:$A, 'Step 4 FOC Return'!$E:$E, $E741)</f>
        <v>0</v>
      </c>
      <c r="Y741" s="126"/>
    </row>
    <row r="742">
      <c r="A742" s="126"/>
      <c r="B742" s="154"/>
      <c r="C742" s="146"/>
      <c r="D742" s="146"/>
      <c r="E742" s="146"/>
      <c r="F742" s="155"/>
      <c r="G742" s="146"/>
      <c r="H742" s="126"/>
      <c r="I742" s="132"/>
      <c r="J742" s="146"/>
      <c r="K742" s="126"/>
      <c r="L742" s="126"/>
      <c r="M742" s="134" t="str">
        <f t="shared" si="1"/>
        <v/>
      </c>
      <c r="N742" s="134" t="str">
        <f t="array" ref="N742">IF(M742="LOANED / ON KOL", INDEX('Step 3 FOC Request'!$G:$G, MATCH(1, ('Step 3 FOC Request'!$A:$A=W742) * ('Step 3 FOC Request'!$F:$F=E742), 0)), "-")</f>
        <v>-</v>
      </c>
      <c r="O742" s="126"/>
      <c r="P742" s="126"/>
      <c r="Q742" s="126"/>
      <c r="R742" s="126"/>
      <c r="U742" s="126"/>
      <c r="V742" s="126"/>
      <c r="W742" s="135">
        <f>MAXIFS('Step 3 FOC Request'!$A:$A, 'Step 3 FOC Request'!$F:$F, $E742)</f>
        <v>0</v>
      </c>
      <c r="X742" s="135">
        <f>MAXIFS('Step 4 FOC Return'!$A:$A, 'Step 4 FOC Return'!$E:$E, $E742)</f>
        <v>0</v>
      </c>
      <c r="Y742" s="126"/>
    </row>
    <row r="743">
      <c r="A743" s="126"/>
      <c r="B743" s="154"/>
      <c r="C743" s="146"/>
      <c r="D743" s="146"/>
      <c r="E743" s="146"/>
      <c r="F743" s="155"/>
      <c r="G743" s="146"/>
      <c r="H743" s="126"/>
      <c r="I743" s="132"/>
      <c r="J743" s="146"/>
      <c r="K743" s="126"/>
      <c r="L743" s="126"/>
      <c r="M743" s="134" t="str">
        <f t="shared" si="1"/>
        <v/>
      </c>
      <c r="N743" s="134" t="str">
        <f t="array" ref="N743">IF(M743="LOANED / ON KOL", INDEX('Step 3 FOC Request'!$G:$G, MATCH(1, ('Step 3 FOC Request'!$A:$A=W743) * ('Step 3 FOC Request'!$F:$F=E743), 0)), "-")</f>
        <v>-</v>
      </c>
      <c r="O743" s="126"/>
      <c r="P743" s="126"/>
      <c r="Q743" s="126"/>
      <c r="R743" s="126"/>
      <c r="U743" s="126"/>
      <c r="V743" s="126"/>
      <c r="W743" s="135">
        <f>MAXIFS('Step 3 FOC Request'!$A:$A, 'Step 3 FOC Request'!$F:$F, $E743)</f>
        <v>0</v>
      </c>
      <c r="X743" s="135">
        <f>MAXIFS('Step 4 FOC Return'!$A:$A, 'Step 4 FOC Return'!$E:$E, $E743)</f>
        <v>0</v>
      </c>
      <c r="Y743" s="126"/>
    </row>
    <row r="744">
      <c r="A744" s="126"/>
      <c r="B744" s="154"/>
      <c r="C744" s="146"/>
      <c r="D744" s="146"/>
      <c r="E744" s="146"/>
      <c r="F744" s="155"/>
      <c r="G744" s="146"/>
      <c r="H744" s="126"/>
      <c r="I744" s="132"/>
      <c r="J744" s="146"/>
      <c r="K744" s="126"/>
      <c r="L744" s="126"/>
      <c r="M744" s="134" t="str">
        <f t="shared" si="1"/>
        <v/>
      </c>
      <c r="N744" s="134" t="str">
        <f t="array" ref="N744">IF(M744="LOANED / ON KOL", INDEX('Step 3 FOC Request'!$G:$G, MATCH(1, ('Step 3 FOC Request'!$A:$A=W744) * ('Step 3 FOC Request'!$F:$F=E744), 0)), "-")</f>
        <v>-</v>
      </c>
      <c r="O744" s="126"/>
      <c r="P744" s="126"/>
      <c r="Q744" s="126"/>
      <c r="R744" s="126"/>
      <c r="U744" s="126"/>
      <c r="V744" s="126"/>
      <c r="W744" s="135">
        <f>MAXIFS('Step 3 FOC Request'!$A:$A, 'Step 3 FOC Request'!$F:$F, $E744)</f>
        <v>0</v>
      </c>
      <c r="X744" s="135">
        <f>MAXIFS('Step 4 FOC Return'!$A:$A, 'Step 4 FOC Return'!$E:$E, $E744)</f>
        <v>0</v>
      </c>
      <c r="Y744" s="126"/>
    </row>
    <row r="745">
      <c r="A745" s="126"/>
      <c r="B745" s="154"/>
      <c r="C745" s="146"/>
      <c r="D745" s="146"/>
      <c r="E745" s="146"/>
      <c r="F745" s="155"/>
      <c r="G745" s="146"/>
      <c r="H745" s="126"/>
      <c r="I745" s="132"/>
      <c r="J745" s="146"/>
      <c r="K745" s="126"/>
      <c r="L745" s="126"/>
      <c r="M745" s="134" t="str">
        <f t="shared" si="1"/>
        <v/>
      </c>
      <c r="N745" s="134" t="str">
        <f t="array" ref="N745">IF(M745="LOANED / ON KOL", INDEX('Step 3 FOC Request'!$G:$G, MATCH(1, ('Step 3 FOC Request'!$A:$A=W745) * ('Step 3 FOC Request'!$F:$F=E745), 0)), "-")</f>
        <v>-</v>
      </c>
      <c r="O745" s="126"/>
      <c r="P745" s="126"/>
      <c r="Q745" s="126"/>
      <c r="R745" s="126"/>
      <c r="U745" s="126"/>
      <c r="V745" s="126"/>
      <c r="W745" s="135">
        <f>MAXIFS('Step 3 FOC Request'!$A:$A, 'Step 3 FOC Request'!$F:$F, $E745)</f>
        <v>0</v>
      </c>
      <c r="X745" s="135">
        <f>MAXIFS('Step 4 FOC Return'!$A:$A, 'Step 4 FOC Return'!$E:$E, $E745)</f>
        <v>0</v>
      </c>
      <c r="Y745" s="126"/>
    </row>
    <row r="746">
      <c r="A746" s="126"/>
      <c r="B746" s="154"/>
      <c r="C746" s="146"/>
      <c r="D746" s="146"/>
      <c r="E746" s="146"/>
      <c r="F746" s="155"/>
      <c r="G746" s="146"/>
      <c r="H746" s="126"/>
      <c r="I746" s="132"/>
      <c r="J746" s="146"/>
      <c r="K746" s="126"/>
      <c r="L746" s="126"/>
      <c r="M746" s="134" t="str">
        <f t="shared" si="1"/>
        <v/>
      </c>
      <c r="N746" s="134" t="str">
        <f t="array" ref="N746">IF(M746="LOANED / ON KOL", INDEX('Step 3 FOC Request'!$G:$G, MATCH(1, ('Step 3 FOC Request'!$A:$A=W746) * ('Step 3 FOC Request'!$F:$F=E746), 0)), "-")</f>
        <v>-</v>
      </c>
      <c r="O746" s="126"/>
      <c r="P746" s="126"/>
      <c r="Q746" s="126"/>
      <c r="R746" s="126"/>
      <c r="U746" s="126"/>
      <c r="V746" s="126"/>
      <c r="W746" s="135">
        <f>MAXIFS('Step 3 FOC Request'!$A:$A, 'Step 3 FOC Request'!$F:$F, $E746)</f>
        <v>0</v>
      </c>
      <c r="X746" s="135">
        <f>MAXIFS('Step 4 FOC Return'!$A:$A, 'Step 4 FOC Return'!$E:$E, $E746)</f>
        <v>0</v>
      </c>
      <c r="Y746" s="126"/>
    </row>
    <row r="747">
      <c r="A747" s="126"/>
      <c r="B747" s="154"/>
      <c r="C747" s="146"/>
      <c r="D747" s="146"/>
      <c r="E747" s="146"/>
      <c r="F747" s="155"/>
      <c r="G747" s="146"/>
      <c r="H747" s="126"/>
      <c r="I747" s="132"/>
      <c r="J747" s="146"/>
      <c r="K747" s="126"/>
      <c r="L747" s="126"/>
      <c r="M747" s="134" t="str">
        <f t="shared" si="1"/>
        <v/>
      </c>
      <c r="N747" s="134" t="str">
        <f t="array" ref="N747">IF(M747="LOANED / ON KOL", INDEX('Step 3 FOC Request'!$G:$G, MATCH(1, ('Step 3 FOC Request'!$A:$A=W747) * ('Step 3 FOC Request'!$F:$F=E747), 0)), "-")</f>
        <v>-</v>
      </c>
      <c r="O747" s="126"/>
      <c r="P747" s="126"/>
      <c r="Q747" s="126"/>
      <c r="R747" s="126"/>
      <c r="U747" s="126"/>
      <c r="V747" s="126"/>
      <c r="W747" s="135">
        <f>MAXIFS('Step 3 FOC Request'!$A:$A, 'Step 3 FOC Request'!$F:$F, $E747)</f>
        <v>0</v>
      </c>
      <c r="X747" s="135">
        <f>MAXIFS('Step 4 FOC Return'!$A:$A, 'Step 4 FOC Return'!$E:$E, $E747)</f>
        <v>0</v>
      </c>
      <c r="Y747" s="126"/>
    </row>
    <row r="748">
      <c r="A748" s="126"/>
      <c r="B748" s="154"/>
      <c r="C748" s="146"/>
      <c r="D748" s="146"/>
      <c r="E748" s="146"/>
      <c r="F748" s="155"/>
      <c r="G748" s="146"/>
      <c r="H748" s="126"/>
      <c r="I748" s="132"/>
      <c r="J748" s="146"/>
      <c r="K748" s="126"/>
      <c r="L748" s="126"/>
      <c r="M748" s="134" t="str">
        <f t="shared" si="1"/>
        <v/>
      </c>
      <c r="N748" s="134" t="str">
        <f t="array" ref="N748">IF(M748="LOANED / ON KOL", INDEX('Step 3 FOC Request'!$G:$G, MATCH(1, ('Step 3 FOC Request'!$A:$A=W748) * ('Step 3 FOC Request'!$F:$F=E748), 0)), "-")</f>
        <v>-</v>
      </c>
      <c r="O748" s="126"/>
      <c r="P748" s="126"/>
      <c r="Q748" s="126"/>
      <c r="R748" s="126"/>
      <c r="U748" s="126"/>
      <c r="V748" s="126"/>
      <c r="W748" s="135">
        <f>MAXIFS('Step 3 FOC Request'!$A:$A, 'Step 3 FOC Request'!$F:$F, $E748)</f>
        <v>0</v>
      </c>
      <c r="X748" s="135">
        <f>MAXIFS('Step 4 FOC Return'!$A:$A, 'Step 4 FOC Return'!$E:$E, $E748)</f>
        <v>0</v>
      </c>
      <c r="Y748" s="126"/>
    </row>
    <row r="749">
      <c r="A749" s="126"/>
      <c r="B749" s="154"/>
      <c r="C749" s="146"/>
      <c r="D749" s="146"/>
      <c r="E749" s="146"/>
      <c r="F749" s="155"/>
      <c r="G749" s="146"/>
      <c r="H749" s="126"/>
      <c r="I749" s="132"/>
      <c r="J749" s="146"/>
      <c r="K749" s="126"/>
      <c r="L749" s="126"/>
      <c r="M749" s="134" t="str">
        <f t="shared" si="1"/>
        <v/>
      </c>
      <c r="N749" s="134" t="str">
        <f t="array" ref="N749">IF(M749="LOANED / ON KOL", INDEX('Step 3 FOC Request'!$G:$G, MATCH(1, ('Step 3 FOC Request'!$A:$A=W749) * ('Step 3 FOC Request'!$F:$F=E749), 0)), "-")</f>
        <v>-</v>
      </c>
      <c r="O749" s="126"/>
      <c r="P749" s="126"/>
      <c r="Q749" s="126"/>
      <c r="R749" s="126"/>
      <c r="U749" s="126"/>
      <c r="V749" s="126"/>
      <c r="W749" s="135">
        <f>MAXIFS('Step 3 FOC Request'!$A:$A, 'Step 3 FOC Request'!$F:$F, $E749)</f>
        <v>0</v>
      </c>
      <c r="X749" s="135">
        <f>MAXIFS('Step 4 FOC Return'!$A:$A, 'Step 4 FOC Return'!$E:$E, $E749)</f>
        <v>0</v>
      </c>
      <c r="Y749" s="126"/>
    </row>
    <row r="750">
      <c r="A750" s="126"/>
      <c r="B750" s="154"/>
      <c r="C750" s="146"/>
      <c r="D750" s="146"/>
      <c r="E750" s="146"/>
      <c r="F750" s="155"/>
      <c r="G750" s="146"/>
      <c r="H750" s="126"/>
      <c r="I750" s="132"/>
      <c r="J750" s="146"/>
      <c r="K750" s="126"/>
      <c r="L750" s="126"/>
      <c r="M750" s="134" t="str">
        <f t="shared" si="1"/>
        <v/>
      </c>
      <c r="N750" s="134" t="str">
        <f t="array" ref="N750">IF(M750="LOANED / ON KOL", INDEX('Step 3 FOC Request'!$G:$G, MATCH(1, ('Step 3 FOC Request'!$A:$A=W750) * ('Step 3 FOC Request'!$F:$F=E750), 0)), "-")</f>
        <v>-</v>
      </c>
      <c r="O750" s="126"/>
      <c r="P750" s="126"/>
      <c r="Q750" s="126"/>
      <c r="R750" s="126"/>
      <c r="U750" s="126"/>
      <c r="V750" s="126"/>
      <c r="W750" s="135">
        <f>MAXIFS('Step 3 FOC Request'!$A:$A, 'Step 3 FOC Request'!$F:$F, $E750)</f>
        <v>0</v>
      </c>
      <c r="X750" s="135">
        <f>MAXIFS('Step 4 FOC Return'!$A:$A, 'Step 4 FOC Return'!$E:$E, $E750)</f>
        <v>0</v>
      </c>
      <c r="Y750" s="126"/>
    </row>
    <row r="751">
      <c r="A751" s="126"/>
      <c r="B751" s="154"/>
      <c r="C751" s="146"/>
      <c r="D751" s="146"/>
      <c r="E751" s="146"/>
      <c r="F751" s="155"/>
      <c r="G751" s="146"/>
      <c r="H751" s="126"/>
      <c r="I751" s="132"/>
      <c r="J751" s="146"/>
      <c r="K751" s="126"/>
      <c r="L751" s="126"/>
      <c r="M751" s="134" t="str">
        <f t="shared" si="1"/>
        <v/>
      </c>
      <c r="N751" s="134" t="str">
        <f t="array" ref="N751">IF(M751="LOANED / ON KOL", INDEX('Step 3 FOC Request'!$G:$G, MATCH(1, ('Step 3 FOC Request'!$A:$A=W751) * ('Step 3 FOC Request'!$F:$F=E751), 0)), "-")</f>
        <v>-</v>
      </c>
      <c r="O751" s="126"/>
      <c r="P751" s="126"/>
      <c r="Q751" s="126"/>
      <c r="R751" s="126"/>
      <c r="U751" s="126"/>
      <c r="V751" s="126"/>
      <c r="W751" s="135">
        <f>MAXIFS('Step 3 FOC Request'!$A:$A, 'Step 3 FOC Request'!$F:$F, $E751)</f>
        <v>0</v>
      </c>
      <c r="X751" s="135">
        <f>MAXIFS('Step 4 FOC Return'!$A:$A, 'Step 4 FOC Return'!$E:$E, $E751)</f>
        <v>0</v>
      </c>
      <c r="Y751" s="126"/>
    </row>
    <row r="752">
      <c r="A752" s="126"/>
      <c r="B752" s="154"/>
      <c r="C752" s="146"/>
      <c r="D752" s="146"/>
      <c r="E752" s="146"/>
      <c r="F752" s="155"/>
      <c r="G752" s="146"/>
      <c r="H752" s="126"/>
      <c r="I752" s="132"/>
      <c r="J752" s="146"/>
      <c r="K752" s="126"/>
      <c r="L752" s="126"/>
      <c r="M752" s="134" t="str">
        <f t="shared" si="1"/>
        <v/>
      </c>
      <c r="N752" s="134" t="str">
        <f t="array" ref="N752">IF(M752="LOANED / ON KOL", INDEX('Step 3 FOC Request'!$G:$G, MATCH(1, ('Step 3 FOC Request'!$A:$A=W752) * ('Step 3 FOC Request'!$F:$F=E752), 0)), "-")</f>
        <v>-</v>
      </c>
      <c r="O752" s="126"/>
      <c r="P752" s="126"/>
      <c r="Q752" s="126"/>
      <c r="R752" s="126"/>
      <c r="U752" s="126"/>
      <c r="V752" s="126"/>
      <c r="W752" s="135">
        <f>MAXIFS('Step 3 FOC Request'!$A:$A, 'Step 3 FOC Request'!$F:$F, $E752)</f>
        <v>0</v>
      </c>
      <c r="X752" s="135">
        <f>MAXIFS('Step 4 FOC Return'!$A:$A, 'Step 4 FOC Return'!$E:$E, $E752)</f>
        <v>0</v>
      </c>
      <c r="Y752" s="126"/>
    </row>
    <row r="753">
      <c r="A753" s="126"/>
      <c r="B753" s="154"/>
      <c r="C753" s="146"/>
      <c r="D753" s="146"/>
      <c r="E753" s="146"/>
      <c r="F753" s="155"/>
      <c r="G753" s="146"/>
      <c r="H753" s="126"/>
      <c r="I753" s="132"/>
      <c r="J753" s="146"/>
      <c r="K753" s="126"/>
      <c r="L753" s="126"/>
      <c r="M753" s="134" t="str">
        <f t="shared" si="1"/>
        <v/>
      </c>
      <c r="N753" s="134" t="str">
        <f t="array" ref="N753">IF(M753="LOANED / ON KOL", INDEX('Step 3 FOC Request'!$G:$G, MATCH(1, ('Step 3 FOC Request'!$A:$A=W753) * ('Step 3 FOC Request'!$F:$F=E753), 0)), "-")</f>
        <v>-</v>
      </c>
      <c r="O753" s="126"/>
      <c r="P753" s="126"/>
      <c r="Q753" s="126"/>
      <c r="R753" s="126"/>
      <c r="U753" s="126"/>
      <c r="V753" s="126"/>
      <c r="W753" s="135">
        <f>MAXIFS('Step 3 FOC Request'!$A:$A, 'Step 3 FOC Request'!$F:$F, $E753)</f>
        <v>0</v>
      </c>
      <c r="X753" s="135">
        <f>MAXIFS('Step 4 FOC Return'!$A:$A, 'Step 4 FOC Return'!$E:$E, $E753)</f>
        <v>0</v>
      </c>
      <c r="Y753" s="126"/>
    </row>
    <row r="754">
      <c r="A754" s="126"/>
      <c r="B754" s="154"/>
      <c r="C754" s="146"/>
      <c r="D754" s="146"/>
      <c r="E754" s="146"/>
      <c r="F754" s="155"/>
      <c r="G754" s="146"/>
      <c r="H754" s="126"/>
      <c r="I754" s="132"/>
      <c r="J754" s="146"/>
      <c r="K754" s="126"/>
      <c r="L754" s="126"/>
      <c r="M754" s="134" t="str">
        <f t="shared" si="1"/>
        <v/>
      </c>
      <c r="N754" s="134" t="str">
        <f t="array" ref="N754">IF(M754="LOANED / ON KOL", INDEX('Step 3 FOC Request'!$G:$G, MATCH(1, ('Step 3 FOC Request'!$A:$A=W754) * ('Step 3 FOC Request'!$F:$F=E754), 0)), "-")</f>
        <v>-</v>
      </c>
      <c r="O754" s="126"/>
      <c r="P754" s="126"/>
      <c r="Q754" s="126"/>
      <c r="R754" s="126"/>
      <c r="U754" s="126"/>
      <c r="V754" s="126"/>
      <c r="W754" s="135">
        <f>MAXIFS('Step 3 FOC Request'!$A:$A, 'Step 3 FOC Request'!$F:$F, $E754)</f>
        <v>0</v>
      </c>
      <c r="X754" s="135">
        <f>MAXIFS('Step 4 FOC Return'!$A:$A, 'Step 4 FOC Return'!$E:$E, $E754)</f>
        <v>0</v>
      </c>
      <c r="Y754" s="126"/>
    </row>
    <row r="755">
      <c r="A755" s="126"/>
      <c r="B755" s="154"/>
      <c r="C755" s="146"/>
      <c r="D755" s="146"/>
      <c r="E755" s="146"/>
      <c r="F755" s="155"/>
      <c r="G755" s="146"/>
      <c r="H755" s="126"/>
      <c r="I755" s="132"/>
      <c r="J755" s="146"/>
      <c r="K755" s="126"/>
      <c r="L755" s="126"/>
      <c r="M755" s="134" t="str">
        <f t="shared" si="1"/>
        <v/>
      </c>
      <c r="N755" s="134" t="str">
        <f t="array" ref="N755">IF(M755="LOANED / ON KOL", INDEX('Step 3 FOC Request'!$G:$G, MATCH(1, ('Step 3 FOC Request'!$A:$A=W755) * ('Step 3 FOC Request'!$F:$F=E755), 0)), "-")</f>
        <v>-</v>
      </c>
      <c r="O755" s="126"/>
      <c r="P755" s="126"/>
      <c r="Q755" s="126"/>
      <c r="R755" s="126"/>
      <c r="U755" s="126"/>
      <c r="V755" s="126"/>
      <c r="W755" s="135">
        <f>MAXIFS('Step 3 FOC Request'!$A:$A, 'Step 3 FOC Request'!$F:$F, $E755)</f>
        <v>0</v>
      </c>
      <c r="X755" s="135">
        <f>MAXIFS('Step 4 FOC Return'!$A:$A, 'Step 4 FOC Return'!$E:$E, $E755)</f>
        <v>0</v>
      </c>
      <c r="Y755" s="126"/>
    </row>
    <row r="756">
      <c r="A756" s="126"/>
      <c r="B756" s="154"/>
      <c r="C756" s="146"/>
      <c r="D756" s="146"/>
      <c r="E756" s="146"/>
      <c r="F756" s="155"/>
      <c r="G756" s="146"/>
      <c r="H756" s="126"/>
      <c r="I756" s="132"/>
      <c r="J756" s="146"/>
      <c r="K756" s="126"/>
      <c r="L756" s="126"/>
      <c r="M756" s="134" t="str">
        <f t="shared" si="1"/>
        <v/>
      </c>
      <c r="N756" s="134" t="str">
        <f t="array" ref="N756">IF(M756="LOANED / ON KOL", INDEX('Step 3 FOC Request'!$G:$G, MATCH(1, ('Step 3 FOC Request'!$A:$A=W756) * ('Step 3 FOC Request'!$F:$F=E756), 0)), "-")</f>
        <v>-</v>
      </c>
      <c r="O756" s="126"/>
      <c r="P756" s="126"/>
      <c r="Q756" s="126"/>
      <c r="R756" s="126"/>
      <c r="U756" s="126"/>
      <c r="V756" s="126"/>
      <c r="W756" s="135">
        <f>MAXIFS('Step 3 FOC Request'!$A:$A, 'Step 3 FOC Request'!$F:$F, $E756)</f>
        <v>0</v>
      </c>
      <c r="X756" s="135">
        <f>MAXIFS('Step 4 FOC Return'!$A:$A, 'Step 4 FOC Return'!$E:$E, $E756)</f>
        <v>0</v>
      </c>
      <c r="Y756" s="126"/>
    </row>
    <row r="757">
      <c r="A757" s="126"/>
      <c r="B757" s="154"/>
      <c r="C757" s="146"/>
      <c r="D757" s="146"/>
      <c r="E757" s="146"/>
      <c r="F757" s="155"/>
      <c r="G757" s="146"/>
      <c r="H757" s="126"/>
      <c r="I757" s="132"/>
      <c r="J757" s="146"/>
      <c r="K757" s="126"/>
      <c r="L757" s="126"/>
      <c r="M757" s="134" t="str">
        <f t="shared" si="1"/>
        <v/>
      </c>
      <c r="N757" s="134" t="str">
        <f t="array" ref="N757">IF(M757="LOANED / ON KOL", INDEX('Step 3 FOC Request'!$G:$G, MATCH(1, ('Step 3 FOC Request'!$A:$A=W757) * ('Step 3 FOC Request'!$F:$F=E757), 0)), "-")</f>
        <v>-</v>
      </c>
      <c r="O757" s="126"/>
      <c r="P757" s="126"/>
      <c r="Q757" s="126"/>
      <c r="R757" s="126"/>
      <c r="U757" s="126"/>
      <c r="V757" s="126"/>
      <c r="W757" s="135">
        <f>MAXIFS('Step 3 FOC Request'!$A:$A, 'Step 3 FOC Request'!$F:$F, $E757)</f>
        <v>0</v>
      </c>
      <c r="X757" s="135">
        <f>MAXIFS('Step 4 FOC Return'!$A:$A, 'Step 4 FOC Return'!$E:$E, $E757)</f>
        <v>0</v>
      </c>
      <c r="Y757" s="126"/>
    </row>
    <row r="758">
      <c r="A758" s="126"/>
      <c r="B758" s="154"/>
      <c r="C758" s="146"/>
      <c r="D758" s="146"/>
      <c r="E758" s="146"/>
      <c r="F758" s="155"/>
      <c r="G758" s="146"/>
      <c r="H758" s="126"/>
      <c r="I758" s="132"/>
      <c r="J758" s="146"/>
      <c r="K758" s="126"/>
      <c r="L758" s="126"/>
      <c r="M758" s="134" t="str">
        <f t="shared" si="1"/>
        <v/>
      </c>
      <c r="N758" s="134" t="str">
        <f t="array" ref="N758">IF(M758="LOANED / ON KOL", INDEX('Step 3 FOC Request'!$G:$G, MATCH(1, ('Step 3 FOC Request'!$A:$A=W758) * ('Step 3 FOC Request'!$F:$F=E758), 0)), "-")</f>
        <v>-</v>
      </c>
      <c r="O758" s="126"/>
      <c r="P758" s="126"/>
      <c r="Q758" s="126"/>
      <c r="R758" s="126"/>
      <c r="U758" s="126"/>
      <c r="V758" s="126"/>
      <c r="W758" s="135">
        <f>MAXIFS('Step 3 FOC Request'!$A:$A, 'Step 3 FOC Request'!$F:$F, $E758)</f>
        <v>0</v>
      </c>
      <c r="X758" s="135">
        <f>MAXIFS('Step 4 FOC Return'!$A:$A, 'Step 4 FOC Return'!$E:$E, $E758)</f>
        <v>0</v>
      </c>
      <c r="Y758" s="126"/>
    </row>
    <row r="759">
      <c r="A759" s="126"/>
      <c r="B759" s="154"/>
      <c r="C759" s="146"/>
      <c r="D759" s="146"/>
      <c r="E759" s="146"/>
      <c r="F759" s="155"/>
      <c r="G759" s="146"/>
      <c r="H759" s="126"/>
      <c r="I759" s="132"/>
      <c r="J759" s="146"/>
      <c r="K759" s="126"/>
      <c r="L759" s="126"/>
      <c r="M759" s="134" t="str">
        <f t="shared" si="1"/>
        <v/>
      </c>
      <c r="N759" s="134" t="str">
        <f t="array" ref="N759">IF(M759="LOANED / ON KOL", INDEX('Step 3 FOC Request'!$G:$G, MATCH(1, ('Step 3 FOC Request'!$A:$A=W759) * ('Step 3 FOC Request'!$F:$F=E759), 0)), "-")</f>
        <v>-</v>
      </c>
      <c r="O759" s="126"/>
      <c r="P759" s="126"/>
      <c r="Q759" s="126"/>
      <c r="R759" s="126"/>
      <c r="U759" s="126"/>
      <c r="V759" s="126"/>
      <c r="W759" s="135">
        <f>MAXIFS('Step 3 FOC Request'!$A:$A, 'Step 3 FOC Request'!$F:$F, $E759)</f>
        <v>0</v>
      </c>
      <c r="X759" s="135">
        <f>MAXIFS('Step 4 FOC Return'!$A:$A, 'Step 4 FOC Return'!$E:$E, $E759)</f>
        <v>0</v>
      </c>
      <c r="Y759" s="126"/>
    </row>
    <row r="760">
      <c r="A760" s="126"/>
      <c r="B760" s="154"/>
      <c r="C760" s="146"/>
      <c r="D760" s="146"/>
      <c r="E760" s="146"/>
      <c r="F760" s="155"/>
      <c r="G760" s="146"/>
      <c r="H760" s="126"/>
      <c r="I760" s="132"/>
      <c r="J760" s="146"/>
      <c r="K760" s="126"/>
      <c r="L760" s="126"/>
      <c r="M760" s="134" t="str">
        <f t="shared" si="1"/>
        <v/>
      </c>
      <c r="N760" s="134" t="str">
        <f t="array" ref="N760">IF(M760="LOANED / ON KOL", INDEX('Step 3 FOC Request'!$G:$G, MATCH(1, ('Step 3 FOC Request'!$A:$A=W760) * ('Step 3 FOC Request'!$F:$F=E760), 0)), "-")</f>
        <v>-</v>
      </c>
      <c r="O760" s="126"/>
      <c r="P760" s="126"/>
      <c r="Q760" s="126"/>
      <c r="R760" s="126"/>
      <c r="U760" s="126"/>
      <c r="V760" s="126"/>
      <c r="W760" s="135">
        <f>MAXIFS('Step 3 FOC Request'!$A:$A, 'Step 3 FOC Request'!$F:$F, $E760)</f>
        <v>0</v>
      </c>
      <c r="X760" s="135">
        <f>MAXIFS('Step 4 FOC Return'!$A:$A, 'Step 4 FOC Return'!$E:$E, $E760)</f>
        <v>0</v>
      </c>
      <c r="Y760" s="126"/>
    </row>
    <row r="761">
      <c r="A761" s="126"/>
      <c r="B761" s="154"/>
      <c r="C761" s="146"/>
      <c r="D761" s="146"/>
      <c r="E761" s="146"/>
      <c r="F761" s="155"/>
      <c r="G761" s="146"/>
      <c r="H761" s="126"/>
      <c r="I761" s="132"/>
      <c r="J761" s="146"/>
      <c r="K761" s="126"/>
      <c r="L761" s="126"/>
      <c r="M761" s="134" t="str">
        <f t="shared" si="1"/>
        <v/>
      </c>
      <c r="N761" s="134" t="str">
        <f t="array" ref="N761">IF(M761="LOANED / ON KOL", INDEX('Step 3 FOC Request'!$G:$G, MATCH(1, ('Step 3 FOC Request'!$A:$A=W761) * ('Step 3 FOC Request'!$F:$F=E761), 0)), "-")</f>
        <v>-</v>
      </c>
      <c r="O761" s="126"/>
      <c r="P761" s="126"/>
      <c r="Q761" s="126"/>
      <c r="R761" s="126"/>
      <c r="U761" s="126"/>
      <c r="V761" s="126"/>
      <c r="W761" s="135">
        <f>MAXIFS('Step 3 FOC Request'!$A:$A, 'Step 3 FOC Request'!$F:$F, $E761)</f>
        <v>0</v>
      </c>
      <c r="X761" s="135">
        <f>MAXIFS('Step 4 FOC Return'!$A:$A, 'Step 4 FOC Return'!$E:$E, $E761)</f>
        <v>0</v>
      </c>
      <c r="Y761" s="126"/>
    </row>
    <row r="762">
      <c r="A762" s="126"/>
      <c r="B762" s="154"/>
      <c r="C762" s="146"/>
      <c r="D762" s="146"/>
      <c r="E762" s="146"/>
      <c r="F762" s="155"/>
      <c r="G762" s="146"/>
      <c r="H762" s="126"/>
      <c r="I762" s="132"/>
      <c r="J762" s="146"/>
      <c r="K762" s="126"/>
      <c r="L762" s="126"/>
      <c r="M762" s="134" t="str">
        <f t="shared" si="1"/>
        <v/>
      </c>
      <c r="N762" s="134" t="str">
        <f t="array" ref="N762">IF(M762="LOANED / ON KOL", INDEX('Step 3 FOC Request'!$G:$G, MATCH(1, ('Step 3 FOC Request'!$A:$A=W762) * ('Step 3 FOC Request'!$F:$F=E762), 0)), "-")</f>
        <v>-</v>
      </c>
      <c r="O762" s="126"/>
      <c r="P762" s="126"/>
      <c r="Q762" s="126"/>
      <c r="R762" s="126"/>
      <c r="U762" s="126"/>
      <c r="V762" s="126"/>
      <c r="W762" s="135">
        <f>MAXIFS('Step 3 FOC Request'!$A:$A, 'Step 3 FOC Request'!$F:$F, $E762)</f>
        <v>0</v>
      </c>
      <c r="X762" s="135">
        <f>MAXIFS('Step 4 FOC Return'!$A:$A, 'Step 4 FOC Return'!$E:$E, $E762)</f>
        <v>0</v>
      </c>
      <c r="Y762" s="126"/>
    </row>
    <row r="763">
      <c r="A763" s="126"/>
      <c r="B763" s="154"/>
      <c r="C763" s="146"/>
      <c r="D763" s="146"/>
      <c r="E763" s="146"/>
      <c r="F763" s="155"/>
      <c r="G763" s="146"/>
      <c r="H763" s="126"/>
      <c r="I763" s="132"/>
      <c r="J763" s="146"/>
      <c r="K763" s="126"/>
      <c r="L763" s="126"/>
      <c r="M763" s="134" t="str">
        <f t="shared" si="1"/>
        <v/>
      </c>
      <c r="N763" s="134" t="str">
        <f t="array" ref="N763">IF(M763="LOANED / ON KOL", INDEX('Step 3 FOC Request'!$G:$G, MATCH(1, ('Step 3 FOC Request'!$A:$A=W763) * ('Step 3 FOC Request'!$F:$F=E763), 0)), "-")</f>
        <v>-</v>
      </c>
      <c r="O763" s="126"/>
      <c r="P763" s="126"/>
      <c r="Q763" s="126"/>
      <c r="R763" s="126"/>
      <c r="U763" s="126"/>
      <c r="V763" s="126"/>
      <c r="W763" s="135">
        <f>MAXIFS('Step 3 FOC Request'!$A:$A, 'Step 3 FOC Request'!$F:$F, $E763)</f>
        <v>0</v>
      </c>
      <c r="X763" s="135">
        <f>MAXIFS('Step 4 FOC Return'!$A:$A, 'Step 4 FOC Return'!$E:$E, $E763)</f>
        <v>0</v>
      </c>
      <c r="Y763" s="126"/>
    </row>
    <row r="764">
      <c r="A764" s="126"/>
      <c r="B764" s="154"/>
      <c r="C764" s="146"/>
      <c r="D764" s="146"/>
      <c r="E764" s="146"/>
      <c r="F764" s="155"/>
      <c r="G764" s="146"/>
      <c r="H764" s="126"/>
      <c r="I764" s="132"/>
      <c r="J764" s="146"/>
      <c r="K764" s="126"/>
      <c r="L764" s="126"/>
      <c r="M764" s="134" t="str">
        <f t="shared" si="1"/>
        <v/>
      </c>
      <c r="N764" s="134" t="str">
        <f t="array" ref="N764">IF(M764="LOANED / ON KOL", INDEX('Step 3 FOC Request'!$G:$G, MATCH(1, ('Step 3 FOC Request'!$A:$A=W764) * ('Step 3 FOC Request'!$F:$F=E764), 0)), "-")</f>
        <v>-</v>
      </c>
      <c r="O764" s="126"/>
      <c r="P764" s="126"/>
      <c r="Q764" s="126"/>
      <c r="R764" s="126"/>
      <c r="U764" s="126"/>
      <c r="V764" s="126"/>
      <c r="W764" s="135">
        <f>MAXIFS('Step 3 FOC Request'!$A:$A, 'Step 3 FOC Request'!$F:$F, $E764)</f>
        <v>0</v>
      </c>
      <c r="X764" s="135">
        <f>MAXIFS('Step 4 FOC Return'!$A:$A, 'Step 4 FOC Return'!$E:$E, $E764)</f>
        <v>0</v>
      </c>
      <c r="Y764" s="126"/>
    </row>
    <row r="765">
      <c r="A765" s="126"/>
      <c r="B765" s="154"/>
      <c r="C765" s="146"/>
      <c r="D765" s="146"/>
      <c r="E765" s="146"/>
      <c r="F765" s="155"/>
      <c r="G765" s="146"/>
      <c r="H765" s="126"/>
      <c r="I765" s="132"/>
      <c r="J765" s="146"/>
      <c r="K765" s="126"/>
      <c r="L765" s="126"/>
      <c r="M765" s="134" t="str">
        <f t="shared" si="1"/>
        <v/>
      </c>
      <c r="N765" s="134" t="str">
        <f t="array" ref="N765">IF(M765="LOANED / ON KOL", INDEX('Step 3 FOC Request'!$G:$G, MATCH(1, ('Step 3 FOC Request'!$A:$A=W765) * ('Step 3 FOC Request'!$F:$F=E765), 0)), "-")</f>
        <v>-</v>
      </c>
      <c r="O765" s="126"/>
      <c r="P765" s="126"/>
      <c r="Q765" s="126"/>
      <c r="R765" s="126"/>
      <c r="U765" s="126"/>
      <c r="V765" s="126"/>
      <c r="W765" s="135">
        <f>MAXIFS('Step 3 FOC Request'!$A:$A, 'Step 3 FOC Request'!$F:$F, $E765)</f>
        <v>0</v>
      </c>
      <c r="X765" s="135">
        <f>MAXIFS('Step 4 FOC Return'!$A:$A, 'Step 4 FOC Return'!$E:$E, $E765)</f>
        <v>0</v>
      </c>
      <c r="Y765" s="126"/>
    </row>
    <row r="766">
      <c r="A766" s="126"/>
      <c r="B766" s="154"/>
      <c r="C766" s="146"/>
      <c r="D766" s="146"/>
      <c r="E766" s="146"/>
      <c r="F766" s="155"/>
      <c r="G766" s="146"/>
      <c r="H766" s="126"/>
      <c r="I766" s="132"/>
      <c r="J766" s="146"/>
      <c r="K766" s="126"/>
      <c r="L766" s="126"/>
      <c r="M766" s="134" t="str">
        <f t="shared" si="1"/>
        <v/>
      </c>
      <c r="N766" s="134" t="str">
        <f t="array" ref="N766">IF(M766="LOANED / ON KOL", INDEX('Step 3 FOC Request'!$G:$G, MATCH(1, ('Step 3 FOC Request'!$A:$A=W766) * ('Step 3 FOC Request'!$F:$F=E766), 0)), "-")</f>
        <v>-</v>
      </c>
      <c r="O766" s="126"/>
      <c r="P766" s="126"/>
      <c r="Q766" s="126"/>
      <c r="R766" s="126"/>
      <c r="U766" s="126"/>
      <c r="V766" s="126"/>
      <c r="W766" s="135">
        <f>MAXIFS('Step 3 FOC Request'!$A:$A, 'Step 3 FOC Request'!$F:$F, $E766)</f>
        <v>0</v>
      </c>
      <c r="X766" s="135">
        <f>MAXIFS('Step 4 FOC Return'!$A:$A, 'Step 4 FOC Return'!$E:$E, $E766)</f>
        <v>0</v>
      </c>
      <c r="Y766" s="126"/>
    </row>
    <row r="767">
      <c r="A767" s="126"/>
      <c r="B767" s="154"/>
      <c r="C767" s="146"/>
      <c r="D767" s="146"/>
      <c r="E767" s="146"/>
      <c r="F767" s="155"/>
      <c r="G767" s="146"/>
      <c r="H767" s="126"/>
      <c r="I767" s="132"/>
      <c r="J767" s="146"/>
      <c r="K767" s="126"/>
      <c r="L767" s="126"/>
      <c r="M767" s="134" t="str">
        <f t="shared" si="1"/>
        <v/>
      </c>
      <c r="N767" s="134" t="str">
        <f t="array" ref="N767">IF(M767="LOANED / ON KOL", INDEX('Step 3 FOC Request'!$G:$G, MATCH(1, ('Step 3 FOC Request'!$A:$A=W767) * ('Step 3 FOC Request'!$F:$F=E767), 0)), "-")</f>
        <v>-</v>
      </c>
      <c r="O767" s="126"/>
      <c r="P767" s="126"/>
      <c r="Q767" s="126"/>
      <c r="R767" s="126"/>
      <c r="U767" s="126"/>
      <c r="V767" s="126"/>
      <c r="W767" s="135">
        <f>MAXIFS('Step 3 FOC Request'!$A:$A, 'Step 3 FOC Request'!$F:$F, $E767)</f>
        <v>0</v>
      </c>
      <c r="X767" s="135">
        <f>MAXIFS('Step 4 FOC Return'!$A:$A, 'Step 4 FOC Return'!$E:$E, $E767)</f>
        <v>0</v>
      </c>
      <c r="Y767" s="126"/>
    </row>
    <row r="768">
      <c r="A768" s="126"/>
      <c r="B768" s="154"/>
      <c r="C768" s="146"/>
      <c r="D768" s="146"/>
      <c r="E768" s="146"/>
      <c r="F768" s="155"/>
      <c r="G768" s="146"/>
      <c r="H768" s="126"/>
      <c r="I768" s="132"/>
      <c r="J768" s="146"/>
      <c r="K768" s="126"/>
      <c r="L768" s="126"/>
      <c r="M768" s="134" t="str">
        <f t="shared" si="1"/>
        <v/>
      </c>
      <c r="N768" s="134" t="str">
        <f t="array" ref="N768">IF(M768="LOANED / ON KOL", INDEX('Step 3 FOC Request'!$G:$G, MATCH(1, ('Step 3 FOC Request'!$A:$A=W768) * ('Step 3 FOC Request'!$F:$F=E768), 0)), "-")</f>
        <v>-</v>
      </c>
      <c r="O768" s="126"/>
      <c r="P768" s="126"/>
      <c r="Q768" s="126"/>
      <c r="R768" s="126"/>
      <c r="U768" s="126"/>
      <c r="V768" s="126"/>
      <c r="W768" s="135">
        <f>MAXIFS('Step 3 FOC Request'!$A:$A, 'Step 3 FOC Request'!$F:$F, $E768)</f>
        <v>0</v>
      </c>
      <c r="X768" s="135">
        <f>MAXIFS('Step 4 FOC Return'!$A:$A, 'Step 4 FOC Return'!$E:$E, $E768)</f>
        <v>0</v>
      </c>
      <c r="Y768" s="126"/>
    </row>
    <row r="769">
      <c r="A769" s="126"/>
      <c r="B769" s="154"/>
      <c r="C769" s="146"/>
      <c r="D769" s="146"/>
      <c r="E769" s="146"/>
      <c r="F769" s="155"/>
      <c r="G769" s="146"/>
      <c r="H769" s="126"/>
      <c r="I769" s="132"/>
      <c r="J769" s="146"/>
      <c r="K769" s="126"/>
      <c r="L769" s="126"/>
      <c r="M769" s="134" t="str">
        <f t="shared" si="1"/>
        <v/>
      </c>
      <c r="N769" s="134" t="str">
        <f t="array" ref="N769">IF(M769="LOANED / ON KOL", INDEX('Step 3 FOC Request'!$G:$G, MATCH(1, ('Step 3 FOC Request'!$A:$A=W769) * ('Step 3 FOC Request'!$F:$F=E769), 0)), "-")</f>
        <v>-</v>
      </c>
      <c r="O769" s="126"/>
      <c r="P769" s="126"/>
      <c r="Q769" s="126"/>
      <c r="R769" s="126"/>
      <c r="U769" s="126"/>
      <c r="V769" s="126"/>
      <c r="W769" s="135">
        <f>MAXIFS('Step 3 FOC Request'!$A:$A, 'Step 3 FOC Request'!$F:$F, $E769)</f>
        <v>0</v>
      </c>
      <c r="X769" s="135">
        <f>MAXIFS('Step 4 FOC Return'!$A:$A, 'Step 4 FOC Return'!$E:$E, $E769)</f>
        <v>0</v>
      </c>
      <c r="Y769" s="126"/>
    </row>
    <row r="770">
      <c r="A770" s="126"/>
      <c r="B770" s="154"/>
      <c r="C770" s="146"/>
      <c r="D770" s="146"/>
      <c r="E770" s="146"/>
      <c r="F770" s="155"/>
      <c r="G770" s="146"/>
      <c r="H770" s="126"/>
      <c r="I770" s="132"/>
      <c r="J770" s="146"/>
      <c r="K770" s="126"/>
      <c r="L770" s="126"/>
      <c r="M770" s="134" t="str">
        <f t="shared" si="1"/>
        <v/>
      </c>
      <c r="N770" s="134" t="str">
        <f t="array" ref="N770">IF(M770="LOANED / ON KOL", INDEX('Step 3 FOC Request'!$G:$G, MATCH(1, ('Step 3 FOC Request'!$A:$A=W770) * ('Step 3 FOC Request'!$F:$F=E770), 0)), "-")</f>
        <v>-</v>
      </c>
      <c r="O770" s="126"/>
      <c r="P770" s="126"/>
      <c r="Q770" s="126"/>
      <c r="R770" s="126"/>
      <c r="U770" s="126"/>
      <c r="V770" s="126"/>
      <c r="W770" s="135">
        <f>MAXIFS('Step 3 FOC Request'!$A:$A, 'Step 3 FOC Request'!$F:$F, $E770)</f>
        <v>0</v>
      </c>
      <c r="X770" s="135">
        <f>MAXIFS('Step 4 FOC Return'!$A:$A, 'Step 4 FOC Return'!$E:$E, $E770)</f>
        <v>0</v>
      </c>
      <c r="Y770" s="126"/>
    </row>
    <row r="771">
      <c r="A771" s="126"/>
      <c r="B771" s="154"/>
      <c r="C771" s="146"/>
      <c r="D771" s="146"/>
      <c r="E771" s="146"/>
      <c r="F771" s="155"/>
      <c r="G771" s="146"/>
      <c r="H771" s="126"/>
      <c r="I771" s="132"/>
      <c r="J771" s="146"/>
      <c r="K771" s="126"/>
      <c r="L771" s="126"/>
      <c r="M771" s="134" t="str">
        <f t="shared" si="1"/>
        <v/>
      </c>
      <c r="N771" s="134" t="str">
        <f t="array" ref="N771">IF(M771="LOANED / ON KOL", INDEX('Step 3 FOC Request'!$G:$G, MATCH(1, ('Step 3 FOC Request'!$A:$A=W771) * ('Step 3 FOC Request'!$F:$F=E771), 0)), "-")</f>
        <v>-</v>
      </c>
      <c r="O771" s="126"/>
      <c r="P771" s="126"/>
      <c r="Q771" s="126"/>
      <c r="R771" s="126"/>
      <c r="U771" s="126"/>
      <c r="V771" s="126"/>
      <c r="W771" s="135">
        <f>MAXIFS('Step 3 FOC Request'!$A:$A, 'Step 3 FOC Request'!$F:$F, $E771)</f>
        <v>0</v>
      </c>
      <c r="X771" s="135">
        <f>MAXIFS('Step 4 FOC Return'!$A:$A, 'Step 4 FOC Return'!$E:$E, $E771)</f>
        <v>0</v>
      </c>
      <c r="Y771" s="126"/>
    </row>
    <row r="772">
      <c r="A772" s="126"/>
      <c r="B772" s="154"/>
      <c r="C772" s="146"/>
      <c r="D772" s="146"/>
      <c r="E772" s="146"/>
      <c r="F772" s="155"/>
      <c r="G772" s="146"/>
      <c r="H772" s="126"/>
      <c r="I772" s="132"/>
      <c r="J772" s="146"/>
      <c r="K772" s="126"/>
      <c r="L772" s="126"/>
      <c r="M772" s="134" t="str">
        <f t="shared" si="1"/>
        <v/>
      </c>
      <c r="N772" s="134" t="str">
        <f t="array" ref="N772">IF(M772="LOANED / ON KOL", INDEX('Step 3 FOC Request'!$G:$G, MATCH(1, ('Step 3 FOC Request'!$A:$A=W772) * ('Step 3 FOC Request'!$F:$F=E772), 0)), "-")</f>
        <v>-</v>
      </c>
      <c r="O772" s="126"/>
      <c r="P772" s="126"/>
      <c r="Q772" s="126"/>
      <c r="R772" s="126"/>
      <c r="U772" s="126"/>
      <c r="V772" s="126"/>
      <c r="W772" s="135">
        <f>MAXIFS('Step 3 FOC Request'!$A:$A, 'Step 3 FOC Request'!$F:$F, $E772)</f>
        <v>0</v>
      </c>
      <c r="X772" s="135">
        <f>MAXIFS('Step 4 FOC Return'!$A:$A, 'Step 4 FOC Return'!$E:$E, $E772)</f>
        <v>0</v>
      </c>
      <c r="Y772" s="126"/>
    </row>
    <row r="773">
      <c r="A773" s="126"/>
      <c r="B773" s="154"/>
      <c r="C773" s="146"/>
      <c r="D773" s="146"/>
      <c r="E773" s="146"/>
      <c r="F773" s="155"/>
      <c r="G773" s="146"/>
      <c r="H773" s="126"/>
      <c r="I773" s="132"/>
      <c r="J773" s="146"/>
      <c r="K773" s="126"/>
      <c r="L773" s="126"/>
      <c r="M773" s="134" t="str">
        <f t="shared" si="1"/>
        <v/>
      </c>
      <c r="N773" s="134" t="str">
        <f t="array" ref="N773">IF(M773="LOANED / ON KOL", INDEX('Step 3 FOC Request'!$G:$G, MATCH(1, ('Step 3 FOC Request'!$A:$A=W773) * ('Step 3 FOC Request'!$F:$F=E773), 0)), "-")</f>
        <v>-</v>
      </c>
      <c r="O773" s="126"/>
      <c r="P773" s="126"/>
      <c r="Q773" s="126"/>
      <c r="R773" s="126"/>
      <c r="U773" s="126"/>
      <c r="V773" s="126"/>
      <c r="W773" s="135">
        <f>MAXIFS('Step 3 FOC Request'!$A:$A, 'Step 3 FOC Request'!$F:$F, $E773)</f>
        <v>0</v>
      </c>
      <c r="X773" s="135">
        <f>MAXIFS('Step 4 FOC Return'!$A:$A, 'Step 4 FOC Return'!$E:$E, $E773)</f>
        <v>0</v>
      </c>
      <c r="Y773" s="126"/>
    </row>
    <row r="774">
      <c r="A774" s="126"/>
      <c r="B774" s="154"/>
      <c r="C774" s="146"/>
      <c r="D774" s="146"/>
      <c r="E774" s="146"/>
      <c r="F774" s="155"/>
      <c r="G774" s="146"/>
      <c r="H774" s="126"/>
      <c r="I774" s="132"/>
      <c r="J774" s="146"/>
      <c r="K774" s="126"/>
      <c r="L774" s="126"/>
      <c r="M774" s="134" t="str">
        <f t="shared" si="1"/>
        <v/>
      </c>
      <c r="N774" s="134" t="str">
        <f t="array" ref="N774">IF(M774="LOANED / ON KOL", INDEX('Step 3 FOC Request'!$G:$G, MATCH(1, ('Step 3 FOC Request'!$A:$A=W774) * ('Step 3 FOC Request'!$F:$F=E774), 0)), "-")</f>
        <v>-</v>
      </c>
      <c r="O774" s="126"/>
      <c r="P774" s="126"/>
      <c r="Q774" s="126"/>
      <c r="R774" s="126"/>
      <c r="U774" s="126"/>
      <c r="V774" s="126"/>
      <c r="W774" s="135">
        <f>MAXIFS('Step 3 FOC Request'!$A:$A, 'Step 3 FOC Request'!$F:$F, $E774)</f>
        <v>0</v>
      </c>
      <c r="X774" s="135">
        <f>MAXIFS('Step 4 FOC Return'!$A:$A, 'Step 4 FOC Return'!$E:$E, $E774)</f>
        <v>0</v>
      </c>
      <c r="Y774" s="126"/>
    </row>
    <row r="775">
      <c r="A775" s="126"/>
      <c r="B775" s="154"/>
      <c r="C775" s="146"/>
      <c r="D775" s="146"/>
      <c r="E775" s="146"/>
      <c r="F775" s="155"/>
      <c r="G775" s="146"/>
      <c r="H775" s="126"/>
      <c r="I775" s="132"/>
      <c r="J775" s="146"/>
      <c r="K775" s="126"/>
      <c r="L775" s="126"/>
      <c r="M775" s="134" t="str">
        <f t="shared" si="1"/>
        <v/>
      </c>
      <c r="N775" s="134" t="str">
        <f t="array" ref="N775">IF(M775="LOANED / ON KOL", INDEX('Step 3 FOC Request'!$G:$G, MATCH(1, ('Step 3 FOC Request'!$A:$A=W775) * ('Step 3 FOC Request'!$F:$F=E775), 0)), "-")</f>
        <v>-</v>
      </c>
      <c r="O775" s="126"/>
      <c r="P775" s="126"/>
      <c r="Q775" s="126"/>
      <c r="R775" s="126"/>
      <c r="U775" s="126"/>
      <c r="V775" s="126"/>
      <c r="W775" s="135">
        <f>MAXIFS('Step 3 FOC Request'!$A:$A, 'Step 3 FOC Request'!$F:$F, $E775)</f>
        <v>0</v>
      </c>
      <c r="X775" s="135">
        <f>MAXIFS('Step 4 FOC Return'!$A:$A, 'Step 4 FOC Return'!$E:$E, $E775)</f>
        <v>0</v>
      </c>
      <c r="Y775" s="126"/>
    </row>
    <row r="776">
      <c r="A776" s="126"/>
      <c r="B776" s="154"/>
      <c r="C776" s="146"/>
      <c r="D776" s="146"/>
      <c r="E776" s="146"/>
      <c r="F776" s="155"/>
      <c r="G776" s="146"/>
      <c r="H776" s="126"/>
      <c r="I776" s="132"/>
      <c r="J776" s="146"/>
      <c r="K776" s="126"/>
      <c r="L776" s="126"/>
      <c r="M776" s="134" t="str">
        <f t="shared" si="1"/>
        <v/>
      </c>
      <c r="N776" s="134" t="str">
        <f t="array" ref="N776">IF(M776="LOANED / ON KOL", INDEX('Step 3 FOC Request'!$G:$G, MATCH(1, ('Step 3 FOC Request'!$A:$A=W776) * ('Step 3 FOC Request'!$F:$F=E776), 0)), "-")</f>
        <v>-</v>
      </c>
      <c r="O776" s="126"/>
      <c r="P776" s="126"/>
      <c r="Q776" s="126"/>
      <c r="R776" s="126"/>
      <c r="U776" s="126"/>
      <c r="V776" s="126"/>
      <c r="W776" s="135">
        <f>MAXIFS('Step 3 FOC Request'!$A:$A, 'Step 3 FOC Request'!$F:$F, $E776)</f>
        <v>0</v>
      </c>
      <c r="X776" s="135">
        <f>MAXIFS('Step 4 FOC Return'!$A:$A, 'Step 4 FOC Return'!$E:$E, $E776)</f>
        <v>0</v>
      </c>
      <c r="Y776" s="126"/>
    </row>
    <row r="777">
      <c r="A777" s="126"/>
      <c r="B777" s="154"/>
      <c r="C777" s="146"/>
      <c r="D777" s="146"/>
      <c r="E777" s="146"/>
      <c r="F777" s="155"/>
      <c r="G777" s="146"/>
      <c r="H777" s="126"/>
      <c r="I777" s="132"/>
      <c r="J777" s="146"/>
      <c r="K777" s="126"/>
      <c r="L777" s="126"/>
      <c r="M777" s="134" t="str">
        <f t="shared" si="1"/>
        <v/>
      </c>
      <c r="N777" s="134" t="str">
        <f t="array" ref="N777">IF(M777="LOANED / ON KOL", INDEX('Step 3 FOC Request'!$G:$G, MATCH(1, ('Step 3 FOC Request'!$A:$A=W777) * ('Step 3 FOC Request'!$F:$F=E777), 0)), "-")</f>
        <v>-</v>
      </c>
      <c r="O777" s="126"/>
      <c r="P777" s="126"/>
      <c r="Q777" s="126"/>
      <c r="R777" s="126"/>
      <c r="U777" s="126"/>
      <c r="V777" s="126"/>
      <c r="W777" s="135">
        <f>MAXIFS('Step 3 FOC Request'!$A:$A, 'Step 3 FOC Request'!$F:$F, $E777)</f>
        <v>0</v>
      </c>
      <c r="X777" s="135">
        <f>MAXIFS('Step 4 FOC Return'!$A:$A, 'Step 4 FOC Return'!$E:$E, $E777)</f>
        <v>0</v>
      </c>
      <c r="Y777" s="126"/>
    </row>
    <row r="778">
      <c r="A778" s="126"/>
      <c r="B778" s="154"/>
      <c r="C778" s="146"/>
      <c r="D778" s="146"/>
      <c r="E778" s="146"/>
      <c r="F778" s="155"/>
      <c r="G778" s="146"/>
      <c r="H778" s="126"/>
      <c r="I778" s="132"/>
      <c r="J778" s="146"/>
      <c r="K778" s="126"/>
      <c r="L778" s="126"/>
      <c r="M778" s="134" t="str">
        <f t="shared" si="1"/>
        <v/>
      </c>
      <c r="N778" s="134" t="str">
        <f t="array" ref="N778">IF(M778="LOANED / ON KOL", INDEX('Step 3 FOC Request'!$G:$G, MATCH(1, ('Step 3 FOC Request'!$A:$A=W778) * ('Step 3 FOC Request'!$F:$F=E778), 0)), "-")</f>
        <v>-</v>
      </c>
      <c r="O778" s="126"/>
      <c r="P778" s="126"/>
      <c r="Q778" s="126"/>
      <c r="R778" s="126"/>
      <c r="U778" s="126"/>
      <c r="V778" s="126"/>
      <c r="W778" s="135">
        <f>MAXIFS('Step 3 FOC Request'!$A:$A, 'Step 3 FOC Request'!$F:$F, $E778)</f>
        <v>0</v>
      </c>
      <c r="X778" s="135">
        <f>MAXIFS('Step 4 FOC Return'!$A:$A, 'Step 4 FOC Return'!$E:$E, $E778)</f>
        <v>0</v>
      </c>
      <c r="Y778" s="126"/>
    </row>
    <row r="779">
      <c r="A779" s="126"/>
      <c r="B779" s="154"/>
      <c r="C779" s="146"/>
      <c r="D779" s="146"/>
      <c r="E779" s="146"/>
      <c r="F779" s="155"/>
      <c r="G779" s="146"/>
      <c r="H779" s="126"/>
      <c r="I779" s="132"/>
      <c r="J779" s="146"/>
      <c r="K779" s="126"/>
      <c r="L779" s="126"/>
      <c r="M779" s="134" t="str">
        <f t="shared" si="1"/>
        <v/>
      </c>
      <c r="N779" s="134" t="str">
        <f t="array" ref="N779">IF(M779="LOANED / ON KOL", INDEX('Step 3 FOC Request'!$G:$G, MATCH(1, ('Step 3 FOC Request'!$A:$A=W779) * ('Step 3 FOC Request'!$F:$F=E779), 0)), "-")</f>
        <v>-</v>
      </c>
      <c r="O779" s="126"/>
      <c r="P779" s="126"/>
      <c r="Q779" s="126"/>
      <c r="R779" s="126"/>
      <c r="U779" s="126"/>
      <c r="V779" s="126"/>
      <c r="W779" s="135">
        <f>MAXIFS('Step 3 FOC Request'!$A:$A, 'Step 3 FOC Request'!$F:$F, $E779)</f>
        <v>0</v>
      </c>
      <c r="X779" s="135">
        <f>MAXIFS('Step 4 FOC Return'!$A:$A, 'Step 4 FOC Return'!$E:$E, $E779)</f>
        <v>0</v>
      </c>
      <c r="Y779" s="126"/>
    </row>
    <row r="780">
      <c r="A780" s="126"/>
      <c r="B780" s="154"/>
      <c r="C780" s="146"/>
      <c r="D780" s="146"/>
      <c r="E780" s="146"/>
      <c r="F780" s="155"/>
      <c r="G780" s="146"/>
      <c r="H780" s="126"/>
      <c r="I780" s="132"/>
      <c r="J780" s="146"/>
      <c r="K780" s="126"/>
      <c r="L780" s="126"/>
      <c r="M780" s="134" t="str">
        <f t="shared" si="1"/>
        <v/>
      </c>
      <c r="N780" s="134" t="str">
        <f t="array" ref="N780">IF(M780="LOANED / ON KOL", INDEX('Step 3 FOC Request'!$G:$G, MATCH(1, ('Step 3 FOC Request'!$A:$A=W780) * ('Step 3 FOC Request'!$F:$F=E780), 0)), "-")</f>
        <v>-</v>
      </c>
      <c r="O780" s="126"/>
      <c r="P780" s="126"/>
      <c r="Q780" s="126"/>
      <c r="R780" s="126"/>
      <c r="U780" s="126"/>
      <c r="V780" s="126"/>
      <c r="W780" s="135">
        <f>MAXIFS('Step 3 FOC Request'!$A:$A, 'Step 3 FOC Request'!$F:$F, $E780)</f>
        <v>0</v>
      </c>
      <c r="X780" s="135">
        <f>MAXIFS('Step 4 FOC Return'!$A:$A, 'Step 4 FOC Return'!$E:$E, $E780)</f>
        <v>0</v>
      </c>
      <c r="Y780" s="126"/>
    </row>
    <row r="781">
      <c r="A781" s="126"/>
      <c r="B781" s="154"/>
      <c r="C781" s="146"/>
      <c r="D781" s="146"/>
      <c r="E781" s="146"/>
      <c r="F781" s="155"/>
      <c r="G781" s="146"/>
      <c r="H781" s="126"/>
      <c r="I781" s="132"/>
      <c r="J781" s="146"/>
      <c r="K781" s="126"/>
      <c r="L781" s="126"/>
      <c r="M781" s="134" t="str">
        <f t="shared" si="1"/>
        <v/>
      </c>
      <c r="N781" s="134" t="str">
        <f t="array" ref="N781">IF(M781="LOANED / ON KOL", INDEX('Step 3 FOC Request'!$G:$G, MATCH(1, ('Step 3 FOC Request'!$A:$A=W781) * ('Step 3 FOC Request'!$F:$F=E781), 0)), "-")</f>
        <v>-</v>
      </c>
      <c r="O781" s="126"/>
      <c r="P781" s="126"/>
      <c r="Q781" s="126"/>
      <c r="R781" s="126"/>
      <c r="U781" s="126"/>
      <c r="V781" s="126"/>
      <c r="W781" s="135">
        <f>MAXIFS('Step 3 FOC Request'!$A:$A, 'Step 3 FOC Request'!$F:$F, $E781)</f>
        <v>0</v>
      </c>
      <c r="X781" s="135">
        <f>MAXIFS('Step 4 FOC Return'!$A:$A, 'Step 4 FOC Return'!$E:$E, $E781)</f>
        <v>0</v>
      </c>
      <c r="Y781" s="126"/>
    </row>
    <row r="782">
      <c r="A782" s="126"/>
      <c r="B782" s="154"/>
      <c r="C782" s="146"/>
      <c r="D782" s="146"/>
      <c r="E782" s="146"/>
      <c r="F782" s="155"/>
      <c r="G782" s="146"/>
      <c r="H782" s="126"/>
      <c r="I782" s="132"/>
      <c r="J782" s="146"/>
      <c r="K782" s="126"/>
      <c r="L782" s="126"/>
      <c r="M782" s="134" t="str">
        <f t="shared" si="1"/>
        <v/>
      </c>
      <c r="N782" s="134" t="str">
        <f t="array" ref="N782">IF(M782="LOANED / ON KOL", INDEX('Step 3 FOC Request'!$G:$G, MATCH(1, ('Step 3 FOC Request'!$A:$A=W782) * ('Step 3 FOC Request'!$F:$F=E782), 0)), "-")</f>
        <v>-</v>
      </c>
      <c r="O782" s="126"/>
      <c r="P782" s="126"/>
      <c r="Q782" s="126"/>
      <c r="R782" s="126"/>
      <c r="U782" s="126"/>
      <c r="V782" s="126"/>
      <c r="W782" s="135">
        <f>MAXIFS('Step 3 FOC Request'!$A:$A, 'Step 3 FOC Request'!$F:$F, $E782)</f>
        <v>0</v>
      </c>
      <c r="X782" s="135">
        <f>MAXIFS('Step 4 FOC Return'!$A:$A, 'Step 4 FOC Return'!$E:$E, $E782)</f>
        <v>0</v>
      </c>
      <c r="Y782" s="126"/>
    </row>
    <row r="783">
      <c r="A783" s="126"/>
      <c r="B783" s="154"/>
      <c r="C783" s="146"/>
      <c r="D783" s="146"/>
      <c r="E783" s="146"/>
      <c r="F783" s="155"/>
      <c r="G783" s="146"/>
      <c r="H783" s="126"/>
      <c r="I783" s="132"/>
      <c r="J783" s="146"/>
      <c r="K783" s="126"/>
      <c r="L783" s="126"/>
      <c r="M783" s="134" t="str">
        <f t="shared" si="1"/>
        <v/>
      </c>
      <c r="N783" s="134" t="str">
        <f t="array" ref="N783">IF(M783="LOANED / ON KOL", INDEX('Step 3 FOC Request'!$G:$G, MATCH(1, ('Step 3 FOC Request'!$A:$A=W783) * ('Step 3 FOC Request'!$F:$F=E783), 0)), "-")</f>
        <v>-</v>
      </c>
      <c r="O783" s="126"/>
      <c r="P783" s="126"/>
      <c r="Q783" s="126"/>
      <c r="R783" s="126"/>
      <c r="U783" s="126"/>
      <c r="V783" s="126"/>
      <c r="W783" s="135">
        <f>MAXIFS('Step 3 FOC Request'!$A:$A, 'Step 3 FOC Request'!$F:$F, $E783)</f>
        <v>0</v>
      </c>
      <c r="X783" s="135">
        <f>MAXIFS('Step 4 FOC Return'!$A:$A, 'Step 4 FOC Return'!$E:$E, $E783)</f>
        <v>0</v>
      </c>
      <c r="Y783" s="126"/>
    </row>
    <row r="784">
      <c r="A784" s="126"/>
      <c r="B784" s="154"/>
      <c r="C784" s="146"/>
      <c r="D784" s="146"/>
      <c r="E784" s="146"/>
      <c r="F784" s="155"/>
      <c r="G784" s="146"/>
      <c r="H784" s="126"/>
      <c r="I784" s="132"/>
      <c r="J784" s="146"/>
      <c r="K784" s="126"/>
      <c r="L784" s="126"/>
      <c r="M784" s="134" t="str">
        <f t="shared" si="1"/>
        <v/>
      </c>
      <c r="N784" s="134" t="str">
        <f t="array" ref="N784">IF(M784="LOANED / ON KOL", INDEX('Step 3 FOC Request'!$G:$G, MATCH(1, ('Step 3 FOC Request'!$A:$A=W784) * ('Step 3 FOC Request'!$F:$F=E784), 0)), "-")</f>
        <v>-</v>
      </c>
      <c r="O784" s="126"/>
      <c r="P784" s="126"/>
      <c r="Q784" s="126"/>
      <c r="R784" s="126"/>
      <c r="U784" s="126"/>
      <c r="V784" s="126"/>
      <c r="W784" s="135">
        <f>MAXIFS('Step 3 FOC Request'!$A:$A, 'Step 3 FOC Request'!$F:$F, $E784)</f>
        <v>0</v>
      </c>
      <c r="X784" s="135">
        <f>MAXIFS('Step 4 FOC Return'!$A:$A, 'Step 4 FOC Return'!$E:$E, $E784)</f>
        <v>0</v>
      </c>
      <c r="Y784" s="126"/>
    </row>
    <row r="785">
      <c r="A785" s="126"/>
      <c r="B785" s="154"/>
      <c r="C785" s="146"/>
      <c r="D785" s="146"/>
      <c r="E785" s="146"/>
      <c r="F785" s="155"/>
      <c r="G785" s="146"/>
      <c r="H785" s="126"/>
      <c r="I785" s="132"/>
      <c r="J785" s="146"/>
      <c r="K785" s="126"/>
      <c r="L785" s="126"/>
      <c r="M785" s="134" t="str">
        <f t="shared" si="1"/>
        <v/>
      </c>
      <c r="N785" s="134" t="str">
        <f t="array" ref="N785">IF(M785="LOANED / ON KOL", INDEX('Step 3 FOC Request'!$G:$G, MATCH(1, ('Step 3 FOC Request'!$A:$A=W785) * ('Step 3 FOC Request'!$F:$F=E785), 0)), "-")</f>
        <v>-</v>
      </c>
      <c r="O785" s="126"/>
      <c r="P785" s="126"/>
      <c r="Q785" s="126"/>
      <c r="R785" s="126"/>
      <c r="U785" s="126"/>
      <c r="V785" s="126"/>
      <c r="W785" s="135">
        <f>MAXIFS('Step 3 FOC Request'!$A:$A, 'Step 3 FOC Request'!$F:$F, $E785)</f>
        <v>0</v>
      </c>
      <c r="X785" s="135">
        <f>MAXIFS('Step 4 FOC Return'!$A:$A, 'Step 4 FOC Return'!$E:$E, $E785)</f>
        <v>0</v>
      </c>
      <c r="Y785" s="126"/>
    </row>
    <row r="786">
      <c r="A786" s="126"/>
      <c r="B786" s="154"/>
      <c r="C786" s="146"/>
      <c r="D786" s="146"/>
      <c r="E786" s="146"/>
      <c r="F786" s="155"/>
      <c r="G786" s="146"/>
      <c r="H786" s="126"/>
      <c r="I786" s="132"/>
      <c r="J786" s="146"/>
      <c r="K786" s="126"/>
      <c r="L786" s="126"/>
      <c r="M786" s="134" t="str">
        <f t="shared" si="1"/>
        <v/>
      </c>
      <c r="N786" s="134" t="str">
        <f t="array" ref="N786">IF(M786="LOANED / ON KOL", INDEX('Step 3 FOC Request'!$G:$G, MATCH(1, ('Step 3 FOC Request'!$A:$A=W786) * ('Step 3 FOC Request'!$F:$F=E786), 0)), "-")</f>
        <v>-</v>
      </c>
      <c r="O786" s="126"/>
      <c r="P786" s="126"/>
      <c r="Q786" s="126"/>
      <c r="R786" s="126"/>
      <c r="U786" s="126"/>
      <c r="V786" s="126"/>
      <c r="W786" s="135">
        <f>MAXIFS('Step 3 FOC Request'!$A:$A, 'Step 3 FOC Request'!$F:$F, $E786)</f>
        <v>0</v>
      </c>
      <c r="X786" s="135">
        <f>MAXIFS('Step 4 FOC Return'!$A:$A, 'Step 4 FOC Return'!$E:$E, $E786)</f>
        <v>0</v>
      </c>
      <c r="Y786" s="126"/>
    </row>
    <row r="787">
      <c r="A787" s="126"/>
      <c r="B787" s="154"/>
      <c r="C787" s="146"/>
      <c r="D787" s="146"/>
      <c r="E787" s="146"/>
      <c r="F787" s="155"/>
      <c r="G787" s="146"/>
      <c r="H787" s="126"/>
      <c r="I787" s="132"/>
      <c r="J787" s="146"/>
      <c r="K787" s="126"/>
      <c r="L787" s="126"/>
      <c r="M787" s="134" t="str">
        <f t="shared" si="1"/>
        <v/>
      </c>
      <c r="N787" s="134" t="str">
        <f t="array" ref="N787">IF(M787="LOANED / ON KOL", INDEX('Step 3 FOC Request'!$G:$G, MATCH(1, ('Step 3 FOC Request'!$A:$A=W787) * ('Step 3 FOC Request'!$F:$F=E787), 0)), "-")</f>
        <v>-</v>
      </c>
      <c r="O787" s="126"/>
      <c r="P787" s="126"/>
      <c r="Q787" s="126"/>
      <c r="R787" s="126"/>
      <c r="U787" s="126"/>
      <c r="V787" s="126"/>
      <c r="W787" s="135">
        <f>MAXIFS('Step 3 FOC Request'!$A:$A, 'Step 3 FOC Request'!$F:$F, $E787)</f>
        <v>0</v>
      </c>
      <c r="X787" s="135">
        <f>MAXIFS('Step 4 FOC Return'!$A:$A, 'Step 4 FOC Return'!$E:$E, $E787)</f>
        <v>0</v>
      </c>
      <c r="Y787" s="126"/>
    </row>
    <row r="788">
      <c r="A788" s="126"/>
      <c r="B788" s="154"/>
      <c r="C788" s="146"/>
      <c r="D788" s="146"/>
      <c r="E788" s="146"/>
      <c r="F788" s="155"/>
      <c r="G788" s="146"/>
      <c r="H788" s="126"/>
      <c r="I788" s="132"/>
      <c r="J788" s="146"/>
      <c r="K788" s="126"/>
      <c r="L788" s="126"/>
      <c r="M788" s="134" t="str">
        <f t="shared" si="1"/>
        <v/>
      </c>
      <c r="N788" s="134" t="str">
        <f t="array" ref="N788">IF(M788="LOANED / ON KOL", INDEX('Step 3 FOC Request'!$G:$G, MATCH(1, ('Step 3 FOC Request'!$A:$A=W788) * ('Step 3 FOC Request'!$F:$F=E788), 0)), "-")</f>
        <v>-</v>
      </c>
      <c r="O788" s="126"/>
      <c r="P788" s="126"/>
      <c r="Q788" s="126"/>
      <c r="R788" s="126"/>
      <c r="U788" s="126"/>
      <c r="V788" s="126"/>
      <c r="W788" s="135">
        <f>MAXIFS('Step 3 FOC Request'!$A:$A, 'Step 3 FOC Request'!$F:$F, $E788)</f>
        <v>0</v>
      </c>
      <c r="X788" s="135">
        <f>MAXIFS('Step 4 FOC Return'!$A:$A, 'Step 4 FOC Return'!$E:$E, $E788)</f>
        <v>0</v>
      </c>
      <c r="Y788" s="126"/>
    </row>
    <row r="789">
      <c r="A789" s="126"/>
      <c r="B789" s="154"/>
      <c r="C789" s="146"/>
      <c r="D789" s="146"/>
      <c r="E789" s="146"/>
      <c r="F789" s="155"/>
      <c r="G789" s="146"/>
      <c r="H789" s="126"/>
      <c r="I789" s="132"/>
      <c r="J789" s="146"/>
      <c r="K789" s="126"/>
      <c r="L789" s="126"/>
      <c r="M789" s="134" t="str">
        <f t="shared" si="1"/>
        <v/>
      </c>
      <c r="N789" s="134" t="str">
        <f t="array" ref="N789">IF(M789="LOANED / ON KOL", INDEX('Step 3 FOC Request'!$G:$G, MATCH(1, ('Step 3 FOC Request'!$A:$A=W789) * ('Step 3 FOC Request'!$F:$F=E789), 0)), "-")</f>
        <v>-</v>
      </c>
      <c r="O789" s="126"/>
      <c r="P789" s="126"/>
      <c r="Q789" s="126"/>
      <c r="R789" s="126"/>
      <c r="U789" s="126"/>
      <c r="V789" s="126"/>
      <c r="W789" s="135">
        <f>MAXIFS('Step 3 FOC Request'!$A:$A, 'Step 3 FOC Request'!$F:$F, $E789)</f>
        <v>0</v>
      </c>
      <c r="X789" s="135">
        <f>MAXIFS('Step 4 FOC Return'!$A:$A, 'Step 4 FOC Return'!$E:$E, $E789)</f>
        <v>0</v>
      </c>
      <c r="Y789" s="126"/>
    </row>
    <row r="790">
      <c r="A790" s="126"/>
      <c r="B790" s="154"/>
      <c r="C790" s="146"/>
      <c r="D790" s="146"/>
      <c r="E790" s="146"/>
      <c r="F790" s="155"/>
      <c r="G790" s="146"/>
      <c r="H790" s="126"/>
      <c r="I790" s="132"/>
      <c r="J790" s="146"/>
      <c r="K790" s="126"/>
      <c r="L790" s="126"/>
      <c r="M790" s="134" t="str">
        <f t="shared" si="1"/>
        <v/>
      </c>
      <c r="N790" s="134" t="str">
        <f t="array" ref="N790">IF(M790="LOANED / ON KOL", INDEX('Step 3 FOC Request'!$G:$G, MATCH(1, ('Step 3 FOC Request'!$A:$A=W790) * ('Step 3 FOC Request'!$F:$F=E790), 0)), "-")</f>
        <v>-</v>
      </c>
      <c r="O790" s="126"/>
      <c r="P790" s="126"/>
      <c r="Q790" s="126"/>
      <c r="R790" s="126"/>
      <c r="U790" s="126"/>
      <c r="V790" s="126"/>
      <c r="W790" s="135">
        <f>MAXIFS('Step 3 FOC Request'!$A:$A, 'Step 3 FOC Request'!$F:$F, $E790)</f>
        <v>0</v>
      </c>
      <c r="X790" s="135">
        <f>MAXIFS('Step 4 FOC Return'!$A:$A, 'Step 4 FOC Return'!$E:$E, $E790)</f>
        <v>0</v>
      </c>
      <c r="Y790" s="126"/>
    </row>
    <row r="791">
      <c r="A791" s="126"/>
      <c r="B791" s="154"/>
      <c r="C791" s="146"/>
      <c r="D791" s="146"/>
      <c r="E791" s="146"/>
      <c r="F791" s="155"/>
      <c r="G791" s="146"/>
      <c r="H791" s="126"/>
      <c r="I791" s="132"/>
      <c r="J791" s="146"/>
      <c r="K791" s="126"/>
      <c r="L791" s="126"/>
      <c r="M791" s="134" t="str">
        <f t="shared" si="1"/>
        <v/>
      </c>
      <c r="N791" s="134" t="str">
        <f t="array" ref="N791">IF(M791="LOANED / ON KOL", INDEX('Step 3 FOC Request'!$G:$G, MATCH(1, ('Step 3 FOC Request'!$A:$A=W791) * ('Step 3 FOC Request'!$F:$F=E791), 0)), "-")</f>
        <v>-</v>
      </c>
      <c r="O791" s="126"/>
      <c r="P791" s="126"/>
      <c r="Q791" s="126"/>
      <c r="R791" s="126"/>
      <c r="U791" s="126"/>
      <c r="V791" s="126"/>
      <c r="W791" s="135">
        <f>MAXIFS('Step 3 FOC Request'!$A:$A, 'Step 3 FOC Request'!$F:$F, $E791)</f>
        <v>0</v>
      </c>
      <c r="X791" s="135">
        <f>MAXIFS('Step 4 FOC Return'!$A:$A, 'Step 4 FOC Return'!$E:$E, $E791)</f>
        <v>0</v>
      </c>
      <c r="Y791" s="126"/>
    </row>
    <row r="792">
      <c r="A792" s="126"/>
      <c r="B792" s="154"/>
      <c r="C792" s="146"/>
      <c r="D792" s="146"/>
      <c r="E792" s="146"/>
      <c r="F792" s="155"/>
      <c r="G792" s="146"/>
      <c r="H792" s="126"/>
      <c r="I792" s="132"/>
      <c r="J792" s="146"/>
      <c r="K792" s="126"/>
      <c r="L792" s="126"/>
      <c r="M792" s="134" t="str">
        <f t="shared" si="1"/>
        <v/>
      </c>
      <c r="N792" s="134" t="str">
        <f t="array" ref="N792">IF(M792="LOANED / ON KOL", INDEX('Step 3 FOC Request'!$G:$G, MATCH(1, ('Step 3 FOC Request'!$A:$A=W792) * ('Step 3 FOC Request'!$F:$F=E792), 0)), "-")</f>
        <v>-</v>
      </c>
      <c r="O792" s="126"/>
      <c r="P792" s="126"/>
      <c r="Q792" s="126"/>
      <c r="R792" s="126"/>
      <c r="U792" s="126"/>
      <c r="V792" s="126"/>
      <c r="W792" s="135">
        <f>MAXIFS('Step 3 FOC Request'!$A:$A, 'Step 3 FOC Request'!$F:$F, $E792)</f>
        <v>0</v>
      </c>
      <c r="X792" s="135">
        <f>MAXIFS('Step 4 FOC Return'!$A:$A, 'Step 4 FOC Return'!$E:$E, $E792)</f>
        <v>0</v>
      </c>
      <c r="Y792" s="126"/>
    </row>
    <row r="793">
      <c r="A793" s="126"/>
      <c r="B793" s="154"/>
      <c r="C793" s="146"/>
      <c r="D793" s="146"/>
      <c r="E793" s="146"/>
      <c r="F793" s="155"/>
      <c r="G793" s="146"/>
      <c r="H793" s="126"/>
      <c r="I793" s="132"/>
      <c r="J793" s="146"/>
      <c r="K793" s="126"/>
      <c r="L793" s="126"/>
      <c r="M793" s="134" t="str">
        <f t="shared" si="1"/>
        <v/>
      </c>
      <c r="N793" s="134" t="str">
        <f t="array" ref="N793">IF(M793="LOANED / ON KOL", INDEX('Step 3 FOC Request'!$G:$G, MATCH(1, ('Step 3 FOC Request'!$A:$A=W793) * ('Step 3 FOC Request'!$F:$F=E793), 0)), "-")</f>
        <v>-</v>
      </c>
      <c r="O793" s="126"/>
      <c r="P793" s="126"/>
      <c r="Q793" s="126"/>
      <c r="R793" s="126"/>
      <c r="U793" s="126"/>
      <c r="V793" s="126"/>
      <c r="W793" s="135">
        <f>MAXIFS('Step 3 FOC Request'!$A:$A, 'Step 3 FOC Request'!$F:$F, $E793)</f>
        <v>0</v>
      </c>
      <c r="X793" s="135">
        <f>MAXIFS('Step 4 FOC Return'!$A:$A, 'Step 4 FOC Return'!$E:$E, $E793)</f>
        <v>0</v>
      </c>
      <c r="Y793" s="126"/>
    </row>
    <row r="794">
      <c r="A794" s="126"/>
      <c r="B794" s="154"/>
      <c r="C794" s="146"/>
      <c r="D794" s="146"/>
      <c r="E794" s="146"/>
      <c r="F794" s="155"/>
      <c r="G794" s="146"/>
      <c r="H794" s="126"/>
      <c r="I794" s="132"/>
      <c r="J794" s="146"/>
      <c r="K794" s="126"/>
      <c r="L794" s="126"/>
      <c r="M794" s="134" t="str">
        <f t="shared" si="1"/>
        <v/>
      </c>
      <c r="N794" s="134" t="str">
        <f t="array" ref="N794">IF(M794="LOANED / ON KOL", INDEX('Step 3 FOC Request'!$G:$G, MATCH(1, ('Step 3 FOC Request'!$A:$A=W794) * ('Step 3 FOC Request'!$F:$F=E794), 0)), "-")</f>
        <v>-</v>
      </c>
      <c r="O794" s="126"/>
      <c r="P794" s="126"/>
      <c r="Q794" s="126"/>
      <c r="R794" s="126"/>
      <c r="U794" s="126"/>
      <c r="V794" s="126"/>
      <c r="W794" s="135">
        <f>MAXIFS('Step 3 FOC Request'!$A:$A, 'Step 3 FOC Request'!$F:$F, $E794)</f>
        <v>0</v>
      </c>
      <c r="X794" s="135">
        <f>MAXIFS('Step 4 FOC Return'!$A:$A, 'Step 4 FOC Return'!$E:$E, $E794)</f>
        <v>0</v>
      </c>
      <c r="Y794" s="126"/>
    </row>
    <row r="795">
      <c r="A795" s="126"/>
      <c r="B795" s="154"/>
      <c r="C795" s="146"/>
      <c r="D795" s="146"/>
      <c r="E795" s="146"/>
      <c r="F795" s="155"/>
      <c r="G795" s="146"/>
      <c r="H795" s="126"/>
      <c r="I795" s="132"/>
      <c r="J795" s="146"/>
      <c r="K795" s="126"/>
      <c r="L795" s="126"/>
      <c r="M795" s="134" t="str">
        <f t="shared" si="1"/>
        <v/>
      </c>
      <c r="N795" s="134" t="str">
        <f t="array" ref="N795">IF(M795="LOANED / ON KOL", INDEX('Step 3 FOC Request'!$G:$G, MATCH(1, ('Step 3 FOC Request'!$A:$A=W795) * ('Step 3 FOC Request'!$F:$F=E795), 0)), "-")</f>
        <v>-</v>
      </c>
      <c r="O795" s="126"/>
      <c r="P795" s="126"/>
      <c r="Q795" s="126"/>
      <c r="R795" s="126"/>
      <c r="U795" s="126"/>
      <c r="V795" s="126"/>
      <c r="W795" s="135">
        <f>MAXIFS('Step 3 FOC Request'!$A:$A, 'Step 3 FOC Request'!$F:$F, $E795)</f>
        <v>0</v>
      </c>
      <c r="X795" s="135">
        <f>MAXIFS('Step 4 FOC Return'!$A:$A, 'Step 4 FOC Return'!$E:$E, $E795)</f>
        <v>0</v>
      </c>
      <c r="Y795" s="126"/>
    </row>
    <row r="796">
      <c r="A796" s="126"/>
      <c r="B796" s="154"/>
      <c r="C796" s="146"/>
      <c r="D796" s="146"/>
      <c r="E796" s="146"/>
      <c r="F796" s="155"/>
      <c r="G796" s="146"/>
      <c r="H796" s="126"/>
      <c r="I796" s="132"/>
      <c r="J796" s="146"/>
      <c r="K796" s="126"/>
      <c r="L796" s="126"/>
      <c r="M796" s="134" t="str">
        <f t="shared" si="1"/>
        <v/>
      </c>
      <c r="N796" s="134" t="str">
        <f t="array" ref="N796">IF(M796="LOANED / ON KOL", INDEX('Step 3 FOC Request'!$G:$G, MATCH(1, ('Step 3 FOC Request'!$A:$A=W796) * ('Step 3 FOC Request'!$F:$F=E796), 0)), "-")</f>
        <v>-</v>
      </c>
      <c r="O796" s="126"/>
      <c r="P796" s="126"/>
      <c r="Q796" s="126"/>
      <c r="R796" s="126"/>
      <c r="U796" s="126"/>
      <c r="V796" s="126"/>
      <c r="W796" s="135">
        <f>MAXIFS('Step 3 FOC Request'!$A:$A, 'Step 3 FOC Request'!$F:$F, $E796)</f>
        <v>0</v>
      </c>
      <c r="X796" s="135">
        <f>MAXIFS('Step 4 FOC Return'!$A:$A, 'Step 4 FOC Return'!$E:$E, $E796)</f>
        <v>0</v>
      </c>
      <c r="Y796" s="126"/>
    </row>
    <row r="797">
      <c r="A797" s="126"/>
      <c r="B797" s="154"/>
      <c r="C797" s="146"/>
      <c r="D797" s="146"/>
      <c r="E797" s="146"/>
      <c r="F797" s="155"/>
      <c r="G797" s="146"/>
      <c r="H797" s="126"/>
      <c r="I797" s="132"/>
      <c r="J797" s="146"/>
      <c r="K797" s="126"/>
      <c r="L797" s="126"/>
      <c r="M797" s="134" t="str">
        <f t="shared" si="1"/>
        <v/>
      </c>
      <c r="N797" s="134" t="str">
        <f t="array" ref="N797">IF(M797="LOANED / ON KOL", INDEX('Step 3 FOC Request'!$G:$G, MATCH(1, ('Step 3 FOC Request'!$A:$A=W797) * ('Step 3 FOC Request'!$F:$F=E797), 0)), "-")</f>
        <v>-</v>
      </c>
      <c r="O797" s="126"/>
      <c r="P797" s="126"/>
      <c r="Q797" s="126"/>
      <c r="R797" s="126"/>
      <c r="U797" s="126"/>
      <c r="V797" s="126"/>
      <c r="W797" s="135">
        <f>MAXIFS('Step 3 FOC Request'!$A:$A, 'Step 3 FOC Request'!$F:$F, $E797)</f>
        <v>0</v>
      </c>
      <c r="X797" s="135">
        <f>MAXIFS('Step 4 FOC Return'!$A:$A, 'Step 4 FOC Return'!$E:$E, $E797)</f>
        <v>0</v>
      </c>
      <c r="Y797" s="126"/>
    </row>
    <row r="798">
      <c r="A798" s="126"/>
      <c r="B798" s="154"/>
      <c r="C798" s="146"/>
      <c r="D798" s="146"/>
      <c r="E798" s="146"/>
      <c r="F798" s="155"/>
      <c r="G798" s="146"/>
      <c r="H798" s="126"/>
      <c r="I798" s="132"/>
      <c r="J798" s="146"/>
      <c r="K798" s="126"/>
      <c r="L798" s="126"/>
      <c r="M798" s="134" t="str">
        <f t="shared" si="1"/>
        <v/>
      </c>
      <c r="N798" s="134" t="str">
        <f t="array" ref="N798">IF(M798="LOANED / ON KOL", INDEX('Step 3 FOC Request'!$G:$G, MATCH(1, ('Step 3 FOC Request'!$A:$A=W798) * ('Step 3 FOC Request'!$F:$F=E798), 0)), "-")</f>
        <v>-</v>
      </c>
      <c r="O798" s="126"/>
      <c r="P798" s="126"/>
      <c r="Q798" s="126"/>
      <c r="R798" s="126"/>
      <c r="U798" s="126"/>
      <c r="V798" s="126"/>
      <c r="W798" s="135">
        <f>MAXIFS('Step 3 FOC Request'!$A:$A, 'Step 3 FOC Request'!$F:$F, $E798)</f>
        <v>0</v>
      </c>
      <c r="X798" s="135">
        <f>MAXIFS('Step 4 FOC Return'!$A:$A, 'Step 4 FOC Return'!$E:$E, $E798)</f>
        <v>0</v>
      </c>
      <c r="Y798" s="126"/>
    </row>
    <row r="799">
      <c r="A799" s="126"/>
      <c r="B799" s="154"/>
      <c r="C799" s="146"/>
      <c r="D799" s="146"/>
      <c r="E799" s="146"/>
      <c r="F799" s="155"/>
      <c r="G799" s="146"/>
      <c r="H799" s="126"/>
      <c r="I799" s="132"/>
      <c r="J799" s="146"/>
      <c r="K799" s="126"/>
      <c r="L799" s="126"/>
      <c r="M799" s="134" t="str">
        <f t="shared" si="1"/>
        <v/>
      </c>
      <c r="N799" s="134" t="str">
        <f t="array" ref="N799">IF(M799="LOANED / ON KOL", INDEX('Step 3 FOC Request'!$G:$G, MATCH(1, ('Step 3 FOC Request'!$A:$A=W799) * ('Step 3 FOC Request'!$F:$F=E799), 0)), "-")</f>
        <v>-</v>
      </c>
      <c r="O799" s="126"/>
      <c r="P799" s="126"/>
      <c r="Q799" s="126"/>
      <c r="R799" s="126"/>
      <c r="U799" s="126"/>
      <c r="V799" s="126"/>
      <c r="W799" s="135">
        <f>MAXIFS('Step 3 FOC Request'!$A:$A, 'Step 3 FOC Request'!$F:$F, $E799)</f>
        <v>0</v>
      </c>
      <c r="X799" s="135">
        <f>MAXIFS('Step 4 FOC Return'!$A:$A, 'Step 4 FOC Return'!$E:$E, $E799)</f>
        <v>0</v>
      </c>
      <c r="Y799" s="126"/>
    </row>
    <row r="800">
      <c r="A800" s="126"/>
      <c r="B800" s="154"/>
      <c r="C800" s="146"/>
      <c r="D800" s="146"/>
      <c r="E800" s="146"/>
      <c r="F800" s="155"/>
      <c r="G800" s="146"/>
      <c r="H800" s="126"/>
      <c r="I800" s="132"/>
      <c r="J800" s="146"/>
      <c r="K800" s="126"/>
      <c r="L800" s="126"/>
      <c r="M800" s="134" t="str">
        <f t="shared" si="1"/>
        <v/>
      </c>
      <c r="N800" s="134" t="str">
        <f t="array" ref="N800">IF(M800="LOANED / ON KOL", INDEX('Step 3 FOC Request'!$G:$G, MATCH(1, ('Step 3 FOC Request'!$A:$A=W800) * ('Step 3 FOC Request'!$F:$F=E800), 0)), "-")</f>
        <v>-</v>
      </c>
      <c r="O800" s="126"/>
      <c r="P800" s="126"/>
      <c r="Q800" s="126"/>
      <c r="R800" s="126"/>
      <c r="U800" s="126"/>
      <c r="V800" s="126"/>
      <c r="W800" s="135">
        <f>MAXIFS('Step 3 FOC Request'!$A:$A, 'Step 3 FOC Request'!$F:$F, $E800)</f>
        <v>0</v>
      </c>
      <c r="X800" s="135">
        <f>MAXIFS('Step 4 FOC Return'!$A:$A, 'Step 4 FOC Return'!$E:$E, $E800)</f>
        <v>0</v>
      </c>
      <c r="Y800" s="126"/>
    </row>
    <row r="801">
      <c r="A801" s="126"/>
      <c r="B801" s="154"/>
      <c r="C801" s="146"/>
      <c r="D801" s="146"/>
      <c r="E801" s="146"/>
      <c r="F801" s="155"/>
      <c r="G801" s="146"/>
      <c r="H801" s="126"/>
      <c r="I801" s="132"/>
      <c r="J801" s="146"/>
      <c r="K801" s="126"/>
      <c r="L801" s="126"/>
      <c r="M801" s="134" t="str">
        <f t="shared" si="1"/>
        <v/>
      </c>
      <c r="N801" s="134" t="str">
        <f t="array" ref="N801">IF(M801="LOANED / ON KOL", INDEX('Step 3 FOC Request'!$G:$G, MATCH(1, ('Step 3 FOC Request'!$A:$A=W801) * ('Step 3 FOC Request'!$F:$F=E801), 0)), "-")</f>
        <v>-</v>
      </c>
      <c r="O801" s="126"/>
      <c r="P801" s="126"/>
      <c r="Q801" s="126"/>
      <c r="R801" s="126"/>
      <c r="U801" s="126"/>
      <c r="V801" s="126"/>
      <c r="W801" s="135">
        <f>MAXIFS('Step 3 FOC Request'!$A:$A, 'Step 3 FOC Request'!$F:$F, $E801)</f>
        <v>0</v>
      </c>
      <c r="X801" s="135">
        <f>MAXIFS('Step 4 FOC Return'!$A:$A, 'Step 4 FOC Return'!$E:$E, $E801)</f>
        <v>0</v>
      </c>
      <c r="Y801" s="126"/>
    </row>
    <row r="802">
      <c r="A802" s="126"/>
      <c r="B802" s="154"/>
      <c r="C802" s="146"/>
      <c r="D802" s="146"/>
      <c r="E802" s="146"/>
      <c r="F802" s="155"/>
      <c r="G802" s="146"/>
      <c r="H802" s="126"/>
      <c r="I802" s="132"/>
      <c r="J802" s="146"/>
      <c r="K802" s="126"/>
      <c r="L802" s="126"/>
      <c r="M802" s="134" t="str">
        <f t="shared" si="1"/>
        <v/>
      </c>
      <c r="N802" s="134" t="str">
        <f t="array" ref="N802">IF(M802="LOANED / ON KOL", INDEX('Step 3 FOC Request'!$G:$G, MATCH(1, ('Step 3 FOC Request'!$A:$A=W802) * ('Step 3 FOC Request'!$F:$F=E802), 0)), "-")</f>
        <v>-</v>
      </c>
      <c r="O802" s="126"/>
      <c r="P802" s="126"/>
      <c r="Q802" s="126"/>
      <c r="R802" s="126"/>
      <c r="U802" s="126"/>
      <c r="V802" s="126"/>
      <c r="W802" s="135">
        <f>MAXIFS('Step 3 FOC Request'!$A:$A, 'Step 3 FOC Request'!$F:$F, $E802)</f>
        <v>0</v>
      </c>
      <c r="X802" s="135">
        <f>MAXIFS('Step 4 FOC Return'!$A:$A, 'Step 4 FOC Return'!$E:$E, $E802)</f>
        <v>0</v>
      </c>
      <c r="Y802" s="126"/>
    </row>
    <row r="803">
      <c r="A803" s="126"/>
      <c r="B803" s="154"/>
      <c r="C803" s="146"/>
      <c r="D803" s="146"/>
      <c r="E803" s="146"/>
      <c r="F803" s="155"/>
      <c r="G803" s="146"/>
      <c r="H803" s="126"/>
      <c r="I803" s="132"/>
      <c r="J803" s="146"/>
      <c r="K803" s="126"/>
      <c r="L803" s="126"/>
      <c r="M803" s="134" t="str">
        <f t="shared" si="1"/>
        <v/>
      </c>
      <c r="N803" s="134" t="str">
        <f t="array" ref="N803">IF(M803="LOANED / ON KOL", INDEX('Step 3 FOC Request'!$G:$G, MATCH(1, ('Step 3 FOC Request'!$A:$A=W803) * ('Step 3 FOC Request'!$F:$F=E803), 0)), "-")</f>
        <v>-</v>
      </c>
      <c r="O803" s="126"/>
      <c r="P803" s="126"/>
      <c r="Q803" s="126"/>
      <c r="R803" s="126"/>
      <c r="U803" s="126"/>
      <c r="V803" s="126"/>
      <c r="W803" s="135">
        <f>MAXIFS('Step 3 FOC Request'!$A:$A, 'Step 3 FOC Request'!$F:$F, $E803)</f>
        <v>0</v>
      </c>
      <c r="X803" s="135">
        <f>MAXIFS('Step 4 FOC Return'!$A:$A, 'Step 4 FOC Return'!$E:$E, $E803)</f>
        <v>0</v>
      </c>
      <c r="Y803" s="126"/>
    </row>
    <row r="804">
      <c r="A804" s="126"/>
      <c r="B804" s="154"/>
      <c r="C804" s="146"/>
      <c r="D804" s="146"/>
      <c r="E804" s="146"/>
      <c r="F804" s="155"/>
      <c r="G804" s="146"/>
      <c r="H804" s="126"/>
      <c r="I804" s="132"/>
      <c r="J804" s="146"/>
      <c r="K804" s="126"/>
      <c r="L804" s="126"/>
      <c r="M804" s="134" t="str">
        <f t="shared" si="1"/>
        <v/>
      </c>
      <c r="N804" s="134" t="str">
        <f t="array" ref="N804">IF(M804="LOANED / ON KOL", INDEX('Step 3 FOC Request'!$G:$G, MATCH(1, ('Step 3 FOC Request'!$A:$A=W804) * ('Step 3 FOC Request'!$F:$F=E804), 0)), "-")</f>
        <v>-</v>
      </c>
      <c r="O804" s="126"/>
      <c r="P804" s="126"/>
      <c r="Q804" s="126"/>
      <c r="R804" s="126"/>
      <c r="U804" s="126"/>
      <c r="V804" s="126"/>
      <c r="W804" s="135">
        <f>MAXIFS('Step 3 FOC Request'!$A:$A, 'Step 3 FOC Request'!$F:$F, $E804)</f>
        <v>0</v>
      </c>
      <c r="X804" s="135">
        <f>MAXIFS('Step 4 FOC Return'!$A:$A, 'Step 4 FOC Return'!$E:$E, $E804)</f>
        <v>0</v>
      </c>
      <c r="Y804" s="126"/>
    </row>
    <row r="805">
      <c r="A805" s="126"/>
      <c r="B805" s="154"/>
      <c r="C805" s="146"/>
      <c r="D805" s="146"/>
      <c r="E805" s="146"/>
      <c r="F805" s="155"/>
      <c r="G805" s="146"/>
      <c r="H805" s="126"/>
      <c r="I805" s="132"/>
      <c r="J805" s="146"/>
      <c r="K805" s="126"/>
      <c r="L805" s="126"/>
      <c r="M805" s="134" t="str">
        <f t="shared" si="1"/>
        <v/>
      </c>
      <c r="N805" s="134" t="str">
        <f t="array" ref="N805">IF(M805="LOANED / ON KOL", INDEX('Step 3 FOC Request'!$G:$G, MATCH(1, ('Step 3 FOC Request'!$A:$A=W805) * ('Step 3 FOC Request'!$F:$F=E805), 0)), "-")</f>
        <v>-</v>
      </c>
      <c r="O805" s="126"/>
      <c r="P805" s="126"/>
      <c r="Q805" s="126"/>
      <c r="R805" s="126"/>
      <c r="U805" s="126"/>
      <c r="V805" s="126"/>
      <c r="W805" s="135">
        <f>MAXIFS('Step 3 FOC Request'!$A:$A, 'Step 3 FOC Request'!$F:$F, $E805)</f>
        <v>0</v>
      </c>
      <c r="X805" s="135">
        <f>MAXIFS('Step 4 FOC Return'!$A:$A, 'Step 4 FOC Return'!$E:$E, $E805)</f>
        <v>0</v>
      </c>
      <c r="Y805" s="126"/>
    </row>
    <row r="806">
      <c r="A806" s="126"/>
      <c r="B806" s="154"/>
      <c r="C806" s="146"/>
      <c r="D806" s="146"/>
      <c r="E806" s="146"/>
      <c r="F806" s="155"/>
      <c r="G806" s="146"/>
      <c r="H806" s="126"/>
      <c r="I806" s="132"/>
      <c r="J806" s="146"/>
      <c r="K806" s="126"/>
      <c r="L806" s="126"/>
      <c r="M806" s="134" t="str">
        <f t="shared" si="1"/>
        <v/>
      </c>
      <c r="N806" s="134" t="str">
        <f t="array" ref="N806">IF(M806="LOANED / ON KOL", INDEX('Step 3 FOC Request'!$G:$G, MATCH(1, ('Step 3 FOC Request'!$A:$A=W806) * ('Step 3 FOC Request'!$F:$F=E806), 0)), "-")</f>
        <v>-</v>
      </c>
      <c r="O806" s="126"/>
      <c r="P806" s="126"/>
      <c r="Q806" s="126"/>
      <c r="R806" s="126"/>
      <c r="U806" s="126"/>
      <c r="V806" s="126"/>
      <c r="W806" s="135">
        <f>MAXIFS('Step 3 FOC Request'!$A:$A, 'Step 3 FOC Request'!$F:$F, $E806)</f>
        <v>0</v>
      </c>
      <c r="X806" s="135">
        <f>MAXIFS('Step 4 FOC Return'!$A:$A, 'Step 4 FOC Return'!$E:$E, $E806)</f>
        <v>0</v>
      </c>
      <c r="Y806" s="126"/>
    </row>
    <row r="807">
      <c r="A807" s="126"/>
      <c r="B807" s="154"/>
      <c r="C807" s="146"/>
      <c r="D807" s="146"/>
      <c r="E807" s="146"/>
      <c r="F807" s="155"/>
      <c r="G807" s="146"/>
      <c r="H807" s="126"/>
      <c r="I807" s="132"/>
      <c r="J807" s="146"/>
      <c r="K807" s="126"/>
      <c r="L807" s="126"/>
      <c r="M807" s="134" t="str">
        <f t="shared" si="1"/>
        <v/>
      </c>
      <c r="N807" s="134" t="str">
        <f t="array" ref="N807">IF(M807="LOANED / ON KOL", INDEX('Step 3 FOC Request'!$G:$G, MATCH(1, ('Step 3 FOC Request'!$A:$A=W807) * ('Step 3 FOC Request'!$F:$F=E807), 0)), "-")</f>
        <v>-</v>
      </c>
      <c r="O807" s="126"/>
      <c r="P807" s="126"/>
      <c r="Q807" s="126"/>
      <c r="R807" s="126"/>
      <c r="U807" s="126"/>
      <c r="V807" s="126"/>
      <c r="W807" s="135">
        <f>MAXIFS('Step 3 FOC Request'!$A:$A, 'Step 3 FOC Request'!$F:$F, $E807)</f>
        <v>0</v>
      </c>
      <c r="X807" s="135">
        <f>MAXIFS('Step 4 FOC Return'!$A:$A, 'Step 4 FOC Return'!$E:$E, $E807)</f>
        <v>0</v>
      </c>
      <c r="Y807" s="126"/>
    </row>
    <row r="808">
      <c r="A808" s="126"/>
      <c r="B808" s="154"/>
      <c r="C808" s="146"/>
      <c r="D808" s="146"/>
      <c r="E808" s="146"/>
      <c r="F808" s="155"/>
      <c r="G808" s="146"/>
      <c r="H808" s="126"/>
      <c r="I808" s="132"/>
      <c r="J808" s="146"/>
      <c r="K808" s="126"/>
      <c r="L808" s="126"/>
      <c r="M808" s="134" t="str">
        <f t="shared" si="1"/>
        <v/>
      </c>
      <c r="N808" s="134" t="str">
        <f t="array" ref="N808">IF(M808="LOANED / ON KOL", INDEX('Step 3 FOC Request'!$G:$G, MATCH(1, ('Step 3 FOC Request'!$A:$A=W808) * ('Step 3 FOC Request'!$F:$F=E808), 0)), "-")</f>
        <v>-</v>
      </c>
      <c r="O808" s="126"/>
      <c r="P808" s="126"/>
      <c r="Q808" s="126"/>
      <c r="R808" s="126"/>
      <c r="U808" s="126"/>
      <c r="V808" s="126"/>
      <c r="W808" s="135">
        <f>MAXIFS('Step 3 FOC Request'!$A:$A, 'Step 3 FOC Request'!$F:$F, $E808)</f>
        <v>0</v>
      </c>
      <c r="X808" s="135">
        <f>MAXIFS('Step 4 FOC Return'!$A:$A, 'Step 4 FOC Return'!$E:$E, $E808)</f>
        <v>0</v>
      </c>
      <c r="Y808" s="126"/>
    </row>
    <row r="809">
      <c r="A809" s="126"/>
      <c r="B809" s="154"/>
      <c r="C809" s="146"/>
      <c r="D809" s="146"/>
      <c r="E809" s="146"/>
      <c r="F809" s="155"/>
      <c r="G809" s="146"/>
      <c r="H809" s="126"/>
      <c r="I809" s="132"/>
      <c r="J809" s="146"/>
      <c r="K809" s="126"/>
      <c r="L809" s="126"/>
      <c r="M809" s="134" t="str">
        <f t="shared" si="1"/>
        <v/>
      </c>
      <c r="N809" s="134" t="str">
        <f t="array" ref="N809">IF(M809="LOANED / ON KOL", INDEX('Step 3 FOC Request'!$G:$G, MATCH(1, ('Step 3 FOC Request'!$A:$A=W809) * ('Step 3 FOC Request'!$F:$F=E809), 0)), "-")</f>
        <v>-</v>
      </c>
      <c r="O809" s="126"/>
      <c r="P809" s="126"/>
      <c r="Q809" s="126"/>
      <c r="R809" s="126"/>
      <c r="U809" s="126"/>
      <c r="V809" s="126"/>
      <c r="W809" s="135">
        <f>MAXIFS('Step 3 FOC Request'!$A:$A, 'Step 3 FOC Request'!$F:$F, $E809)</f>
        <v>0</v>
      </c>
      <c r="X809" s="135">
        <f>MAXIFS('Step 4 FOC Return'!$A:$A, 'Step 4 FOC Return'!$E:$E, $E809)</f>
        <v>0</v>
      </c>
      <c r="Y809" s="126"/>
    </row>
    <row r="810">
      <c r="A810" s="126"/>
      <c r="B810" s="154"/>
      <c r="C810" s="146"/>
      <c r="D810" s="146"/>
      <c r="E810" s="146"/>
      <c r="F810" s="155"/>
      <c r="G810" s="146"/>
      <c r="H810" s="126"/>
      <c r="I810" s="132"/>
      <c r="J810" s="146"/>
      <c r="K810" s="126"/>
      <c r="L810" s="126"/>
      <c r="M810" s="134" t="str">
        <f t="shared" si="1"/>
        <v/>
      </c>
      <c r="N810" s="134" t="str">
        <f t="array" ref="N810">IF(M810="LOANED / ON KOL", INDEX('Step 3 FOC Request'!$G:$G, MATCH(1, ('Step 3 FOC Request'!$A:$A=W810) * ('Step 3 FOC Request'!$F:$F=E810), 0)), "-")</f>
        <v>-</v>
      </c>
      <c r="O810" s="126"/>
      <c r="P810" s="126"/>
      <c r="Q810" s="126"/>
      <c r="R810" s="126"/>
      <c r="U810" s="126"/>
      <c r="V810" s="126"/>
      <c r="W810" s="135">
        <f>MAXIFS('Step 3 FOC Request'!$A:$A, 'Step 3 FOC Request'!$F:$F, $E810)</f>
        <v>0</v>
      </c>
      <c r="X810" s="135">
        <f>MAXIFS('Step 4 FOC Return'!$A:$A, 'Step 4 FOC Return'!$E:$E, $E810)</f>
        <v>0</v>
      </c>
      <c r="Y810" s="126"/>
    </row>
    <row r="811">
      <c r="A811" s="126"/>
      <c r="B811" s="154"/>
      <c r="C811" s="146"/>
      <c r="D811" s="146"/>
      <c r="E811" s="146"/>
      <c r="F811" s="155"/>
      <c r="G811" s="146"/>
      <c r="H811" s="126"/>
      <c r="I811" s="132"/>
      <c r="J811" s="146"/>
      <c r="K811" s="126"/>
      <c r="L811" s="126"/>
      <c r="M811" s="134" t="str">
        <f t="shared" si="1"/>
        <v/>
      </c>
      <c r="N811" s="134" t="str">
        <f t="array" ref="N811">IF(M811="LOANED / ON KOL", INDEX('Step 3 FOC Request'!$G:$G, MATCH(1, ('Step 3 FOC Request'!$A:$A=W811) * ('Step 3 FOC Request'!$F:$F=E811), 0)), "-")</f>
        <v>-</v>
      </c>
      <c r="O811" s="126"/>
      <c r="P811" s="126"/>
      <c r="Q811" s="126"/>
      <c r="R811" s="126"/>
      <c r="U811" s="126"/>
      <c r="V811" s="126"/>
      <c r="W811" s="135">
        <f>MAXIFS('Step 3 FOC Request'!$A:$A, 'Step 3 FOC Request'!$F:$F, $E811)</f>
        <v>0</v>
      </c>
      <c r="X811" s="135">
        <f>MAXIFS('Step 4 FOC Return'!$A:$A, 'Step 4 FOC Return'!$E:$E, $E811)</f>
        <v>0</v>
      </c>
      <c r="Y811" s="126"/>
    </row>
    <row r="812">
      <c r="A812" s="126"/>
      <c r="B812" s="154"/>
      <c r="C812" s="146"/>
      <c r="D812" s="146"/>
      <c r="E812" s="146"/>
      <c r="F812" s="155"/>
      <c r="G812" s="146"/>
      <c r="H812" s="126"/>
      <c r="I812" s="132"/>
      <c r="J812" s="146"/>
      <c r="K812" s="126"/>
      <c r="L812" s="126"/>
      <c r="M812" s="134" t="str">
        <f t="shared" si="1"/>
        <v/>
      </c>
      <c r="N812" s="134" t="str">
        <f t="array" ref="N812">IF(M812="LOANED / ON KOL", INDEX('Step 3 FOC Request'!$G:$G, MATCH(1, ('Step 3 FOC Request'!$A:$A=W812) * ('Step 3 FOC Request'!$F:$F=E812), 0)), "-")</f>
        <v>-</v>
      </c>
      <c r="O812" s="126"/>
      <c r="P812" s="126"/>
      <c r="Q812" s="126"/>
      <c r="R812" s="126"/>
      <c r="U812" s="126"/>
      <c r="V812" s="126"/>
      <c r="W812" s="135">
        <f>MAXIFS('Step 3 FOC Request'!$A:$A, 'Step 3 FOC Request'!$F:$F, $E812)</f>
        <v>0</v>
      </c>
      <c r="X812" s="135">
        <f>MAXIFS('Step 4 FOC Return'!$A:$A, 'Step 4 FOC Return'!$E:$E, $E812)</f>
        <v>0</v>
      </c>
      <c r="Y812" s="126"/>
    </row>
    <row r="813">
      <c r="A813" s="126"/>
      <c r="B813" s="154"/>
      <c r="C813" s="146"/>
      <c r="D813" s="146"/>
      <c r="E813" s="146"/>
      <c r="F813" s="155"/>
      <c r="G813" s="146"/>
      <c r="H813" s="126"/>
      <c r="I813" s="132"/>
      <c r="J813" s="146"/>
      <c r="K813" s="126"/>
      <c r="L813" s="126"/>
      <c r="M813" s="134" t="str">
        <f t="shared" si="1"/>
        <v/>
      </c>
      <c r="N813" s="134" t="str">
        <f t="array" ref="N813">IF(M813="LOANED / ON KOL", INDEX('Step 3 FOC Request'!$G:$G, MATCH(1, ('Step 3 FOC Request'!$A:$A=W813) * ('Step 3 FOC Request'!$F:$F=E813), 0)), "-")</f>
        <v>-</v>
      </c>
      <c r="O813" s="126"/>
      <c r="P813" s="126"/>
      <c r="Q813" s="126"/>
      <c r="R813" s="126"/>
      <c r="U813" s="126"/>
      <c r="V813" s="126"/>
      <c r="W813" s="135">
        <f>MAXIFS('Step 3 FOC Request'!$A:$A, 'Step 3 FOC Request'!$F:$F, $E813)</f>
        <v>0</v>
      </c>
      <c r="X813" s="135">
        <f>MAXIFS('Step 4 FOC Return'!$A:$A, 'Step 4 FOC Return'!$E:$E, $E813)</f>
        <v>0</v>
      </c>
      <c r="Y813" s="126"/>
    </row>
    <row r="814">
      <c r="A814" s="126"/>
      <c r="B814" s="154"/>
      <c r="C814" s="146"/>
      <c r="D814" s="146"/>
      <c r="E814" s="146"/>
      <c r="F814" s="155"/>
      <c r="G814" s="146"/>
      <c r="H814" s="126"/>
      <c r="I814" s="132"/>
      <c r="J814" s="146"/>
      <c r="K814" s="126"/>
      <c r="L814" s="126"/>
      <c r="M814" s="134" t="str">
        <f t="shared" si="1"/>
        <v/>
      </c>
      <c r="N814" s="134" t="str">
        <f t="array" ref="N814">IF(M814="LOANED / ON KOL", INDEX('Step 3 FOC Request'!$G:$G, MATCH(1, ('Step 3 FOC Request'!$A:$A=W814) * ('Step 3 FOC Request'!$F:$F=E814), 0)), "-")</f>
        <v>-</v>
      </c>
      <c r="O814" s="126"/>
      <c r="P814" s="126"/>
      <c r="Q814" s="126"/>
      <c r="R814" s="126"/>
      <c r="U814" s="126"/>
      <c r="V814" s="126"/>
      <c r="W814" s="135">
        <f>MAXIFS('Step 3 FOC Request'!$A:$A, 'Step 3 FOC Request'!$F:$F, $E814)</f>
        <v>0</v>
      </c>
      <c r="X814" s="135">
        <f>MAXIFS('Step 4 FOC Return'!$A:$A, 'Step 4 FOC Return'!$E:$E, $E814)</f>
        <v>0</v>
      </c>
      <c r="Y814" s="126"/>
    </row>
    <row r="815">
      <c r="A815" s="126"/>
      <c r="B815" s="154"/>
      <c r="C815" s="146"/>
      <c r="D815" s="146"/>
      <c r="E815" s="146"/>
      <c r="F815" s="155"/>
      <c r="G815" s="146"/>
      <c r="H815" s="126"/>
      <c r="I815" s="132"/>
      <c r="J815" s="146"/>
      <c r="K815" s="126"/>
      <c r="L815" s="126"/>
      <c r="M815" s="134" t="str">
        <f t="shared" si="1"/>
        <v/>
      </c>
      <c r="N815" s="134" t="str">
        <f t="array" ref="N815">IF(M815="LOANED / ON KOL", INDEX('Step 3 FOC Request'!$G:$G, MATCH(1, ('Step 3 FOC Request'!$A:$A=W815) * ('Step 3 FOC Request'!$F:$F=E815), 0)), "-")</f>
        <v>-</v>
      </c>
      <c r="O815" s="126"/>
      <c r="P815" s="126"/>
      <c r="Q815" s="126"/>
      <c r="R815" s="126"/>
      <c r="U815" s="126"/>
      <c r="V815" s="126"/>
      <c r="W815" s="135">
        <f>MAXIFS('Step 3 FOC Request'!$A:$A, 'Step 3 FOC Request'!$F:$F, $E815)</f>
        <v>0</v>
      </c>
      <c r="X815" s="135">
        <f>MAXIFS('Step 4 FOC Return'!$A:$A, 'Step 4 FOC Return'!$E:$E, $E815)</f>
        <v>0</v>
      </c>
      <c r="Y815" s="126"/>
    </row>
    <row r="816">
      <c r="A816" s="126"/>
      <c r="B816" s="154"/>
      <c r="C816" s="146"/>
      <c r="D816" s="146"/>
      <c r="E816" s="146"/>
      <c r="F816" s="155"/>
      <c r="G816" s="146"/>
      <c r="H816" s="126"/>
      <c r="I816" s="132"/>
      <c r="J816" s="146"/>
      <c r="K816" s="126"/>
      <c r="L816" s="126"/>
      <c r="M816" s="134" t="str">
        <f t="shared" si="1"/>
        <v/>
      </c>
      <c r="N816" s="134" t="str">
        <f t="array" ref="N816">IF(M816="LOANED / ON KOL", INDEX('Step 3 FOC Request'!$G:$G, MATCH(1, ('Step 3 FOC Request'!$A:$A=W816) * ('Step 3 FOC Request'!$F:$F=E816), 0)), "-")</f>
        <v>-</v>
      </c>
      <c r="O816" s="126"/>
      <c r="P816" s="126"/>
      <c r="Q816" s="126"/>
      <c r="R816" s="126"/>
      <c r="U816" s="126"/>
      <c r="V816" s="126"/>
      <c r="W816" s="135">
        <f>MAXIFS('Step 3 FOC Request'!$A:$A, 'Step 3 FOC Request'!$F:$F, $E816)</f>
        <v>0</v>
      </c>
      <c r="X816" s="135">
        <f>MAXIFS('Step 4 FOC Return'!$A:$A, 'Step 4 FOC Return'!$E:$E, $E816)</f>
        <v>0</v>
      </c>
      <c r="Y816" s="126"/>
    </row>
    <row r="817">
      <c r="A817" s="126"/>
      <c r="B817" s="154"/>
      <c r="C817" s="146"/>
      <c r="D817" s="146"/>
      <c r="E817" s="146"/>
      <c r="F817" s="155"/>
      <c r="G817" s="146"/>
      <c r="H817" s="126"/>
      <c r="I817" s="132"/>
      <c r="J817" s="146"/>
      <c r="K817" s="126"/>
      <c r="L817" s="126"/>
      <c r="M817" s="134" t="str">
        <f t="shared" si="1"/>
        <v/>
      </c>
      <c r="N817" s="134" t="str">
        <f t="array" ref="N817">IF(M817="LOANED / ON KOL", INDEX('Step 3 FOC Request'!$G:$G, MATCH(1, ('Step 3 FOC Request'!$A:$A=W817) * ('Step 3 FOC Request'!$F:$F=E817), 0)), "-")</f>
        <v>-</v>
      </c>
      <c r="O817" s="126"/>
      <c r="P817" s="126"/>
      <c r="Q817" s="126"/>
      <c r="R817" s="126"/>
      <c r="U817" s="126"/>
      <c r="V817" s="126"/>
      <c r="W817" s="135">
        <f>MAXIFS('Step 3 FOC Request'!$A:$A, 'Step 3 FOC Request'!$F:$F, $E817)</f>
        <v>0</v>
      </c>
      <c r="X817" s="135">
        <f>MAXIFS('Step 4 FOC Return'!$A:$A, 'Step 4 FOC Return'!$E:$E, $E817)</f>
        <v>0</v>
      </c>
      <c r="Y817" s="126"/>
    </row>
    <row r="818">
      <c r="A818" s="126"/>
      <c r="B818" s="154"/>
      <c r="C818" s="146"/>
      <c r="D818" s="146"/>
      <c r="E818" s="146"/>
      <c r="F818" s="155"/>
      <c r="G818" s="146"/>
      <c r="H818" s="126"/>
      <c r="I818" s="132"/>
      <c r="J818" s="146"/>
      <c r="K818" s="126"/>
      <c r="L818" s="126"/>
      <c r="M818" s="134" t="str">
        <f t="shared" si="1"/>
        <v/>
      </c>
      <c r="N818" s="134" t="str">
        <f t="array" ref="N818">IF(M818="LOANED / ON KOL", INDEX('Step 3 FOC Request'!$G:$G, MATCH(1, ('Step 3 FOC Request'!$A:$A=W818) * ('Step 3 FOC Request'!$F:$F=E818), 0)), "-")</f>
        <v>-</v>
      </c>
      <c r="O818" s="126"/>
      <c r="P818" s="126"/>
      <c r="Q818" s="126"/>
      <c r="R818" s="126"/>
      <c r="U818" s="126"/>
      <c r="V818" s="126"/>
      <c r="W818" s="135">
        <f>MAXIFS('Step 3 FOC Request'!$A:$A, 'Step 3 FOC Request'!$F:$F, $E818)</f>
        <v>0</v>
      </c>
      <c r="X818" s="135">
        <f>MAXIFS('Step 4 FOC Return'!$A:$A, 'Step 4 FOC Return'!$E:$E, $E818)</f>
        <v>0</v>
      </c>
      <c r="Y818" s="126"/>
    </row>
    <row r="819">
      <c r="A819" s="126"/>
      <c r="B819" s="154"/>
      <c r="C819" s="146"/>
      <c r="D819" s="146"/>
      <c r="E819" s="146"/>
      <c r="F819" s="155"/>
      <c r="G819" s="146"/>
      <c r="H819" s="126"/>
      <c r="I819" s="132"/>
      <c r="J819" s="146"/>
      <c r="K819" s="126"/>
      <c r="L819" s="126"/>
      <c r="M819" s="134" t="str">
        <f t="shared" si="1"/>
        <v/>
      </c>
      <c r="N819" s="134" t="str">
        <f t="array" ref="N819">IF(M819="LOANED / ON KOL", INDEX('Step 3 FOC Request'!$G:$G, MATCH(1, ('Step 3 FOC Request'!$A:$A=W819) * ('Step 3 FOC Request'!$F:$F=E819), 0)), "-")</f>
        <v>-</v>
      </c>
      <c r="O819" s="126"/>
      <c r="P819" s="126"/>
      <c r="Q819" s="126"/>
      <c r="R819" s="126"/>
      <c r="U819" s="126"/>
      <c r="V819" s="126"/>
      <c r="W819" s="135">
        <f>MAXIFS('Step 3 FOC Request'!$A:$A, 'Step 3 FOC Request'!$F:$F, $E819)</f>
        <v>0</v>
      </c>
      <c r="X819" s="135">
        <f>MAXIFS('Step 4 FOC Return'!$A:$A, 'Step 4 FOC Return'!$E:$E, $E819)</f>
        <v>0</v>
      </c>
      <c r="Y819" s="126"/>
    </row>
    <row r="820">
      <c r="A820" s="126"/>
      <c r="B820" s="154"/>
      <c r="C820" s="146"/>
      <c r="D820" s="146"/>
      <c r="E820" s="146"/>
      <c r="F820" s="155"/>
      <c r="G820" s="146"/>
      <c r="H820" s="126"/>
      <c r="I820" s="132"/>
      <c r="J820" s="146"/>
      <c r="K820" s="126"/>
      <c r="L820" s="126"/>
      <c r="M820" s="134" t="str">
        <f t="shared" si="1"/>
        <v/>
      </c>
      <c r="N820" s="134" t="str">
        <f t="array" ref="N820">IF(M820="LOANED / ON KOL", INDEX('Step 3 FOC Request'!$G:$G, MATCH(1, ('Step 3 FOC Request'!$A:$A=W820) * ('Step 3 FOC Request'!$F:$F=E820), 0)), "-")</f>
        <v>-</v>
      </c>
      <c r="O820" s="126"/>
      <c r="P820" s="126"/>
      <c r="Q820" s="126"/>
      <c r="R820" s="126"/>
      <c r="U820" s="126"/>
      <c r="V820" s="126"/>
      <c r="W820" s="135">
        <f>MAXIFS('Step 3 FOC Request'!$A:$A, 'Step 3 FOC Request'!$F:$F, $E820)</f>
        <v>0</v>
      </c>
      <c r="X820" s="135">
        <f>MAXIFS('Step 4 FOC Return'!$A:$A, 'Step 4 FOC Return'!$E:$E, $E820)</f>
        <v>0</v>
      </c>
      <c r="Y820" s="126"/>
    </row>
    <row r="821">
      <c r="A821" s="126"/>
      <c r="B821" s="154"/>
      <c r="C821" s="146"/>
      <c r="D821" s="146"/>
      <c r="E821" s="146"/>
      <c r="F821" s="155"/>
      <c r="G821" s="146"/>
      <c r="H821" s="126"/>
      <c r="I821" s="132"/>
      <c r="J821" s="146"/>
      <c r="K821" s="126"/>
      <c r="L821" s="126"/>
      <c r="M821" s="134" t="str">
        <f t="shared" si="1"/>
        <v/>
      </c>
      <c r="N821" s="134" t="str">
        <f t="array" ref="N821">IF(M821="LOANED / ON KOL", INDEX('Step 3 FOC Request'!$G:$G, MATCH(1, ('Step 3 FOC Request'!$A:$A=W821) * ('Step 3 FOC Request'!$F:$F=E821), 0)), "-")</f>
        <v>-</v>
      </c>
      <c r="O821" s="126"/>
      <c r="P821" s="126"/>
      <c r="Q821" s="126"/>
      <c r="R821" s="126"/>
      <c r="U821" s="126"/>
      <c r="V821" s="126"/>
      <c r="W821" s="135">
        <f>MAXIFS('Step 3 FOC Request'!$A:$A, 'Step 3 FOC Request'!$F:$F, $E821)</f>
        <v>0</v>
      </c>
      <c r="X821" s="135">
        <f>MAXIFS('Step 4 FOC Return'!$A:$A, 'Step 4 FOC Return'!$E:$E, $E821)</f>
        <v>0</v>
      </c>
      <c r="Y821" s="126"/>
    </row>
    <row r="822">
      <c r="A822" s="126"/>
      <c r="B822" s="154"/>
      <c r="C822" s="146"/>
      <c r="D822" s="146"/>
      <c r="E822" s="146"/>
      <c r="F822" s="155"/>
      <c r="G822" s="146"/>
      <c r="H822" s="126"/>
      <c r="I822" s="132"/>
      <c r="J822" s="146"/>
      <c r="K822" s="126"/>
      <c r="L822" s="126"/>
      <c r="M822" s="134" t="str">
        <f t="shared" si="1"/>
        <v/>
      </c>
      <c r="N822" s="134" t="str">
        <f t="array" ref="N822">IF(M822="LOANED / ON KOL", INDEX('Step 3 FOC Request'!$G:$G, MATCH(1, ('Step 3 FOC Request'!$A:$A=W822) * ('Step 3 FOC Request'!$F:$F=E822), 0)), "-")</f>
        <v>-</v>
      </c>
      <c r="O822" s="126"/>
      <c r="P822" s="126"/>
      <c r="Q822" s="126"/>
      <c r="R822" s="126"/>
      <c r="U822" s="126"/>
      <c r="V822" s="126"/>
      <c r="W822" s="135">
        <f>MAXIFS('Step 3 FOC Request'!$A:$A, 'Step 3 FOC Request'!$F:$F, $E822)</f>
        <v>0</v>
      </c>
      <c r="X822" s="135">
        <f>MAXIFS('Step 4 FOC Return'!$A:$A, 'Step 4 FOC Return'!$E:$E, $E822)</f>
        <v>0</v>
      </c>
      <c r="Y822" s="126"/>
    </row>
    <row r="823">
      <c r="A823" s="126"/>
      <c r="B823" s="154"/>
      <c r="C823" s="146"/>
      <c r="D823" s="146"/>
      <c r="E823" s="146"/>
      <c r="F823" s="155"/>
      <c r="G823" s="146"/>
      <c r="H823" s="126"/>
      <c r="I823" s="132"/>
      <c r="J823" s="146"/>
      <c r="K823" s="126"/>
      <c r="L823" s="126"/>
      <c r="M823" s="134" t="str">
        <f t="shared" si="1"/>
        <v/>
      </c>
      <c r="N823" s="134" t="str">
        <f t="array" ref="N823">IF(M823="LOANED / ON KOL", INDEX('Step 3 FOC Request'!$G:$G, MATCH(1, ('Step 3 FOC Request'!$A:$A=W823) * ('Step 3 FOC Request'!$F:$F=E823), 0)), "-")</f>
        <v>-</v>
      </c>
      <c r="O823" s="126"/>
      <c r="P823" s="126"/>
      <c r="Q823" s="126"/>
      <c r="R823" s="126"/>
      <c r="U823" s="126"/>
      <c r="V823" s="126"/>
      <c r="W823" s="135">
        <f>MAXIFS('Step 3 FOC Request'!$A:$A, 'Step 3 FOC Request'!$F:$F, $E823)</f>
        <v>0</v>
      </c>
      <c r="X823" s="135">
        <f>MAXIFS('Step 4 FOC Return'!$A:$A, 'Step 4 FOC Return'!$E:$E, $E823)</f>
        <v>0</v>
      </c>
      <c r="Y823" s="126"/>
    </row>
    <row r="824">
      <c r="A824" s="126"/>
      <c r="B824" s="154"/>
      <c r="C824" s="146"/>
      <c r="D824" s="146"/>
      <c r="E824" s="146"/>
      <c r="F824" s="155"/>
      <c r="G824" s="146"/>
      <c r="H824" s="126"/>
      <c r="I824" s="132"/>
      <c r="J824" s="146"/>
      <c r="K824" s="126"/>
      <c r="L824" s="126"/>
      <c r="M824" s="134" t="str">
        <f t="shared" si="1"/>
        <v/>
      </c>
      <c r="N824" s="134" t="str">
        <f t="array" ref="N824">IF(M824="LOANED / ON KOL", INDEX('Step 3 FOC Request'!$G:$G, MATCH(1, ('Step 3 FOC Request'!$A:$A=W824) * ('Step 3 FOC Request'!$F:$F=E824), 0)), "-")</f>
        <v>-</v>
      </c>
      <c r="O824" s="126"/>
      <c r="P824" s="126"/>
      <c r="Q824" s="126"/>
      <c r="R824" s="126"/>
      <c r="U824" s="126"/>
      <c r="V824" s="126"/>
      <c r="W824" s="135">
        <f>MAXIFS('Step 3 FOC Request'!$A:$A, 'Step 3 FOC Request'!$F:$F, $E824)</f>
        <v>0</v>
      </c>
      <c r="X824" s="135">
        <f>MAXIFS('Step 4 FOC Return'!$A:$A, 'Step 4 FOC Return'!$E:$E, $E824)</f>
        <v>0</v>
      </c>
      <c r="Y824" s="126"/>
    </row>
    <row r="825">
      <c r="A825" s="126"/>
      <c r="B825" s="154"/>
      <c r="C825" s="146"/>
      <c r="D825" s="146"/>
      <c r="E825" s="146"/>
      <c r="F825" s="155"/>
      <c r="G825" s="146"/>
      <c r="H825" s="126"/>
      <c r="I825" s="132"/>
      <c r="J825" s="146"/>
      <c r="K825" s="126"/>
      <c r="L825" s="126"/>
      <c r="M825" s="134" t="str">
        <f t="shared" si="1"/>
        <v/>
      </c>
      <c r="N825" s="134" t="str">
        <f t="array" ref="N825">IF(M825="LOANED / ON KOL", INDEX('Step 3 FOC Request'!$G:$G, MATCH(1, ('Step 3 FOC Request'!$A:$A=W825) * ('Step 3 FOC Request'!$F:$F=E825), 0)), "-")</f>
        <v>-</v>
      </c>
      <c r="O825" s="126"/>
      <c r="P825" s="126"/>
      <c r="Q825" s="126"/>
      <c r="R825" s="126"/>
      <c r="U825" s="126"/>
      <c r="V825" s="126"/>
      <c r="W825" s="135">
        <f>MAXIFS('Step 3 FOC Request'!$A:$A, 'Step 3 FOC Request'!$F:$F, $E825)</f>
        <v>0</v>
      </c>
      <c r="X825" s="135">
        <f>MAXIFS('Step 4 FOC Return'!$A:$A, 'Step 4 FOC Return'!$E:$E, $E825)</f>
        <v>0</v>
      </c>
      <c r="Y825" s="126"/>
    </row>
    <row r="826">
      <c r="A826" s="126"/>
      <c r="B826" s="154"/>
      <c r="C826" s="146"/>
      <c r="D826" s="146"/>
      <c r="E826" s="146"/>
      <c r="F826" s="155"/>
      <c r="G826" s="146"/>
      <c r="H826" s="126"/>
      <c r="I826" s="132"/>
      <c r="J826" s="146"/>
      <c r="K826" s="126"/>
      <c r="L826" s="126"/>
      <c r="M826" s="134" t="str">
        <f t="shared" si="1"/>
        <v/>
      </c>
      <c r="N826" s="134" t="str">
        <f t="array" ref="N826">IF(M826="LOANED / ON KOL", INDEX('Step 3 FOC Request'!$G:$G, MATCH(1, ('Step 3 FOC Request'!$A:$A=W826) * ('Step 3 FOC Request'!$F:$F=E826), 0)), "-")</f>
        <v>-</v>
      </c>
      <c r="O826" s="126"/>
      <c r="P826" s="126"/>
      <c r="Q826" s="126"/>
      <c r="R826" s="126"/>
      <c r="U826" s="126"/>
      <c r="V826" s="126"/>
      <c r="W826" s="135">
        <f>MAXIFS('Step 3 FOC Request'!$A:$A, 'Step 3 FOC Request'!$F:$F, $E826)</f>
        <v>0</v>
      </c>
      <c r="X826" s="135">
        <f>MAXIFS('Step 4 FOC Return'!$A:$A, 'Step 4 FOC Return'!$E:$E, $E826)</f>
        <v>0</v>
      </c>
      <c r="Y826" s="126"/>
    </row>
    <row r="827">
      <c r="A827" s="126"/>
      <c r="B827" s="154"/>
      <c r="C827" s="146"/>
      <c r="D827" s="146"/>
      <c r="E827" s="146"/>
      <c r="F827" s="155"/>
      <c r="G827" s="146"/>
      <c r="H827" s="126"/>
      <c r="I827" s="132"/>
      <c r="J827" s="146"/>
      <c r="K827" s="126"/>
      <c r="L827" s="126"/>
      <c r="M827" s="134" t="str">
        <f t="shared" si="1"/>
        <v/>
      </c>
      <c r="N827" s="134" t="str">
        <f t="array" ref="N827">IF(M827="LOANED / ON KOL", INDEX('Step 3 FOC Request'!$G:$G, MATCH(1, ('Step 3 FOC Request'!$A:$A=W827) * ('Step 3 FOC Request'!$F:$F=E827), 0)), "-")</f>
        <v>-</v>
      </c>
      <c r="O827" s="126"/>
      <c r="P827" s="126"/>
      <c r="Q827" s="126"/>
      <c r="R827" s="126"/>
      <c r="U827" s="126"/>
      <c r="V827" s="126"/>
      <c r="W827" s="135">
        <f>MAXIFS('Step 3 FOC Request'!$A:$A, 'Step 3 FOC Request'!$F:$F, $E827)</f>
        <v>0</v>
      </c>
      <c r="X827" s="135">
        <f>MAXIFS('Step 4 FOC Return'!$A:$A, 'Step 4 FOC Return'!$E:$E, $E827)</f>
        <v>0</v>
      </c>
      <c r="Y827" s="126"/>
    </row>
    <row r="828">
      <c r="A828" s="126"/>
      <c r="B828" s="154"/>
      <c r="C828" s="146"/>
      <c r="D828" s="146"/>
      <c r="E828" s="146"/>
      <c r="F828" s="155"/>
      <c r="G828" s="146"/>
      <c r="H828" s="126"/>
      <c r="I828" s="132"/>
      <c r="J828" s="146"/>
      <c r="K828" s="126"/>
      <c r="L828" s="126"/>
      <c r="M828" s="134" t="str">
        <f t="shared" si="1"/>
        <v/>
      </c>
      <c r="N828" s="134" t="str">
        <f t="array" ref="N828">IF(M828="LOANED / ON KOL", INDEX('Step 3 FOC Request'!$G:$G, MATCH(1, ('Step 3 FOC Request'!$A:$A=W828) * ('Step 3 FOC Request'!$F:$F=E828), 0)), "-")</f>
        <v>-</v>
      </c>
      <c r="O828" s="126"/>
      <c r="P828" s="126"/>
      <c r="Q828" s="126"/>
      <c r="R828" s="126"/>
      <c r="U828" s="126"/>
      <c r="V828" s="126"/>
      <c r="W828" s="135">
        <f>MAXIFS('Step 3 FOC Request'!$A:$A, 'Step 3 FOC Request'!$F:$F, $E828)</f>
        <v>0</v>
      </c>
      <c r="X828" s="135">
        <f>MAXIFS('Step 4 FOC Return'!$A:$A, 'Step 4 FOC Return'!$E:$E, $E828)</f>
        <v>0</v>
      </c>
      <c r="Y828" s="126"/>
    </row>
    <row r="829">
      <c r="A829" s="126"/>
      <c r="B829" s="154"/>
      <c r="C829" s="146"/>
      <c r="D829" s="146"/>
      <c r="E829" s="146"/>
      <c r="F829" s="155"/>
      <c r="G829" s="146"/>
      <c r="H829" s="126"/>
      <c r="I829" s="132"/>
      <c r="J829" s="146"/>
      <c r="K829" s="126"/>
      <c r="L829" s="126"/>
      <c r="M829" s="134" t="str">
        <f t="shared" si="1"/>
        <v/>
      </c>
      <c r="N829" s="134" t="str">
        <f t="array" ref="N829">IF(M829="LOANED / ON KOL", INDEX('Step 3 FOC Request'!$G:$G, MATCH(1, ('Step 3 FOC Request'!$A:$A=W829) * ('Step 3 FOC Request'!$F:$F=E829), 0)), "-")</f>
        <v>-</v>
      </c>
      <c r="O829" s="126"/>
      <c r="P829" s="126"/>
      <c r="Q829" s="126"/>
      <c r="R829" s="126"/>
      <c r="U829" s="126"/>
      <c r="V829" s="126"/>
      <c r="W829" s="135">
        <f>MAXIFS('Step 3 FOC Request'!$A:$A, 'Step 3 FOC Request'!$F:$F, $E829)</f>
        <v>0</v>
      </c>
      <c r="X829" s="135">
        <f>MAXIFS('Step 4 FOC Return'!$A:$A, 'Step 4 FOC Return'!$E:$E, $E829)</f>
        <v>0</v>
      </c>
      <c r="Y829" s="126"/>
    </row>
    <row r="830">
      <c r="A830" s="126"/>
      <c r="B830" s="154"/>
      <c r="C830" s="146"/>
      <c r="D830" s="146"/>
      <c r="E830" s="146"/>
      <c r="F830" s="155"/>
      <c r="G830" s="146"/>
      <c r="H830" s="126"/>
      <c r="I830" s="132"/>
      <c r="J830" s="146"/>
      <c r="K830" s="126"/>
      <c r="L830" s="126"/>
      <c r="M830" s="134" t="str">
        <f t="shared" si="1"/>
        <v/>
      </c>
      <c r="N830" s="134" t="str">
        <f t="array" ref="N830">IF(M830="LOANED / ON KOL", INDEX('Step 3 FOC Request'!$G:$G, MATCH(1, ('Step 3 FOC Request'!$A:$A=W830) * ('Step 3 FOC Request'!$F:$F=E830), 0)), "-")</f>
        <v>-</v>
      </c>
      <c r="O830" s="126"/>
      <c r="P830" s="126"/>
      <c r="Q830" s="126"/>
      <c r="R830" s="126"/>
      <c r="U830" s="126"/>
      <c r="V830" s="126"/>
      <c r="W830" s="135">
        <f>MAXIFS('Step 3 FOC Request'!$A:$A, 'Step 3 FOC Request'!$F:$F, $E830)</f>
        <v>0</v>
      </c>
      <c r="X830" s="135">
        <f>MAXIFS('Step 4 FOC Return'!$A:$A, 'Step 4 FOC Return'!$E:$E, $E830)</f>
        <v>0</v>
      </c>
      <c r="Y830" s="126"/>
    </row>
    <row r="831">
      <c r="A831" s="126"/>
      <c r="B831" s="154"/>
      <c r="C831" s="146"/>
      <c r="D831" s="146"/>
      <c r="E831" s="146"/>
      <c r="F831" s="155"/>
      <c r="G831" s="146"/>
      <c r="H831" s="126"/>
      <c r="I831" s="132"/>
      <c r="J831" s="146"/>
      <c r="K831" s="126"/>
      <c r="L831" s="126"/>
      <c r="M831" s="134" t="str">
        <f t="shared" si="1"/>
        <v/>
      </c>
      <c r="N831" s="134" t="str">
        <f t="array" ref="N831">IF(M831="LOANED / ON KOL", INDEX('Step 3 FOC Request'!$G:$G, MATCH(1, ('Step 3 FOC Request'!$A:$A=W831) * ('Step 3 FOC Request'!$F:$F=E831), 0)), "-")</f>
        <v>-</v>
      </c>
      <c r="O831" s="126"/>
      <c r="P831" s="126"/>
      <c r="Q831" s="126"/>
      <c r="R831" s="126"/>
      <c r="U831" s="126"/>
      <c r="V831" s="126"/>
      <c r="W831" s="135">
        <f>MAXIFS('Step 3 FOC Request'!$A:$A, 'Step 3 FOC Request'!$F:$F, $E831)</f>
        <v>0</v>
      </c>
      <c r="X831" s="135">
        <f>MAXIFS('Step 4 FOC Return'!$A:$A, 'Step 4 FOC Return'!$E:$E, $E831)</f>
        <v>0</v>
      </c>
      <c r="Y831" s="126"/>
    </row>
    <row r="832">
      <c r="A832" s="126"/>
      <c r="B832" s="154"/>
      <c r="C832" s="146"/>
      <c r="D832" s="146"/>
      <c r="E832" s="146"/>
      <c r="F832" s="155"/>
      <c r="G832" s="146"/>
      <c r="H832" s="126"/>
      <c r="I832" s="132"/>
      <c r="J832" s="146"/>
      <c r="K832" s="126"/>
      <c r="L832" s="126"/>
      <c r="M832" s="134" t="str">
        <f t="shared" si="1"/>
        <v/>
      </c>
      <c r="N832" s="134" t="str">
        <f t="array" ref="N832">IF(M832="LOANED / ON KOL", INDEX('Step 3 FOC Request'!$G:$G, MATCH(1, ('Step 3 FOC Request'!$A:$A=W832) * ('Step 3 FOC Request'!$F:$F=E832), 0)), "-")</f>
        <v>-</v>
      </c>
      <c r="O832" s="126"/>
      <c r="P832" s="126"/>
      <c r="Q832" s="126"/>
      <c r="R832" s="126"/>
      <c r="U832" s="126"/>
      <c r="V832" s="126"/>
      <c r="W832" s="135">
        <f>MAXIFS('Step 3 FOC Request'!$A:$A, 'Step 3 FOC Request'!$F:$F, $E832)</f>
        <v>0</v>
      </c>
      <c r="X832" s="135">
        <f>MAXIFS('Step 4 FOC Return'!$A:$A, 'Step 4 FOC Return'!$E:$E, $E832)</f>
        <v>0</v>
      </c>
      <c r="Y832" s="126"/>
    </row>
    <row r="833">
      <c r="A833" s="126"/>
      <c r="B833" s="154"/>
      <c r="C833" s="146"/>
      <c r="D833" s="146"/>
      <c r="E833" s="146"/>
      <c r="F833" s="155"/>
      <c r="G833" s="146"/>
      <c r="H833" s="126"/>
      <c r="I833" s="132"/>
      <c r="J833" s="146"/>
      <c r="K833" s="126"/>
      <c r="L833" s="126"/>
      <c r="M833" s="134" t="str">
        <f t="shared" si="1"/>
        <v/>
      </c>
      <c r="N833" s="134" t="str">
        <f t="array" ref="N833">IF(M833="LOANED / ON KOL", INDEX('Step 3 FOC Request'!$G:$G, MATCH(1, ('Step 3 FOC Request'!$A:$A=W833) * ('Step 3 FOC Request'!$F:$F=E833), 0)), "-")</f>
        <v>-</v>
      </c>
      <c r="O833" s="126"/>
      <c r="P833" s="126"/>
      <c r="Q833" s="126"/>
      <c r="R833" s="126"/>
      <c r="U833" s="126"/>
      <c r="V833" s="126"/>
      <c r="W833" s="135">
        <f>MAXIFS('Step 3 FOC Request'!$A:$A, 'Step 3 FOC Request'!$F:$F, $E833)</f>
        <v>0</v>
      </c>
      <c r="X833" s="135">
        <f>MAXIFS('Step 4 FOC Return'!$A:$A, 'Step 4 FOC Return'!$E:$E, $E833)</f>
        <v>0</v>
      </c>
      <c r="Y833" s="126"/>
    </row>
    <row r="834">
      <c r="A834" s="126"/>
      <c r="B834" s="154"/>
      <c r="C834" s="146"/>
      <c r="D834" s="146"/>
      <c r="E834" s="146"/>
      <c r="F834" s="155"/>
      <c r="G834" s="146"/>
      <c r="H834" s="126"/>
      <c r="I834" s="132"/>
      <c r="J834" s="146"/>
      <c r="K834" s="126"/>
      <c r="L834" s="126"/>
      <c r="M834" s="134" t="str">
        <f t="shared" si="1"/>
        <v/>
      </c>
      <c r="N834" s="134" t="str">
        <f t="array" ref="N834">IF(M834="LOANED / ON KOL", INDEX('Step 3 FOC Request'!$G:$G, MATCH(1, ('Step 3 FOC Request'!$A:$A=W834) * ('Step 3 FOC Request'!$F:$F=E834), 0)), "-")</f>
        <v>-</v>
      </c>
      <c r="O834" s="126"/>
      <c r="P834" s="126"/>
      <c r="Q834" s="126"/>
      <c r="R834" s="126"/>
      <c r="U834" s="126"/>
      <c r="V834" s="126"/>
      <c r="W834" s="135">
        <f>MAXIFS('Step 3 FOC Request'!$A:$A, 'Step 3 FOC Request'!$F:$F, $E834)</f>
        <v>0</v>
      </c>
      <c r="X834" s="135">
        <f>MAXIFS('Step 4 FOC Return'!$A:$A, 'Step 4 FOC Return'!$E:$E, $E834)</f>
        <v>0</v>
      </c>
      <c r="Y834" s="126"/>
    </row>
    <row r="835">
      <c r="A835" s="126"/>
      <c r="B835" s="154"/>
      <c r="C835" s="146"/>
      <c r="D835" s="146"/>
      <c r="E835" s="146"/>
      <c r="F835" s="155"/>
      <c r="G835" s="146"/>
      <c r="H835" s="126"/>
      <c r="I835" s="132"/>
      <c r="J835" s="146"/>
      <c r="K835" s="126"/>
      <c r="L835" s="126"/>
      <c r="M835" s="134" t="str">
        <f t="shared" si="1"/>
        <v/>
      </c>
      <c r="N835" s="134" t="str">
        <f t="array" ref="N835">IF(M835="LOANED / ON KOL", INDEX('Step 3 FOC Request'!$G:$G, MATCH(1, ('Step 3 FOC Request'!$A:$A=W835) * ('Step 3 FOC Request'!$F:$F=E835), 0)), "-")</f>
        <v>-</v>
      </c>
      <c r="O835" s="126"/>
      <c r="P835" s="126"/>
      <c r="Q835" s="126"/>
      <c r="R835" s="126"/>
      <c r="U835" s="126"/>
      <c r="V835" s="126"/>
      <c r="W835" s="135">
        <f>MAXIFS('Step 3 FOC Request'!$A:$A, 'Step 3 FOC Request'!$F:$F, $E835)</f>
        <v>0</v>
      </c>
      <c r="X835" s="135">
        <f>MAXIFS('Step 4 FOC Return'!$A:$A, 'Step 4 FOC Return'!$E:$E, $E835)</f>
        <v>0</v>
      </c>
      <c r="Y835" s="126"/>
    </row>
    <row r="836">
      <c r="A836" s="126"/>
      <c r="B836" s="154"/>
      <c r="C836" s="146"/>
      <c r="D836" s="146"/>
      <c r="E836" s="146"/>
      <c r="F836" s="155"/>
      <c r="G836" s="146"/>
      <c r="H836" s="126"/>
      <c r="I836" s="132"/>
      <c r="J836" s="146"/>
      <c r="K836" s="126"/>
      <c r="L836" s="126"/>
      <c r="M836" s="134" t="str">
        <f t="shared" si="1"/>
        <v/>
      </c>
      <c r="N836" s="134" t="str">
        <f t="array" ref="N836">IF(M836="LOANED / ON KOL", INDEX('Step 3 FOC Request'!$G:$G, MATCH(1, ('Step 3 FOC Request'!$A:$A=W836) * ('Step 3 FOC Request'!$F:$F=E836), 0)), "-")</f>
        <v>-</v>
      </c>
      <c r="O836" s="126"/>
      <c r="P836" s="126"/>
      <c r="Q836" s="126"/>
      <c r="R836" s="126"/>
      <c r="U836" s="126"/>
      <c r="V836" s="126"/>
      <c r="W836" s="135">
        <f>MAXIFS('Step 3 FOC Request'!$A:$A, 'Step 3 FOC Request'!$F:$F, $E836)</f>
        <v>0</v>
      </c>
      <c r="X836" s="135">
        <f>MAXIFS('Step 4 FOC Return'!$A:$A, 'Step 4 FOC Return'!$E:$E, $E836)</f>
        <v>0</v>
      </c>
      <c r="Y836" s="126"/>
    </row>
    <row r="837">
      <c r="A837" s="126"/>
      <c r="B837" s="154"/>
      <c r="C837" s="146"/>
      <c r="D837" s="146"/>
      <c r="E837" s="146"/>
      <c r="F837" s="155"/>
      <c r="G837" s="146"/>
      <c r="H837" s="126"/>
      <c r="I837" s="132"/>
      <c r="J837" s="146"/>
      <c r="K837" s="126"/>
      <c r="L837" s="126"/>
      <c r="M837" s="134" t="str">
        <f t="shared" si="1"/>
        <v/>
      </c>
      <c r="N837" s="134" t="str">
        <f t="array" ref="N837">IF(M837="LOANED / ON KOL", INDEX('Step 3 FOC Request'!$G:$G, MATCH(1, ('Step 3 FOC Request'!$A:$A=W837) * ('Step 3 FOC Request'!$F:$F=E837), 0)), "-")</f>
        <v>-</v>
      </c>
      <c r="O837" s="126"/>
      <c r="P837" s="126"/>
      <c r="Q837" s="126"/>
      <c r="R837" s="126"/>
      <c r="U837" s="126"/>
      <c r="V837" s="126"/>
      <c r="W837" s="135">
        <f>MAXIFS('Step 3 FOC Request'!$A:$A, 'Step 3 FOC Request'!$F:$F, $E837)</f>
        <v>0</v>
      </c>
      <c r="X837" s="135">
        <f>MAXIFS('Step 4 FOC Return'!$A:$A, 'Step 4 FOC Return'!$E:$E, $E837)</f>
        <v>0</v>
      </c>
      <c r="Y837" s="126"/>
    </row>
    <row r="838">
      <c r="A838" s="126"/>
      <c r="B838" s="154"/>
      <c r="C838" s="146"/>
      <c r="D838" s="146"/>
      <c r="E838" s="146"/>
      <c r="F838" s="155"/>
      <c r="G838" s="146"/>
      <c r="H838" s="126"/>
      <c r="I838" s="132"/>
      <c r="J838" s="146"/>
      <c r="K838" s="126"/>
      <c r="L838" s="126"/>
      <c r="M838" s="134" t="str">
        <f t="shared" si="1"/>
        <v/>
      </c>
      <c r="N838" s="134" t="str">
        <f t="array" ref="N838">IF(M838="LOANED / ON KOL", INDEX('Step 3 FOC Request'!$G:$G, MATCH(1, ('Step 3 FOC Request'!$A:$A=W838) * ('Step 3 FOC Request'!$F:$F=E838), 0)), "-")</f>
        <v>-</v>
      </c>
      <c r="O838" s="126"/>
      <c r="P838" s="126"/>
      <c r="Q838" s="126"/>
      <c r="R838" s="126"/>
      <c r="U838" s="126"/>
      <c r="V838" s="126"/>
      <c r="W838" s="135">
        <f>MAXIFS('Step 3 FOC Request'!$A:$A, 'Step 3 FOC Request'!$F:$F, $E838)</f>
        <v>0</v>
      </c>
      <c r="X838" s="135">
        <f>MAXIFS('Step 4 FOC Return'!$A:$A, 'Step 4 FOC Return'!$E:$E, $E838)</f>
        <v>0</v>
      </c>
      <c r="Y838" s="126"/>
    </row>
    <row r="839">
      <c r="A839" s="126"/>
      <c r="B839" s="154"/>
      <c r="C839" s="146"/>
      <c r="D839" s="146"/>
      <c r="E839" s="146"/>
      <c r="F839" s="155"/>
      <c r="G839" s="146"/>
      <c r="H839" s="126"/>
      <c r="I839" s="132"/>
      <c r="J839" s="146"/>
      <c r="K839" s="126"/>
      <c r="L839" s="126"/>
      <c r="M839" s="134" t="str">
        <f t="shared" si="1"/>
        <v/>
      </c>
      <c r="N839" s="134" t="str">
        <f t="array" ref="N839">IF(M839="LOANED / ON KOL", INDEX('Step 3 FOC Request'!$G:$G, MATCH(1, ('Step 3 FOC Request'!$A:$A=W839) * ('Step 3 FOC Request'!$F:$F=E839), 0)), "-")</f>
        <v>-</v>
      </c>
      <c r="O839" s="126"/>
      <c r="P839" s="126"/>
      <c r="Q839" s="126"/>
      <c r="R839" s="126"/>
      <c r="U839" s="126"/>
      <c r="V839" s="126"/>
      <c r="W839" s="135">
        <f>MAXIFS('Step 3 FOC Request'!$A:$A, 'Step 3 FOC Request'!$F:$F, $E839)</f>
        <v>0</v>
      </c>
      <c r="X839" s="135">
        <f>MAXIFS('Step 4 FOC Return'!$A:$A, 'Step 4 FOC Return'!$E:$E, $E839)</f>
        <v>0</v>
      </c>
      <c r="Y839" s="126"/>
    </row>
    <row r="840">
      <c r="A840" s="126"/>
      <c r="B840" s="154"/>
      <c r="C840" s="146"/>
      <c r="D840" s="146"/>
      <c r="E840" s="146"/>
      <c r="F840" s="155"/>
      <c r="G840" s="146"/>
      <c r="H840" s="126"/>
      <c r="I840" s="132"/>
      <c r="J840" s="146"/>
      <c r="K840" s="126"/>
      <c r="L840" s="126"/>
      <c r="M840" s="134" t="str">
        <f t="shared" si="1"/>
        <v/>
      </c>
      <c r="N840" s="134" t="str">
        <f t="array" ref="N840">IF(M840="LOANED / ON KOL", INDEX('Step 3 FOC Request'!$G:$G, MATCH(1, ('Step 3 FOC Request'!$A:$A=W840) * ('Step 3 FOC Request'!$F:$F=E840), 0)), "-")</f>
        <v>-</v>
      </c>
      <c r="O840" s="126"/>
      <c r="P840" s="126"/>
      <c r="Q840" s="126"/>
      <c r="R840" s="126"/>
      <c r="U840" s="126"/>
      <c r="V840" s="126"/>
      <c r="W840" s="135">
        <f>MAXIFS('Step 3 FOC Request'!$A:$A, 'Step 3 FOC Request'!$F:$F, $E840)</f>
        <v>0</v>
      </c>
      <c r="X840" s="135">
        <f>MAXIFS('Step 4 FOC Return'!$A:$A, 'Step 4 FOC Return'!$E:$E, $E840)</f>
        <v>0</v>
      </c>
      <c r="Y840" s="126"/>
    </row>
    <row r="841">
      <c r="A841" s="126"/>
      <c r="B841" s="154"/>
      <c r="C841" s="146"/>
      <c r="D841" s="146"/>
      <c r="E841" s="146"/>
      <c r="F841" s="155"/>
      <c r="G841" s="146"/>
      <c r="H841" s="126"/>
      <c r="I841" s="132"/>
      <c r="J841" s="146"/>
      <c r="K841" s="126"/>
      <c r="L841" s="126"/>
      <c r="M841" s="134" t="str">
        <f t="shared" si="1"/>
        <v/>
      </c>
      <c r="N841" s="134" t="str">
        <f t="array" ref="N841">IF(M841="LOANED / ON KOL", INDEX('Step 3 FOC Request'!$G:$G, MATCH(1, ('Step 3 FOC Request'!$A:$A=W841) * ('Step 3 FOC Request'!$F:$F=E841), 0)), "-")</f>
        <v>-</v>
      </c>
      <c r="O841" s="126"/>
      <c r="P841" s="126"/>
      <c r="Q841" s="126"/>
      <c r="R841" s="126"/>
      <c r="U841" s="126"/>
      <c r="V841" s="126"/>
      <c r="W841" s="135">
        <f>MAXIFS('Step 3 FOC Request'!$A:$A, 'Step 3 FOC Request'!$F:$F, $E841)</f>
        <v>0</v>
      </c>
      <c r="X841" s="135">
        <f>MAXIFS('Step 4 FOC Return'!$A:$A, 'Step 4 FOC Return'!$E:$E, $E841)</f>
        <v>0</v>
      </c>
      <c r="Y841" s="126"/>
    </row>
    <row r="842">
      <c r="A842" s="126"/>
      <c r="B842" s="154"/>
      <c r="C842" s="146"/>
      <c r="D842" s="146"/>
      <c r="E842" s="146"/>
      <c r="F842" s="155"/>
      <c r="G842" s="146"/>
      <c r="H842" s="126"/>
      <c r="I842" s="132"/>
      <c r="J842" s="146"/>
      <c r="K842" s="126"/>
      <c r="L842" s="126"/>
      <c r="M842" s="134" t="str">
        <f t="shared" si="1"/>
        <v/>
      </c>
      <c r="N842" s="134" t="str">
        <f t="array" ref="N842">IF(M842="LOANED / ON KOL", INDEX('Step 3 FOC Request'!$G:$G, MATCH(1, ('Step 3 FOC Request'!$A:$A=W842) * ('Step 3 FOC Request'!$F:$F=E842), 0)), "-")</f>
        <v>-</v>
      </c>
      <c r="O842" s="126"/>
      <c r="P842" s="126"/>
      <c r="Q842" s="126"/>
      <c r="R842" s="126"/>
      <c r="U842" s="126"/>
      <c r="V842" s="126"/>
      <c r="W842" s="135">
        <f>MAXIFS('Step 3 FOC Request'!$A:$A, 'Step 3 FOC Request'!$F:$F, $E842)</f>
        <v>0</v>
      </c>
      <c r="X842" s="135">
        <f>MAXIFS('Step 4 FOC Return'!$A:$A, 'Step 4 FOC Return'!$E:$E, $E842)</f>
        <v>0</v>
      </c>
      <c r="Y842" s="126"/>
    </row>
    <row r="843">
      <c r="A843" s="126"/>
      <c r="B843" s="154"/>
      <c r="C843" s="146"/>
      <c r="D843" s="146"/>
      <c r="E843" s="146"/>
      <c r="F843" s="155"/>
      <c r="G843" s="146"/>
      <c r="H843" s="126"/>
      <c r="I843" s="132"/>
      <c r="J843" s="146"/>
      <c r="K843" s="126"/>
      <c r="L843" s="126"/>
      <c r="M843" s="134" t="str">
        <f t="shared" si="1"/>
        <v/>
      </c>
      <c r="N843" s="134" t="str">
        <f t="array" ref="N843">IF(M843="LOANED / ON KOL", INDEX('Step 3 FOC Request'!$G:$G, MATCH(1, ('Step 3 FOC Request'!$A:$A=W843) * ('Step 3 FOC Request'!$F:$F=E843), 0)), "-")</f>
        <v>-</v>
      </c>
      <c r="O843" s="126"/>
      <c r="P843" s="126"/>
      <c r="Q843" s="126"/>
      <c r="R843" s="126"/>
      <c r="U843" s="126"/>
      <c r="V843" s="126"/>
      <c r="W843" s="135">
        <f>MAXIFS('Step 3 FOC Request'!$A:$A, 'Step 3 FOC Request'!$F:$F, $E843)</f>
        <v>0</v>
      </c>
      <c r="X843" s="135">
        <f>MAXIFS('Step 4 FOC Return'!$A:$A, 'Step 4 FOC Return'!$E:$E, $E843)</f>
        <v>0</v>
      </c>
      <c r="Y843" s="126"/>
    </row>
    <row r="844">
      <c r="A844" s="126"/>
      <c r="B844" s="154"/>
      <c r="C844" s="146"/>
      <c r="D844" s="146"/>
      <c r="E844" s="146"/>
      <c r="F844" s="155"/>
      <c r="G844" s="146"/>
      <c r="H844" s="126"/>
      <c r="I844" s="132"/>
      <c r="J844" s="146"/>
      <c r="K844" s="126"/>
      <c r="L844" s="126"/>
      <c r="M844" s="134" t="str">
        <f t="shared" si="1"/>
        <v/>
      </c>
      <c r="N844" s="134" t="str">
        <f t="array" ref="N844">IF(M844="LOANED / ON KOL", INDEX('Step 3 FOC Request'!$G:$G, MATCH(1, ('Step 3 FOC Request'!$A:$A=W844) * ('Step 3 FOC Request'!$F:$F=E844), 0)), "-")</f>
        <v>-</v>
      </c>
      <c r="O844" s="126"/>
      <c r="P844" s="126"/>
      <c r="Q844" s="126"/>
      <c r="R844" s="126"/>
      <c r="U844" s="126"/>
      <c r="V844" s="126"/>
      <c r="W844" s="135">
        <f>MAXIFS('Step 3 FOC Request'!$A:$A, 'Step 3 FOC Request'!$F:$F, $E844)</f>
        <v>0</v>
      </c>
      <c r="X844" s="135">
        <f>MAXIFS('Step 4 FOC Return'!$A:$A, 'Step 4 FOC Return'!$E:$E, $E844)</f>
        <v>0</v>
      </c>
      <c r="Y844" s="126"/>
    </row>
    <row r="845">
      <c r="A845" s="126"/>
      <c r="B845" s="154"/>
      <c r="C845" s="146"/>
      <c r="D845" s="146"/>
      <c r="E845" s="146"/>
      <c r="F845" s="155"/>
      <c r="G845" s="146"/>
      <c r="H845" s="126"/>
      <c r="I845" s="132"/>
      <c r="J845" s="146"/>
      <c r="K845" s="126"/>
      <c r="L845" s="126"/>
      <c r="M845" s="134" t="str">
        <f t="shared" si="1"/>
        <v/>
      </c>
      <c r="N845" s="134" t="str">
        <f t="array" ref="N845">IF(M845="LOANED / ON KOL", INDEX('Step 3 FOC Request'!$G:$G, MATCH(1, ('Step 3 FOC Request'!$A:$A=W845) * ('Step 3 FOC Request'!$F:$F=E845), 0)), "-")</f>
        <v>-</v>
      </c>
      <c r="O845" s="126"/>
      <c r="P845" s="126"/>
      <c r="Q845" s="126"/>
      <c r="R845" s="126"/>
      <c r="U845" s="126"/>
      <c r="V845" s="126"/>
      <c r="W845" s="135">
        <f>MAXIFS('Step 3 FOC Request'!$A:$A, 'Step 3 FOC Request'!$F:$F, $E845)</f>
        <v>0</v>
      </c>
      <c r="X845" s="135">
        <f>MAXIFS('Step 4 FOC Return'!$A:$A, 'Step 4 FOC Return'!$E:$E, $E845)</f>
        <v>0</v>
      </c>
      <c r="Y845" s="126"/>
    </row>
    <row r="846">
      <c r="A846" s="126"/>
      <c r="B846" s="154"/>
      <c r="C846" s="146"/>
      <c r="D846" s="146"/>
      <c r="E846" s="146"/>
      <c r="F846" s="155"/>
      <c r="G846" s="146"/>
      <c r="H846" s="126"/>
      <c r="I846" s="132"/>
      <c r="J846" s="146"/>
      <c r="K846" s="126"/>
      <c r="L846" s="126"/>
      <c r="M846" s="134" t="str">
        <f t="shared" si="1"/>
        <v/>
      </c>
      <c r="N846" s="134" t="str">
        <f t="array" ref="N846">IF(M846="LOANED / ON KOL", INDEX('Step 3 FOC Request'!$G:$G, MATCH(1, ('Step 3 FOC Request'!$A:$A=W846) * ('Step 3 FOC Request'!$F:$F=E846), 0)), "-")</f>
        <v>-</v>
      </c>
      <c r="O846" s="126"/>
      <c r="P846" s="126"/>
      <c r="Q846" s="126"/>
      <c r="R846" s="126"/>
      <c r="U846" s="126"/>
      <c r="V846" s="126"/>
      <c r="W846" s="135">
        <f>MAXIFS('Step 3 FOC Request'!$A:$A, 'Step 3 FOC Request'!$F:$F, $E846)</f>
        <v>0</v>
      </c>
      <c r="X846" s="135">
        <f>MAXIFS('Step 4 FOC Return'!$A:$A, 'Step 4 FOC Return'!$E:$E, $E846)</f>
        <v>0</v>
      </c>
      <c r="Y846" s="126"/>
    </row>
    <row r="847">
      <c r="A847" s="126"/>
      <c r="B847" s="154"/>
      <c r="C847" s="146"/>
      <c r="D847" s="146"/>
      <c r="E847" s="146"/>
      <c r="F847" s="155"/>
      <c r="G847" s="146"/>
      <c r="H847" s="126"/>
      <c r="I847" s="132"/>
      <c r="J847" s="146"/>
      <c r="K847" s="126"/>
      <c r="L847" s="126"/>
      <c r="M847" s="134" t="str">
        <f t="shared" si="1"/>
        <v/>
      </c>
      <c r="N847" s="134" t="str">
        <f t="array" ref="N847">IF(M847="LOANED / ON KOL", INDEX('Step 3 FOC Request'!$G:$G, MATCH(1, ('Step 3 FOC Request'!$A:$A=W847) * ('Step 3 FOC Request'!$F:$F=E847), 0)), "-")</f>
        <v>-</v>
      </c>
      <c r="O847" s="126"/>
      <c r="P847" s="126"/>
      <c r="Q847" s="126"/>
      <c r="R847" s="126"/>
      <c r="U847" s="126"/>
      <c r="V847" s="126"/>
      <c r="W847" s="135">
        <f>MAXIFS('Step 3 FOC Request'!$A:$A, 'Step 3 FOC Request'!$F:$F, $E847)</f>
        <v>0</v>
      </c>
      <c r="X847" s="135">
        <f>MAXIFS('Step 4 FOC Return'!$A:$A, 'Step 4 FOC Return'!$E:$E, $E847)</f>
        <v>0</v>
      </c>
      <c r="Y847" s="126"/>
    </row>
    <row r="848">
      <c r="A848" s="126"/>
      <c r="B848" s="154"/>
      <c r="C848" s="146"/>
      <c r="D848" s="146"/>
      <c r="E848" s="146"/>
      <c r="F848" s="155"/>
      <c r="G848" s="146"/>
      <c r="H848" s="126"/>
      <c r="I848" s="132"/>
      <c r="J848" s="146"/>
      <c r="K848" s="126"/>
      <c r="L848" s="126"/>
      <c r="M848" s="134" t="str">
        <f t="shared" si="1"/>
        <v/>
      </c>
      <c r="N848" s="134" t="str">
        <f t="array" ref="N848">IF(M848="LOANED / ON KOL", INDEX('Step 3 FOC Request'!$G:$G, MATCH(1, ('Step 3 FOC Request'!$A:$A=W848) * ('Step 3 FOC Request'!$F:$F=E848), 0)), "-")</f>
        <v>-</v>
      </c>
      <c r="O848" s="126"/>
      <c r="P848" s="126"/>
      <c r="Q848" s="126"/>
      <c r="R848" s="126"/>
      <c r="U848" s="126"/>
      <c r="V848" s="126"/>
      <c r="W848" s="135">
        <f>MAXIFS('Step 3 FOC Request'!$A:$A, 'Step 3 FOC Request'!$F:$F, $E848)</f>
        <v>0</v>
      </c>
      <c r="X848" s="135">
        <f>MAXIFS('Step 4 FOC Return'!$A:$A, 'Step 4 FOC Return'!$E:$E, $E848)</f>
        <v>0</v>
      </c>
      <c r="Y848" s="126"/>
    </row>
    <row r="849">
      <c r="A849" s="126"/>
      <c r="B849" s="154"/>
      <c r="C849" s="146"/>
      <c r="D849" s="146"/>
      <c r="E849" s="146"/>
      <c r="F849" s="155"/>
      <c r="G849" s="146"/>
      <c r="H849" s="126"/>
      <c r="I849" s="132"/>
      <c r="J849" s="146"/>
      <c r="K849" s="126"/>
      <c r="L849" s="126"/>
      <c r="M849" s="134" t="str">
        <f t="shared" si="1"/>
        <v/>
      </c>
      <c r="N849" s="134" t="str">
        <f t="array" ref="N849">IF(M849="LOANED / ON KOL", INDEX('Step 3 FOC Request'!$G:$G, MATCH(1, ('Step 3 FOC Request'!$A:$A=W849) * ('Step 3 FOC Request'!$F:$F=E849), 0)), "-")</f>
        <v>-</v>
      </c>
      <c r="O849" s="126"/>
      <c r="P849" s="126"/>
      <c r="Q849" s="126"/>
      <c r="R849" s="126"/>
      <c r="U849" s="126"/>
      <c r="V849" s="126"/>
      <c r="W849" s="135">
        <f>MAXIFS('Step 3 FOC Request'!$A:$A, 'Step 3 FOC Request'!$F:$F, $E849)</f>
        <v>0</v>
      </c>
      <c r="X849" s="135">
        <f>MAXIFS('Step 4 FOC Return'!$A:$A, 'Step 4 FOC Return'!$E:$E, $E849)</f>
        <v>0</v>
      </c>
      <c r="Y849" s="126"/>
    </row>
    <row r="850">
      <c r="A850" s="126"/>
      <c r="B850" s="154"/>
      <c r="C850" s="146"/>
      <c r="D850" s="146"/>
      <c r="E850" s="146"/>
      <c r="F850" s="155"/>
      <c r="G850" s="146"/>
      <c r="H850" s="126"/>
      <c r="I850" s="132"/>
      <c r="J850" s="146"/>
      <c r="K850" s="126"/>
      <c r="L850" s="126"/>
      <c r="M850" s="134" t="str">
        <f t="shared" si="1"/>
        <v/>
      </c>
      <c r="N850" s="134" t="str">
        <f t="array" ref="N850">IF(M850="LOANED / ON KOL", INDEX('Step 3 FOC Request'!$G:$G, MATCH(1, ('Step 3 FOC Request'!$A:$A=W850) * ('Step 3 FOC Request'!$F:$F=E850), 0)), "-")</f>
        <v>-</v>
      </c>
      <c r="O850" s="126"/>
      <c r="P850" s="126"/>
      <c r="Q850" s="126"/>
      <c r="R850" s="126"/>
      <c r="U850" s="126"/>
      <c r="V850" s="126"/>
      <c r="W850" s="135">
        <f>MAXIFS('Step 3 FOC Request'!$A:$A, 'Step 3 FOC Request'!$F:$F, $E850)</f>
        <v>0</v>
      </c>
      <c r="X850" s="135">
        <f>MAXIFS('Step 4 FOC Return'!$A:$A, 'Step 4 FOC Return'!$E:$E, $E850)</f>
        <v>0</v>
      </c>
      <c r="Y850" s="126"/>
    </row>
    <row r="851">
      <c r="A851" s="126"/>
      <c r="B851" s="154"/>
      <c r="C851" s="146"/>
      <c r="D851" s="146"/>
      <c r="E851" s="146"/>
      <c r="F851" s="155"/>
      <c r="G851" s="146"/>
      <c r="H851" s="126"/>
      <c r="I851" s="132"/>
      <c r="J851" s="146"/>
      <c r="K851" s="126"/>
      <c r="L851" s="126"/>
      <c r="M851" s="134" t="str">
        <f t="shared" si="1"/>
        <v/>
      </c>
      <c r="N851" s="134" t="str">
        <f t="array" ref="N851">IF(M851="LOANED / ON KOL", INDEX('Step 3 FOC Request'!$G:$G, MATCH(1, ('Step 3 FOC Request'!$A:$A=W851) * ('Step 3 FOC Request'!$F:$F=E851), 0)), "-")</f>
        <v>-</v>
      </c>
      <c r="O851" s="126"/>
      <c r="P851" s="126"/>
      <c r="Q851" s="126"/>
      <c r="R851" s="126"/>
      <c r="U851" s="126"/>
      <c r="V851" s="126"/>
      <c r="W851" s="135">
        <f>MAXIFS('Step 3 FOC Request'!$A:$A, 'Step 3 FOC Request'!$F:$F, $E851)</f>
        <v>0</v>
      </c>
      <c r="X851" s="135">
        <f>MAXIFS('Step 4 FOC Return'!$A:$A, 'Step 4 FOC Return'!$E:$E, $E851)</f>
        <v>0</v>
      </c>
      <c r="Y851" s="126"/>
    </row>
    <row r="852">
      <c r="A852" s="126"/>
      <c r="B852" s="154"/>
      <c r="C852" s="146"/>
      <c r="D852" s="146"/>
      <c r="E852" s="146"/>
      <c r="F852" s="155"/>
      <c r="G852" s="146"/>
      <c r="H852" s="126"/>
      <c r="I852" s="132"/>
      <c r="J852" s="146"/>
      <c r="K852" s="126"/>
      <c r="L852" s="126"/>
      <c r="M852" s="134" t="str">
        <f t="shared" si="1"/>
        <v/>
      </c>
      <c r="N852" s="134" t="str">
        <f t="array" ref="N852">IF(M852="LOANED / ON KOL", INDEX('Step 3 FOC Request'!$G:$G, MATCH(1, ('Step 3 FOC Request'!$A:$A=W852) * ('Step 3 FOC Request'!$F:$F=E852), 0)), "-")</f>
        <v>-</v>
      </c>
      <c r="O852" s="126"/>
      <c r="P852" s="126"/>
      <c r="Q852" s="126"/>
      <c r="R852" s="126"/>
      <c r="U852" s="126"/>
      <c r="V852" s="126"/>
      <c r="W852" s="135">
        <f>MAXIFS('Step 3 FOC Request'!$A:$A, 'Step 3 FOC Request'!$F:$F, $E852)</f>
        <v>0</v>
      </c>
      <c r="X852" s="135">
        <f>MAXIFS('Step 4 FOC Return'!$A:$A, 'Step 4 FOC Return'!$E:$E, $E852)</f>
        <v>0</v>
      </c>
      <c r="Y852" s="126"/>
    </row>
    <row r="853">
      <c r="A853" s="126"/>
      <c r="B853" s="154"/>
      <c r="C853" s="146"/>
      <c r="D853" s="146"/>
      <c r="E853" s="146"/>
      <c r="F853" s="155"/>
      <c r="G853" s="146"/>
      <c r="H853" s="126"/>
      <c r="I853" s="132"/>
      <c r="J853" s="146"/>
      <c r="K853" s="126"/>
      <c r="L853" s="126"/>
      <c r="M853" s="134" t="str">
        <f t="shared" si="1"/>
        <v/>
      </c>
      <c r="N853" s="134" t="str">
        <f t="array" ref="N853">IF(M853="LOANED / ON KOL", INDEX('Step 3 FOC Request'!$G:$G, MATCH(1, ('Step 3 FOC Request'!$A:$A=W853) * ('Step 3 FOC Request'!$F:$F=E853), 0)), "-")</f>
        <v>-</v>
      </c>
      <c r="O853" s="126"/>
      <c r="P853" s="126"/>
      <c r="Q853" s="126"/>
      <c r="R853" s="126"/>
      <c r="U853" s="126"/>
      <c r="V853" s="126"/>
      <c r="W853" s="135">
        <f>MAXIFS('Step 3 FOC Request'!$A:$A, 'Step 3 FOC Request'!$F:$F, $E853)</f>
        <v>0</v>
      </c>
      <c r="X853" s="135">
        <f>MAXIFS('Step 4 FOC Return'!$A:$A, 'Step 4 FOC Return'!$E:$E, $E853)</f>
        <v>0</v>
      </c>
      <c r="Y853" s="126"/>
    </row>
    <row r="854">
      <c r="A854" s="126"/>
      <c r="B854" s="154"/>
      <c r="C854" s="146"/>
      <c r="D854" s="146"/>
      <c r="E854" s="146"/>
      <c r="F854" s="155"/>
      <c r="G854" s="146"/>
      <c r="H854" s="126"/>
      <c r="I854" s="132"/>
      <c r="J854" s="146"/>
      <c r="K854" s="126"/>
      <c r="L854" s="126"/>
      <c r="M854" s="134" t="str">
        <f t="shared" si="1"/>
        <v/>
      </c>
      <c r="N854" s="134" t="str">
        <f t="array" ref="N854">IF(M854="LOANED / ON KOL", INDEX('Step 3 FOC Request'!$G:$G, MATCH(1, ('Step 3 FOC Request'!$A:$A=W854) * ('Step 3 FOC Request'!$F:$F=E854), 0)), "-")</f>
        <v>-</v>
      </c>
      <c r="O854" s="126"/>
      <c r="P854" s="126"/>
      <c r="Q854" s="126"/>
      <c r="R854" s="126"/>
      <c r="U854" s="126"/>
      <c r="V854" s="126"/>
      <c r="W854" s="135">
        <f>MAXIFS('Step 3 FOC Request'!$A:$A, 'Step 3 FOC Request'!$F:$F, $E854)</f>
        <v>0</v>
      </c>
      <c r="X854" s="135">
        <f>MAXIFS('Step 4 FOC Return'!$A:$A, 'Step 4 FOC Return'!$E:$E, $E854)</f>
        <v>0</v>
      </c>
      <c r="Y854" s="126"/>
    </row>
    <row r="855">
      <c r="A855" s="126"/>
      <c r="B855" s="154"/>
      <c r="C855" s="146"/>
      <c r="D855" s="146"/>
      <c r="E855" s="146"/>
      <c r="F855" s="155"/>
      <c r="G855" s="146"/>
      <c r="H855" s="126"/>
      <c r="I855" s="132"/>
      <c r="J855" s="146"/>
      <c r="K855" s="126"/>
      <c r="L855" s="126"/>
      <c r="M855" s="134" t="str">
        <f t="shared" si="1"/>
        <v/>
      </c>
      <c r="N855" s="134" t="str">
        <f t="array" ref="N855">IF(M855="LOANED / ON KOL", INDEX('Step 3 FOC Request'!$G:$G, MATCH(1, ('Step 3 FOC Request'!$A:$A=W855) * ('Step 3 FOC Request'!$F:$F=E855), 0)), "-")</f>
        <v>-</v>
      </c>
      <c r="O855" s="126"/>
      <c r="P855" s="126"/>
      <c r="Q855" s="126"/>
      <c r="R855" s="126"/>
      <c r="U855" s="126"/>
      <c r="V855" s="126"/>
      <c r="W855" s="135">
        <f>MAXIFS('Step 3 FOC Request'!$A:$A, 'Step 3 FOC Request'!$F:$F, $E855)</f>
        <v>0</v>
      </c>
      <c r="X855" s="135">
        <f>MAXIFS('Step 4 FOC Return'!$A:$A, 'Step 4 FOC Return'!$E:$E, $E855)</f>
        <v>0</v>
      </c>
      <c r="Y855" s="126"/>
    </row>
    <row r="856">
      <c r="A856" s="126"/>
      <c r="B856" s="154"/>
      <c r="C856" s="146"/>
      <c r="D856" s="146"/>
      <c r="E856" s="146"/>
      <c r="F856" s="155"/>
      <c r="G856" s="146"/>
      <c r="H856" s="126"/>
      <c r="I856" s="132"/>
      <c r="J856" s="146"/>
      <c r="K856" s="126"/>
      <c r="L856" s="126"/>
      <c r="M856" s="134" t="str">
        <f t="shared" si="1"/>
        <v/>
      </c>
      <c r="N856" s="134" t="str">
        <f t="array" ref="N856">IF(M856="LOANED / ON KOL", INDEX('Step 3 FOC Request'!$G:$G, MATCH(1, ('Step 3 FOC Request'!$A:$A=W856) * ('Step 3 FOC Request'!$F:$F=E856), 0)), "-")</f>
        <v>-</v>
      </c>
      <c r="O856" s="126"/>
      <c r="P856" s="126"/>
      <c r="Q856" s="126"/>
      <c r="R856" s="126"/>
      <c r="U856" s="126"/>
      <c r="V856" s="126"/>
      <c r="W856" s="135">
        <f>MAXIFS('Step 3 FOC Request'!$A:$A, 'Step 3 FOC Request'!$F:$F, $E856)</f>
        <v>0</v>
      </c>
      <c r="X856" s="135">
        <f>MAXIFS('Step 4 FOC Return'!$A:$A, 'Step 4 FOC Return'!$E:$E, $E856)</f>
        <v>0</v>
      </c>
      <c r="Y856" s="126"/>
    </row>
    <row r="857">
      <c r="A857" s="126"/>
      <c r="B857" s="154"/>
      <c r="C857" s="146"/>
      <c r="D857" s="146"/>
      <c r="E857" s="146"/>
      <c r="F857" s="155"/>
      <c r="G857" s="146"/>
      <c r="H857" s="126"/>
      <c r="I857" s="132"/>
      <c r="J857" s="146"/>
      <c r="K857" s="126"/>
      <c r="L857" s="126"/>
      <c r="M857" s="134" t="str">
        <f t="shared" si="1"/>
        <v/>
      </c>
      <c r="N857" s="134" t="str">
        <f t="array" ref="N857">IF(M857="LOANED / ON KOL", INDEX('Step 3 FOC Request'!$G:$G, MATCH(1, ('Step 3 FOC Request'!$A:$A=W857) * ('Step 3 FOC Request'!$F:$F=E857), 0)), "-")</f>
        <v>-</v>
      </c>
      <c r="O857" s="126"/>
      <c r="P857" s="126"/>
      <c r="Q857" s="126"/>
      <c r="R857" s="126"/>
      <c r="U857" s="126"/>
      <c r="V857" s="126"/>
      <c r="W857" s="135">
        <f>MAXIFS('Step 3 FOC Request'!$A:$A, 'Step 3 FOC Request'!$F:$F, $E857)</f>
        <v>0</v>
      </c>
      <c r="X857" s="135">
        <f>MAXIFS('Step 4 FOC Return'!$A:$A, 'Step 4 FOC Return'!$E:$E, $E857)</f>
        <v>0</v>
      </c>
      <c r="Y857" s="126"/>
    </row>
    <row r="858">
      <c r="A858" s="126"/>
      <c r="B858" s="154"/>
      <c r="C858" s="146"/>
      <c r="D858" s="146"/>
      <c r="E858" s="146"/>
      <c r="F858" s="155"/>
      <c r="G858" s="146"/>
      <c r="H858" s="126"/>
      <c r="I858" s="132"/>
      <c r="J858" s="146"/>
      <c r="K858" s="126"/>
      <c r="L858" s="126"/>
      <c r="M858" s="134" t="str">
        <f t="shared" si="1"/>
        <v/>
      </c>
      <c r="N858" s="134" t="str">
        <f t="array" ref="N858">IF(M858="LOANED / ON KOL", INDEX('Step 3 FOC Request'!$G:$G, MATCH(1, ('Step 3 FOC Request'!$A:$A=W858) * ('Step 3 FOC Request'!$F:$F=E858), 0)), "-")</f>
        <v>-</v>
      </c>
      <c r="O858" s="126"/>
      <c r="P858" s="126"/>
      <c r="Q858" s="126"/>
      <c r="R858" s="126"/>
      <c r="U858" s="126"/>
      <c r="V858" s="126"/>
      <c r="W858" s="135">
        <f>MAXIFS('Step 3 FOC Request'!$A:$A, 'Step 3 FOC Request'!$F:$F, $E858)</f>
        <v>0</v>
      </c>
      <c r="X858" s="135">
        <f>MAXIFS('Step 4 FOC Return'!$A:$A, 'Step 4 FOC Return'!$E:$E, $E858)</f>
        <v>0</v>
      </c>
      <c r="Y858" s="126"/>
    </row>
    <row r="859">
      <c r="A859" s="126"/>
      <c r="B859" s="154"/>
      <c r="C859" s="146"/>
      <c r="D859" s="146"/>
      <c r="E859" s="146"/>
      <c r="F859" s="155"/>
      <c r="G859" s="146"/>
      <c r="H859" s="126"/>
      <c r="I859" s="132"/>
      <c r="J859" s="146"/>
      <c r="K859" s="126"/>
      <c r="L859" s="126"/>
      <c r="M859" s="134" t="str">
        <f t="shared" si="1"/>
        <v/>
      </c>
      <c r="N859" s="134" t="str">
        <f t="array" ref="N859">IF(M859="LOANED / ON KOL", INDEX('Step 3 FOC Request'!$G:$G, MATCH(1, ('Step 3 FOC Request'!$A:$A=W859) * ('Step 3 FOC Request'!$F:$F=E859), 0)), "-")</f>
        <v>-</v>
      </c>
      <c r="O859" s="126"/>
      <c r="P859" s="126"/>
      <c r="Q859" s="126"/>
      <c r="R859" s="126"/>
      <c r="U859" s="126"/>
      <c r="V859" s="126"/>
      <c r="W859" s="135">
        <f>MAXIFS('Step 3 FOC Request'!$A:$A, 'Step 3 FOC Request'!$F:$F, $E859)</f>
        <v>0</v>
      </c>
      <c r="X859" s="135">
        <f>MAXIFS('Step 4 FOC Return'!$A:$A, 'Step 4 FOC Return'!$E:$E, $E859)</f>
        <v>0</v>
      </c>
      <c r="Y859" s="126"/>
    </row>
    <row r="860">
      <c r="A860" s="126"/>
      <c r="B860" s="154"/>
      <c r="C860" s="146"/>
      <c r="D860" s="146"/>
      <c r="E860" s="146"/>
      <c r="F860" s="155"/>
      <c r="G860" s="146"/>
      <c r="H860" s="126"/>
      <c r="I860" s="132"/>
      <c r="J860" s="146"/>
      <c r="K860" s="126"/>
      <c r="L860" s="126"/>
      <c r="M860" s="134" t="str">
        <f t="shared" si="1"/>
        <v/>
      </c>
      <c r="N860" s="134" t="str">
        <f t="array" ref="N860">IF(M860="LOANED / ON KOL", INDEX('Step 3 FOC Request'!$G:$G, MATCH(1, ('Step 3 FOC Request'!$A:$A=W860) * ('Step 3 FOC Request'!$F:$F=E860), 0)), "-")</f>
        <v>-</v>
      </c>
      <c r="O860" s="126"/>
      <c r="P860" s="126"/>
      <c r="Q860" s="126"/>
      <c r="R860" s="126"/>
      <c r="U860" s="126"/>
      <c r="V860" s="126"/>
      <c r="W860" s="135">
        <f>MAXIFS('Step 3 FOC Request'!$A:$A, 'Step 3 FOC Request'!$F:$F, $E860)</f>
        <v>0</v>
      </c>
      <c r="X860" s="135">
        <f>MAXIFS('Step 4 FOC Return'!$A:$A, 'Step 4 FOC Return'!$E:$E, $E860)</f>
        <v>0</v>
      </c>
      <c r="Y860" s="126"/>
    </row>
    <row r="861">
      <c r="A861" s="126"/>
      <c r="B861" s="154"/>
      <c r="C861" s="146"/>
      <c r="D861" s="146"/>
      <c r="E861" s="146"/>
      <c r="F861" s="155"/>
      <c r="G861" s="146"/>
      <c r="H861" s="126"/>
      <c r="I861" s="132"/>
      <c r="J861" s="146"/>
      <c r="K861" s="126"/>
      <c r="L861" s="126"/>
      <c r="M861" s="134" t="str">
        <f t="shared" si="1"/>
        <v/>
      </c>
      <c r="N861" s="134" t="str">
        <f t="array" ref="N861">IF(M861="LOANED / ON KOL", INDEX('Step 3 FOC Request'!$G:$G, MATCH(1, ('Step 3 FOC Request'!$A:$A=W861) * ('Step 3 FOC Request'!$F:$F=E861), 0)), "-")</f>
        <v>-</v>
      </c>
      <c r="O861" s="126"/>
      <c r="P861" s="126"/>
      <c r="Q861" s="126"/>
      <c r="R861" s="126"/>
      <c r="U861" s="126"/>
      <c r="V861" s="126"/>
      <c r="W861" s="135">
        <f>MAXIFS('Step 3 FOC Request'!$A:$A, 'Step 3 FOC Request'!$F:$F, $E861)</f>
        <v>0</v>
      </c>
      <c r="X861" s="135">
        <f>MAXIFS('Step 4 FOC Return'!$A:$A, 'Step 4 FOC Return'!$E:$E, $E861)</f>
        <v>0</v>
      </c>
      <c r="Y861" s="126"/>
    </row>
    <row r="862">
      <c r="A862" s="126"/>
      <c r="B862" s="154"/>
      <c r="C862" s="146"/>
      <c r="D862" s="146"/>
      <c r="E862" s="146"/>
      <c r="F862" s="155"/>
      <c r="G862" s="146"/>
      <c r="H862" s="126"/>
      <c r="I862" s="132"/>
      <c r="J862" s="146"/>
      <c r="K862" s="126"/>
      <c r="L862" s="126"/>
      <c r="M862" s="134" t="str">
        <f t="shared" si="1"/>
        <v/>
      </c>
      <c r="N862" s="134" t="str">
        <f t="array" ref="N862">IF(M862="LOANED / ON KOL", INDEX('Step 3 FOC Request'!$G:$G, MATCH(1, ('Step 3 FOC Request'!$A:$A=W862) * ('Step 3 FOC Request'!$F:$F=E862), 0)), "-")</f>
        <v>-</v>
      </c>
      <c r="O862" s="126"/>
      <c r="P862" s="126"/>
      <c r="Q862" s="126"/>
      <c r="R862" s="126"/>
      <c r="U862" s="126"/>
      <c r="V862" s="126"/>
      <c r="W862" s="135">
        <f>MAXIFS('Step 3 FOC Request'!$A:$A, 'Step 3 FOC Request'!$F:$F, $E862)</f>
        <v>0</v>
      </c>
      <c r="X862" s="135">
        <f>MAXIFS('Step 4 FOC Return'!$A:$A, 'Step 4 FOC Return'!$E:$E, $E862)</f>
        <v>0</v>
      </c>
      <c r="Y862" s="126"/>
    </row>
    <row r="863">
      <c r="A863" s="126"/>
      <c r="B863" s="154"/>
      <c r="C863" s="146"/>
      <c r="D863" s="146"/>
      <c r="E863" s="146"/>
      <c r="F863" s="155"/>
      <c r="G863" s="146"/>
      <c r="H863" s="126"/>
      <c r="I863" s="132"/>
      <c r="J863" s="146"/>
      <c r="K863" s="126"/>
      <c r="L863" s="126"/>
      <c r="M863" s="134" t="str">
        <f t="shared" si="1"/>
        <v/>
      </c>
      <c r="N863" s="134" t="str">
        <f t="array" ref="N863">IF(M863="LOANED / ON KOL", INDEX('Step 3 FOC Request'!$G:$G, MATCH(1, ('Step 3 FOC Request'!$A:$A=W863) * ('Step 3 FOC Request'!$F:$F=E863), 0)), "-")</f>
        <v>-</v>
      </c>
      <c r="O863" s="126"/>
      <c r="P863" s="126"/>
      <c r="Q863" s="126"/>
      <c r="R863" s="126"/>
      <c r="U863" s="126"/>
      <c r="V863" s="126"/>
      <c r="W863" s="135">
        <f>MAXIFS('Step 3 FOC Request'!$A:$A, 'Step 3 FOC Request'!$F:$F, $E863)</f>
        <v>0</v>
      </c>
      <c r="X863" s="135">
        <f>MAXIFS('Step 4 FOC Return'!$A:$A, 'Step 4 FOC Return'!$E:$E, $E863)</f>
        <v>0</v>
      </c>
      <c r="Y863" s="126"/>
    </row>
    <row r="864">
      <c r="A864" s="126"/>
      <c r="B864" s="154"/>
      <c r="C864" s="146"/>
      <c r="D864" s="146"/>
      <c r="E864" s="146"/>
      <c r="F864" s="155"/>
      <c r="G864" s="146"/>
      <c r="H864" s="126"/>
      <c r="I864" s="132"/>
      <c r="J864" s="146"/>
      <c r="K864" s="126"/>
      <c r="L864" s="126"/>
      <c r="M864" s="134" t="str">
        <f t="shared" si="1"/>
        <v/>
      </c>
      <c r="N864" s="134" t="str">
        <f t="array" ref="N864">IF(M864="LOANED / ON KOL", INDEX('Step 3 FOC Request'!$G:$G, MATCH(1, ('Step 3 FOC Request'!$A:$A=W864) * ('Step 3 FOC Request'!$F:$F=E864), 0)), "-")</f>
        <v>-</v>
      </c>
      <c r="O864" s="126"/>
      <c r="P864" s="126"/>
      <c r="Q864" s="126"/>
      <c r="R864" s="126"/>
      <c r="U864" s="126"/>
      <c r="V864" s="126"/>
      <c r="W864" s="135">
        <f>MAXIFS('Step 3 FOC Request'!$A:$A, 'Step 3 FOC Request'!$F:$F, $E864)</f>
        <v>0</v>
      </c>
      <c r="X864" s="135">
        <f>MAXIFS('Step 4 FOC Return'!$A:$A, 'Step 4 FOC Return'!$E:$E, $E864)</f>
        <v>0</v>
      </c>
      <c r="Y864" s="126"/>
    </row>
    <row r="865">
      <c r="A865" s="126"/>
      <c r="B865" s="154"/>
      <c r="C865" s="146"/>
      <c r="D865" s="146"/>
      <c r="E865" s="146"/>
      <c r="F865" s="155"/>
      <c r="G865" s="146"/>
      <c r="H865" s="126"/>
      <c r="I865" s="132"/>
      <c r="J865" s="146"/>
      <c r="K865" s="126"/>
      <c r="L865" s="126"/>
      <c r="M865" s="134" t="str">
        <f t="shared" si="1"/>
        <v/>
      </c>
      <c r="N865" s="134" t="str">
        <f t="array" ref="N865">IF(M865="LOANED / ON KOL", INDEX('Step 3 FOC Request'!$G:$G, MATCH(1, ('Step 3 FOC Request'!$A:$A=W865) * ('Step 3 FOC Request'!$F:$F=E865), 0)), "-")</f>
        <v>-</v>
      </c>
      <c r="O865" s="126"/>
      <c r="P865" s="126"/>
      <c r="Q865" s="126"/>
      <c r="R865" s="126"/>
      <c r="U865" s="126"/>
      <c r="V865" s="126"/>
      <c r="W865" s="135">
        <f>MAXIFS('Step 3 FOC Request'!$A:$A, 'Step 3 FOC Request'!$F:$F, $E865)</f>
        <v>0</v>
      </c>
      <c r="X865" s="135">
        <f>MAXIFS('Step 4 FOC Return'!$A:$A, 'Step 4 FOC Return'!$E:$E, $E865)</f>
        <v>0</v>
      </c>
      <c r="Y865" s="126"/>
    </row>
    <row r="866">
      <c r="A866" s="126"/>
      <c r="B866" s="154"/>
      <c r="C866" s="146"/>
      <c r="D866" s="146"/>
      <c r="E866" s="146"/>
      <c r="F866" s="155"/>
      <c r="G866" s="146"/>
      <c r="H866" s="126"/>
      <c r="I866" s="132"/>
      <c r="J866" s="146"/>
      <c r="K866" s="126"/>
      <c r="L866" s="126"/>
      <c r="M866" s="134" t="str">
        <f t="shared" si="1"/>
        <v/>
      </c>
      <c r="N866" s="134" t="str">
        <f t="array" ref="N866">IF(M866="LOANED / ON KOL", INDEX('Step 3 FOC Request'!$G:$G, MATCH(1, ('Step 3 FOC Request'!$A:$A=W866) * ('Step 3 FOC Request'!$F:$F=E866), 0)), "-")</f>
        <v>-</v>
      </c>
      <c r="O866" s="126"/>
      <c r="P866" s="126"/>
      <c r="Q866" s="126"/>
      <c r="R866" s="126"/>
      <c r="U866" s="126"/>
      <c r="V866" s="126"/>
      <c r="W866" s="135">
        <f>MAXIFS('Step 3 FOC Request'!$A:$A, 'Step 3 FOC Request'!$F:$F, $E866)</f>
        <v>0</v>
      </c>
      <c r="X866" s="135">
        <f>MAXIFS('Step 4 FOC Return'!$A:$A, 'Step 4 FOC Return'!$E:$E, $E866)</f>
        <v>0</v>
      </c>
      <c r="Y866" s="126"/>
    </row>
    <row r="867">
      <c r="A867" s="126"/>
      <c r="B867" s="154"/>
      <c r="C867" s="146"/>
      <c r="D867" s="146"/>
      <c r="E867" s="146"/>
      <c r="F867" s="155"/>
      <c r="G867" s="146"/>
      <c r="H867" s="126"/>
      <c r="I867" s="132"/>
      <c r="J867" s="146"/>
      <c r="K867" s="126"/>
      <c r="L867" s="126"/>
      <c r="M867" s="134" t="str">
        <f t="shared" si="1"/>
        <v/>
      </c>
      <c r="N867" s="134" t="str">
        <f t="array" ref="N867">IF(M867="LOANED / ON KOL", INDEX('Step 3 FOC Request'!$G:$G, MATCH(1, ('Step 3 FOC Request'!$A:$A=W867) * ('Step 3 FOC Request'!$F:$F=E867), 0)), "-")</f>
        <v>-</v>
      </c>
      <c r="O867" s="126"/>
      <c r="P867" s="126"/>
      <c r="Q867" s="126"/>
      <c r="R867" s="126"/>
      <c r="U867" s="126"/>
      <c r="V867" s="126"/>
      <c r="W867" s="135">
        <f>MAXIFS('Step 3 FOC Request'!$A:$A, 'Step 3 FOC Request'!$F:$F, $E867)</f>
        <v>0</v>
      </c>
      <c r="X867" s="135">
        <f>MAXIFS('Step 4 FOC Return'!$A:$A, 'Step 4 FOC Return'!$E:$E, $E867)</f>
        <v>0</v>
      </c>
      <c r="Y867" s="126"/>
    </row>
    <row r="868">
      <c r="A868" s="126"/>
      <c r="B868" s="154"/>
      <c r="C868" s="146"/>
      <c r="D868" s="146"/>
      <c r="E868" s="146"/>
      <c r="F868" s="155"/>
      <c r="G868" s="146"/>
      <c r="H868" s="126"/>
      <c r="I868" s="132"/>
      <c r="J868" s="146"/>
      <c r="K868" s="126"/>
      <c r="L868" s="126"/>
      <c r="M868" s="134" t="str">
        <f t="shared" si="1"/>
        <v/>
      </c>
      <c r="N868" s="134" t="str">
        <f t="array" ref="N868">IF(M868="LOANED / ON KOL", INDEX('Step 3 FOC Request'!$G:$G, MATCH(1, ('Step 3 FOC Request'!$A:$A=W868) * ('Step 3 FOC Request'!$F:$F=E868), 0)), "-")</f>
        <v>-</v>
      </c>
      <c r="O868" s="126"/>
      <c r="P868" s="126"/>
      <c r="Q868" s="126"/>
      <c r="R868" s="126"/>
      <c r="U868" s="126"/>
      <c r="V868" s="126"/>
      <c r="W868" s="135">
        <f>MAXIFS('Step 3 FOC Request'!$A:$A, 'Step 3 FOC Request'!$F:$F, $E868)</f>
        <v>0</v>
      </c>
      <c r="X868" s="135">
        <f>MAXIFS('Step 4 FOC Return'!$A:$A, 'Step 4 FOC Return'!$E:$E, $E868)</f>
        <v>0</v>
      </c>
      <c r="Y868" s="126"/>
    </row>
    <row r="869">
      <c r="A869" s="126"/>
      <c r="B869" s="154"/>
      <c r="C869" s="146"/>
      <c r="D869" s="146"/>
      <c r="E869" s="146"/>
      <c r="F869" s="155"/>
      <c r="G869" s="146"/>
      <c r="H869" s="126"/>
      <c r="I869" s="132"/>
      <c r="J869" s="146"/>
      <c r="K869" s="126"/>
      <c r="L869" s="126"/>
      <c r="M869" s="134" t="str">
        <f t="shared" si="1"/>
        <v/>
      </c>
      <c r="N869" s="134" t="str">
        <f t="array" ref="N869">IF(M869="LOANED / ON KOL", INDEX('Step 3 FOC Request'!$G:$G, MATCH(1, ('Step 3 FOC Request'!$A:$A=W869) * ('Step 3 FOC Request'!$F:$F=E869), 0)), "-")</f>
        <v>-</v>
      </c>
      <c r="O869" s="126"/>
      <c r="P869" s="126"/>
      <c r="Q869" s="126"/>
      <c r="R869" s="126"/>
      <c r="U869" s="126"/>
      <c r="V869" s="126"/>
      <c r="W869" s="135">
        <f>MAXIFS('Step 3 FOC Request'!$A:$A, 'Step 3 FOC Request'!$F:$F, $E869)</f>
        <v>0</v>
      </c>
      <c r="X869" s="135">
        <f>MAXIFS('Step 4 FOC Return'!$A:$A, 'Step 4 FOC Return'!$E:$E, $E869)</f>
        <v>0</v>
      </c>
      <c r="Y869" s="126"/>
    </row>
    <row r="870">
      <c r="A870" s="126"/>
      <c r="B870" s="154"/>
      <c r="C870" s="146"/>
      <c r="D870" s="146"/>
      <c r="E870" s="146"/>
      <c r="F870" s="155"/>
      <c r="G870" s="146"/>
      <c r="H870" s="126"/>
      <c r="I870" s="132"/>
      <c r="J870" s="146"/>
      <c r="K870" s="126"/>
      <c r="L870" s="126"/>
      <c r="M870" s="134" t="str">
        <f t="shared" si="1"/>
        <v/>
      </c>
      <c r="N870" s="134" t="str">
        <f t="array" ref="N870">IF(M870="LOANED / ON KOL", INDEX('Step 3 FOC Request'!$G:$G, MATCH(1, ('Step 3 FOC Request'!$A:$A=W870) * ('Step 3 FOC Request'!$F:$F=E870), 0)), "-")</f>
        <v>-</v>
      </c>
      <c r="O870" s="126"/>
      <c r="P870" s="126"/>
      <c r="Q870" s="126"/>
      <c r="R870" s="126"/>
      <c r="U870" s="126"/>
      <c r="V870" s="126"/>
      <c r="W870" s="135">
        <f>MAXIFS('Step 3 FOC Request'!$A:$A, 'Step 3 FOC Request'!$F:$F, $E870)</f>
        <v>0</v>
      </c>
      <c r="X870" s="135">
        <f>MAXIFS('Step 4 FOC Return'!$A:$A, 'Step 4 FOC Return'!$E:$E, $E870)</f>
        <v>0</v>
      </c>
      <c r="Y870" s="126"/>
    </row>
    <row r="871">
      <c r="A871" s="126"/>
      <c r="B871" s="154"/>
      <c r="C871" s="146"/>
      <c r="D871" s="146"/>
      <c r="E871" s="146"/>
      <c r="F871" s="155"/>
      <c r="G871" s="146"/>
      <c r="H871" s="126"/>
      <c r="I871" s="132"/>
      <c r="J871" s="146"/>
      <c r="K871" s="126"/>
      <c r="L871" s="126"/>
      <c r="M871" s="134" t="str">
        <f t="shared" si="1"/>
        <v/>
      </c>
      <c r="N871" s="134" t="str">
        <f t="array" ref="N871">IF(M871="LOANED / ON KOL", INDEX('Step 3 FOC Request'!$G:$G, MATCH(1, ('Step 3 FOC Request'!$A:$A=W871) * ('Step 3 FOC Request'!$F:$F=E871), 0)), "-")</f>
        <v>-</v>
      </c>
      <c r="O871" s="126"/>
      <c r="P871" s="126"/>
      <c r="Q871" s="126"/>
      <c r="R871" s="126"/>
      <c r="U871" s="126"/>
      <c r="V871" s="126"/>
      <c r="W871" s="135">
        <f>MAXIFS('Step 3 FOC Request'!$A:$A, 'Step 3 FOC Request'!$F:$F, $E871)</f>
        <v>0</v>
      </c>
      <c r="X871" s="135">
        <f>MAXIFS('Step 4 FOC Return'!$A:$A, 'Step 4 FOC Return'!$E:$E, $E871)</f>
        <v>0</v>
      </c>
      <c r="Y871" s="126"/>
    </row>
    <row r="872">
      <c r="A872" s="126"/>
      <c r="B872" s="154"/>
      <c r="C872" s="146"/>
      <c r="D872" s="146"/>
      <c r="E872" s="146"/>
      <c r="F872" s="155"/>
      <c r="G872" s="146"/>
      <c r="H872" s="126"/>
      <c r="I872" s="132"/>
      <c r="J872" s="146"/>
      <c r="K872" s="126"/>
      <c r="L872" s="126"/>
      <c r="M872" s="134" t="str">
        <f t="shared" si="1"/>
        <v/>
      </c>
      <c r="N872" s="134" t="str">
        <f t="array" ref="N872">IF(M872="LOANED / ON KOL", INDEX('Step 3 FOC Request'!$G:$G, MATCH(1, ('Step 3 FOC Request'!$A:$A=W872) * ('Step 3 FOC Request'!$F:$F=E872), 0)), "-")</f>
        <v>-</v>
      </c>
      <c r="O872" s="126"/>
      <c r="P872" s="126"/>
      <c r="Q872" s="126"/>
      <c r="R872" s="126"/>
      <c r="U872" s="126"/>
      <c r="V872" s="126"/>
      <c r="W872" s="135">
        <f>MAXIFS('Step 3 FOC Request'!$A:$A, 'Step 3 FOC Request'!$F:$F, $E872)</f>
        <v>0</v>
      </c>
      <c r="X872" s="135">
        <f>MAXIFS('Step 4 FOC Return'!$A:$A, 'Step 4 FOC Return'!$E:$E, $E872)</f>
        <v>0</v>
      </c>
      <c r="Y872" s="126"/>
    </row>
    <row r="873">
      <c r="A873" s="126"/>
      <c r="B873" s="154"/>
      <c r="C873" s="146"/>
      <c r="D873" s="146"/>
      <c r="E873" s="146"/>
      <c r="F873" s="155"/>
      <c r="G873" s="146"/>
      <c r="H873" s="126"/>
      <c r="I873" s="132"/>
      <c r="J873" s="146"/>
      <c r="K873" s="126"/>
      <c r="L873" s="126"/>
      <c r="M873" s="134" t="str">
        <f t="shared" si="1"/>
        <v/>
      </c>
      <c r="N873" s="134" t="str">
        <f t="array" ref="N873">IF(M873="LOANED / ON KOL", INDEX('Step 3 FOC Request'!$G:$G, MATCH(1, ('Step 3 FOC Request'!$A:$A=W873) * ('Step 3 FOC Request'!$F:$F=E873), 0)), "-")</f>
        <v>-</v>
      </c>
      <c r="O873" s="126"/>
      <c r="P873" s="126"/>
      <c r="Q873" s="126"/>
      <c r="R873" s="126"/>
      <c r="U873" s="126"/>
      <c r="V873" s="126"/>
      <c r="W873" s="135">
        <f>MAXIFS('Step 3 FOC Request'!$A:$A, 'Step 3 FOC Request'!$F:$F, $E873)</f>
        <v>0</v>
      </c>
      <c r="X873" s="135">
        <f>MAXIFS('Step 4 FOC Return'!$A:$A, 'Step 4 FOC Return'!$E:$E, $E873)</f>
        <v>0</v>
      </c>
      <c r="Y873" s="126"/>
    </row>
    <row r="874">
      <c r="A874" s="126"/>
      <c r="B874" s="154"/>
      <c r="C874" s="146"/>
      <c r="D874" s="146"/>
      <c r="E874" s="146"/>
      <c r="F874" s="155"/>
      <c r="G874" s="146"/>
      <c r="H874" s="126"/>
      <c r="I874" s="132"/>
      <c r="J874" s="146"/>
      <c r="K874" s="126"/>
      <c r="L874" s="126"/>
      <c r="M874" s="134" t="str">
        <f t="shared" si="1"/>
        <v/>
      </c>
      <c r="N874" s="134" t="str">
        <f t="array" ref="N874">IF(M874="LOANED / ON KOL", INDEX('Step 3 FOC Request'!$G:$G, MATCH(1, ('Step 3 FOC Request'!$A:$A=W874) * ('Step 3 FOC Request'!$F:$F=E874), 0)), "-")</f>
        <v>-</v>
      </c>
      <c r="O874" s="126"/>
      <c r="P874" s="126"/>
      <c r="Q874" s="126"/>
      <c r="R874" s="126"/>
      <c r="U874" s="126"/>
      <c r="V874" s="126"/>
      <c r="W874" s="135">
        <f>MAXIFS('Step 3 FOC Request'!$A:$A, 'Step 3 FOC Request'!$F:$F, $E874)</f>
        <v>0</v>
      </c>
      <c r="X874" s="135">
        <f>MAXIFS('Step 4 FOC Return'!$A:$A, 'Step 4 FOC Return'!$E:$E, $E874)</f>
        <v>0</v>
      </c>
      <c r="Y874" s="126"/>
    </row>
    <row r="875">
      <c r="A875" s="126"/>
      <c r="B875" s="154"/>
      <c r="C875" s="146"/>
      <c r="D875" s="146"/>
      <c r="E875" s="146"/>
      <c r="F875" s="155"/>
      <c r="G875" s="146"/>
      <c r="H875" s="126"/>
      <c r="I875" s="132"/>
      <c r="J875" s="146"/>
      <c r="K875" s="126"/>
      <c r="L875" s="126"/>
      <c r="M875" s="134" t="str">
        <f t="shared" si="1"/>
        <v/>
      </c>
      <c r="N875" s="134" t="str">
        <f t="array" ref="N875">IF(M875="LOANED / ON KOL", INDEX('Step 3 FOC Request'!$G:$G, MATCH(1, ('Step 3 FOC Request'!$A:$A=W875) * ('Step 3 FOC Request'!$F:$F=E875), 0)), "-")</f>
        <v>-</v>
      </c>
      <c r="O875" s="126"/>
      <c r="P875" s="126"/>
      <c r="Q875" s="126"/>
      <c r="R875" s="126"/>
      <c r="U875" s="126"/>
      <c r="V875" s="126"/>
      <c r="W875" s="135">
        <f>MAXIFS('Step 3 FOC Request'!$A:$A, 'Step 3 FOC Request'!$F:$F, $E875)</f>
        <v>0</v>
      </c>
      <c r="X875" s="135">
        <f>MAXIFS('Step 4 FOC Return'!$A:$A, 'Step 4 FOC Return'!$E:$E, $E875)</f>
        <v>0</v>
      </c>
      <c r="Y875" s="126"/>
    </row>
    <row r="876">
      <c r="A876" s="126"/>
      <c r="B876" s="154"/>
      <c r="C876" s="146"/>
      <c r="D876" s="146"/>
      <c r="E876" s="146"/>
      <c r="F876" s="155"/>
      <c r="G876" s="146"/>
      <c r="H876" s="126"/>
      <c r="I876" s="132"/>
      <c r="J876" s="146"/>
      <c r="K876" s="126"/>
      <c r="L876" s="126"/>
      <c r="M876" s="134" t="str">
        <f t="shared" si="1"/>
        <v/>
      </c>
      <c r="N876" s="134" t="str">
        <f t="array" ref="N876">IF(M876="LOANED / ON KOL", INDEX('Step 3 FOC Request'!$G:$G, MATCH(1, ('Step 3 FOC Request'!$A:$A=W876) * ('Step 3 FOC Request'!$F:$F=E876), 0)), "-")</f>
        <v>-</v>
      </c>
      <c r="O876" s="126"/>
      <c r="P876" s="126"/>
      <c r="Q876" s="126"/>
      <c r="R876" s="126"/>
      <c r="U876" s="126"/>
      <c r="V876" s="126"/>
      <c r="W876" s="135">
        <f>MAXIFS('Step 3 FOC Request'!$A:$A, 'Step 3 FOC Request'!$F:$F, $E876)</f>
        <v>0</v>
      </c>
      <c r="X876" s="135">
        <f>MAXIFS('Step 4 FOC Return'!$A:$A, 'Step 4 FOC Return'!$E:$E, $E876)</f>
        <v>0</v>
      </c>
      <c r="Y876" s="126"/>
    </row>
    <row r="877">
      <c r="A877" s="126"/>
      <c r="B877" s="154"/>
      <c r="C877" s="146"/>
      <c r="D877" s="146"/>
      <c r="E877" s="146"/>
      <c r="F877" s="155"/>
      <c r="G877" s="146"/>
      <c r="H877" s="126"/>
      <c r="I877" s="132"/>
      <c r="J877" s="146"/>
      <c r="K877" s="126"/>
      <c r="L877" s="126"/>
      <c r="M877" s="134" t="str">
        <f t="shared" si="1"/>
        <v/>
      </c>
      <c r="N877" s="134" t="str">
        <f t="array" ref="N877">IF(M877="LOANED / ON KOL", INDEX('Step 3 FOC Request'!$G:$G, MATCH(1, ('Step 3 FOC Request'!$A:$A=W877) * ('Step 3 FOC Request'!$F:$F=E877), 0)), "-")</f>
        <v>-</v>
      </c>
      <c r="O877" s="126"/>
      <c r="P877" s="126"/>
      <c r="Q877" s="126"/>
      <c r="R877" s="126"/>
      <c r="U877" s="126"/>
      <c r="V877" s="126"/>
      <c r="W877" s="135">
        <f>MAXIFS('Step 3 FOC Request'!$A:$A, 'Step 3 FOC Request'!$F:$F, $E877)</f>
        <v>0</v>
      </c>
      <c r="X877" s="135">
        <f>MAXIFS('Step 4 FOC Return'!$A:$A, 'Step 4 FOC Return'!$E:$E, $E877)</f>
        <v>0</v>
      </c>
      <c r="Y877" s="126"/>
    </row>
    <row r="878">
      <c r="A878" s="126"/>
      <c r="B878" s="154"/>
      <c r="C878" s="146"/>
      <c r="D878" s="146"/>
      <c r="E878" s="146"/>
      <c r="F878" s="155"/>
      <c r="G878" s="146"/>
      <c r="H878" s="126"/>
      <c r="I878" s="132"/>
      <c r="J878" s="146"/>
      <c r="K878" s="126"/>
      <c r="L878" s="126"/>
      <c r="M878" s="134" t="str">
        <f t="shared" si="1"/>
        <v/>
      </c>
      <c r="N878" s="134" t="str">
        <f t="array" ref="N878">IF(M878="LOANED / ON KOL", INDEX('Step 3 FOC Request'!$G:$G, MATCH(1, ('Step 3 FOC Request'!$A:$A=W878) * ('Step 3 FOC Request'!$F:$F=E878), 0)), "-")</f>
        <v>-</v>
      </c>
      <c r="O878" s="126"/>
      <c r="P878" s="126"/>
      <c r="Q878" s="126"/>
      <c r="R878" s="126"/>
      <c r="U878" s="126"/>
      <c r="V878" s="126"/>
      <c r="W878" s="135">
        <f>MAXIFS('Step 3 FOC Request'!$A:$A, 'Step 3 FOC Request'!$F:$F, $E878)</f>
        <v>0</v>
      </c>
      <c r="X878" s="135">
        <f>MAXIFS('Step 4 FOC Return'!$A:$A, 'Step 4 FOC Return'!$E:$E, $E878)</f>
        <v>0</v>
      </c>
      <c r="Y878" s="126"/>
    </row>
    <row r="879">
      <c r="A879" s="126"/>
      <c r="B879" s="154"/>
      <c r="C879" s="146"/>
      <c r="D879" s="146"/>
      <c r="E879" s="146"/>
      <c r="F879" s="155"/>
      <c r="G879" s="146"/>
      <c r="H879" s="126"/>
      <c r="I879" s="132"/>
      <c r="J879" s="146"/>
      <c r="K879" s="126"/>
      <c r="L879" s="126"/>
      <c r="M879" s="134" t="str">
        <f t="shared" si="1"/>
        <v/>
      </c>
      <c r="N879" s="134" t="str">
        <f t="array" ref="N879">IF(M879="LOANED / ON KOL", INDEX('Step 3 FOC Request'!$G:$G, MATCH(1, ('Step 3 FOC Request'!$A:$A=W879) * ('Step 3 FOC Request'!$F:$F=E879), 0)), "-")</f>
        <v>-</v>
      </c>
      <c r="O879" s="126"/>
      <c r="P879" s="126"/>
      <c r="Q879" s="126"/>
      <c r="R879" s="126"/>
      <c r="U879" s="126"/>
      <c r="V879" s="126"/>
      <c r="W879" s="135">
        <f>MAXIFS('Step 3 FOC Request'!$A:$A, 'Step 3 FOC Request'!$F:$F, $E879)</f>
        <v>0</v>
      </c>
      <c r="X879" s="135">
        <f>MAXIFS('Step 4 FOC Return'!$A:$A, 'Step 4 FOC Return'!$E:$E, $E879)</f>
        <v>0</v>
      </c>
      <c r="Y879" s="126"/>
    </row>
    <row r="880">
      <c r="A880" s="126"/>
      <c r="B880" s="154"/>
      <c r="C880" s="146"/>
      <c r="D880" s="146"/>
      <c r="E880" s="146"/>
      <c r="F880" s="155"/>
      <c r="G880" s="146"/>
      <c r="H880" s="126"/>
      <c r="I880" s="132"/>
      <c r="J880" s="146"/>
      <c r="K880" s="126"/>
      <c r="L880" s="126"/>
      <c r="M880" s="134" t="str">
        <f t="shared" si="1"/>
        <v/>
      </c>
      <c r="N880" s="134" t="str">
        <f t="array" ref="N880">IF(M880="LOANED / ON KOL", INDEX('Step 3 FOC Request'!$G:$G, MATCH(1, ('Step 3 FOC Request'!$A:$A=W880) * ('Step 3 FOC Request'!$F:$F=E880), 0)), "-")</f>
        <v>-</v>
      </c>
      <c r="O880" s="126"/>
      <c r="P880" s="126"/>
      <c r="Q880" s="126"/>
      <c r="R880" s="126"/>
      <c r="U880" s="126"/>
      <c r="V880" s="126"/>
      <c r="W880" s="135">
        <f>MAXIFS('Step 3 FOC Request'!$A:$A, 'Step 3 FOC Request'!$F:$F, $E880)</f>
        <v>0</v>
      </c>
      <c r="X880" s="135">
        <f>MAXIFS('Step 4 FOC Return'!$A:$A, 'Step 4 FOC Return'!$E:$E, $E880)</f>
        <v>0</v>
      </c>
      <c r="Y880" s="126"/>
    </row>
    <row r="881">
      <c r="A881" s="126"/>
      <c r="B881" s="154"/>
      <c r="C881" s="146"/>
      <c r="D881" s="146"/>
      <c r="E881" s="146"/>
      <c r="F881" s="155"/>
      <c r="G881" s="146"/>
      <c r="H881" s="126"/>
      <c r="I881" s="132"/>
      <c r="J881" s="146"/>
      <c r="K881" s="126"/>
      <c r="L881" s="126"/>
      <c r="M881" s="134" t="str">
        <f t="shared" si="1"/>
        <v/>
      </c>
      <c r="N881" s="134" t="str">
        <f t="array" ref="N881">IF(M881="LOANED / ON KOL", INDEX('Step 3 FOC Request'!$G:$G, MATCH(1, ('Step 3 FOC Request'!$A:$A=W881) * ('Step 3 FOC Request'!$F:$F=E881), 0)), "-")</f>
        <v>-</v>
      </c>
      <c r="O881" s="126"/>
      <c r="P881" s="126"/>
      <c r="Q881" s="126"/>
      <c r="R881" s="126"/>
      <c r="U881" s="126"/>
      <c r="V881" s="126"/>
      <c r="W881" s="135">
        <f>MAXIFS('Step 3 FOC Request'!$A:$A, 'Step 3 FOC Request'!$F:$F, $E881)</f>
        <v>0</v>
      </c>
      <c r="X881" s="135">
        <f>MAXIFS('Step 4 FOC Return'!$A:$A, 'Step 4 FOC Return'!$E:$E, $E881)</f>
        <v>0</v>
      </c>
      <c r="Y881" s="126"/>
    </row>
    <row r="882">
      <c r="A882" s="126"/>
      <c r="B882" s="154"/>
      <c r="C882" s="146"/>
      <c r="D882" s="146"/>
      <c r="E882" s="146"/>
      <c r="F882" s="155"/>
      <c r="G882" s="146"/>
      <c r="H882" s="126"/>
      <c r="I882" s="132"/>
      <c r="J882" s="146"/>
      <c r="K882" s="126"/>
      <c r="L882" s="126"/>
      <c r="M882" s="134" t="str">
        <f t="shared" si="1"/>
        <v/>
      </c>
      <c r="N882" s="134" t="str">
        <f t="array" ref="N882">IF(M882="LOANED / ON KOL", INDEX('Step 3 FOC Request'!$G:$G, MATCH(1, ('Step 3 FOC Request'!$A:$A=W882) * ('Step 3 FOC Request'!$F:$F=E882), 0)), "-")</f>
        <v>-</v>
      </c>
      <c r="O882" s="126"/>
      <c r="P882" s="126"/>
      <c r="Q882" s="126"/>
      <c r="R882" s="126"/>
      <c r="U882" s="126"/>
      <c r="V882" s="126"/>
      <c r="W882" s="135">
        <f>MAXIFS('Step 3 FOC Request'!$A:$A, 'Step 3 FOC Request'!$F:$F, $E882)</f>
        <v>0</v>
      </c>
      <c r="X882" s="135">
        <f>MAXIFS('Step 4 FOC Return'!$A:$A, 'Step 4 FOC Return'!$E:$E, $E882)</f>
        <v>0</v>
      </c>
      <c r="Y882" s="126"/>
    </row>
    <row r="883">
      <c r="A883" s="126"/>
      <c r="B883" s="154"/>
      <c r="C883" s="146"/>
      <c r="D883" s="146"/>
      <c r="E883" s="146"/>
      <c r="F883" s="155"/>
      <c r="G883" s="146"/>
      <c r="H883" s="126"/>
      <c r="I883" s="132"/>
      <c r="J883" s="146"/>
      <c r="K883" s="126"/>
      <c r="L883" s="126"/>
      <c r="M883" s="134" t="str">
        <f t="shared" si="1"/>
        <v/>
      </c>
      <c r="N883" s="134" t="str">
        <f t="array" ref="N883">IF(M883="LOANED / ON KOL", INDEX('Step 3 FOC Request'!$G:$G, MATCH(1, ('Step 3 FOC Request'!$A:$A=W883) * ('Step 3 FOC Request'!$F:$F=E883), 0)), "-")</f>
        <v>-</v>
      </c>
      <c r="O883" s="126"/>
      <c r="P883" s="126"/>
      <c r="Q883" s="126"/>
      <c r="R883" s="126"/>
      <c r="U883" s="126"/>
      <c r="V883" s="126"/>
      <c r="W883" s="135">
        <f>MAXIFS('Step 3 FOC Request'!$A:$A, 'Step 3 FOC Request'!$F:$F, $E883)</f>
        <v>0</v>
      </c>
      <c r="X883" s="135">
        <f>MAXIFS('Step 4 FOC Return'!$A:$A, 'Step 4 FOC Return'!$E:$E, $E883)</f>
        <v>0</v>
      </c>
      <c r="Y883" s="126"/>
    </row>
    <row r="884">
      <c r="A884" s="126"/>
      <c r="B884" s="154"/>
      <c r="C884" s="146"/>
      <c r="D884" s="146"/>
      <c r="E884" s="146"/>
      <c r="F884" s="155"/>
      <c r="G884" s="146"/>
      <c r="H884" s="126"/>
      <c r="I884" s="132"/>
      <c r="J884" s="146"/>
      <c r="K884" s="126"/>
      <c r="L884" s="126"/>
      <c r="M884" s="134" t="str">
        <f t="shared" si="1"/>
        <v/>
      </c>
      <c r="N884" s="134" t="str">
        <f t="array" ref="N884">IF(M884="LOANED / ON KOL", INDEX('Step 3 FOC Request'!$G:$G, MATCH(1, ('Step 3 FOC Request'!$A:$A=W884) * ('Step 3 FOC Request'!$F:$F=E884), 0)), "-")</f>
        <v>-</v>
      </c>
      <c r="O884" s="126"/>
      <c r="P884" s="126"/>
      <c r="Q884" s="126"/>
      <c r="R884" s="126"/>
      <c r="U884" s="126"/>
      <c r="V884" s="126"/>
      <c r="W884" s="135">
        <f>MAXIFS('Step 3 FOC Request'!$A:$A, 'Step 3 FOC Request'!$F:$F, $E884)</f>
        <v>0</v>
      </c>
      <c r="X884" s="135">
        <f>MAXIFS('Step 4 FOC Return'!$A:$A, 'Step 4 FOC Return'!$E:$E, $E884)</f>
        <v>0</v>
      </c>
      <c r="Y884" s="126"/>
    </row>
    <row r="885">
      <c r="A885" s="126"/>
      <c r="B885" s="154"/>
      <c r="C885" s="146"/>
      <c r="D885" s="146"/>
      <c r="E885" s="146"/>
      <c r="F885" s="155"/>
      <c r="G885" s="146"/>
      <c r="H885" s="126"/>
      <c r="I885" s="132"/>
      <c r="J885" s="146"/>
      <c r="K885" s="126"/>
      <c r="L885" s="126"/>
      <c r="M885" s="134" t="str">
        <f t="shared" si="1"/>
        <v/>
      </c>
      <c r="N885" s="134" t="str">
        <f t="array" ref="N885">IF(M885="LOANED / ON KOL", INDEX('Step 3 FOC Request'!$G:$G, MATCH(1, ('Step 3 FOC Request'!$A:$A=W885) * ('Step 3 FOC Request'!$F:$F=E885), 0)), "-")</f>
        <v>-</v>
      </c>
      <c r="O885" s="126"/>
      <c r="P885" s="126"/>
      <c r="Q885" s="126"/>
      <c r="R885" s="126"/>
      <c r="U885" s="126"/>
      <c r="V885" s="126"/>
      <c r="W885" s="135">
        <f>MAXIFS('Step 3 FOC Request'!$A:$A, 'Step 3 FOC Request'!$F:$F, $E885)</f>
        <v>0</v>
      </c>
      <c r="X885" s="135">
        <f>MAXIFS('Step 4 FOC Return'!$A:$A, 'Step 4 FOC Return'!$E:$E, $E885)</f>
        <v>0</v>
      </c>
      <c r="Y885" s="126"/>
    </row>
    <row r="886">
      <c r="A886" s="126"/>
      <c r="B886" s="154"/>
      <c r="C886" s="146"/>
      <c r="D886" s="146"/>
      <c r="E886" s="146"/>
      <c r="F886" s="155"/>
      <c r="G886" s="146"/>
      <c r="H886" s="126"/>
      <c r="I886" s="132"/>
      <c r="J886" s="146"/>
      <c r="K886" s="126"/>
      <c r="L886" s="126"/>
      <c r="M886" s="134" t="str">
        <f t="shared" si="1"/>
        <v/>
      </c>
      <c r="N886" s="134" t="str">
        <f t="array" ref="N886">IF(M886="LOANED / ON KOL", INDEX('Step 3 FOC Request'!$G:$G, MATCH(1, ('Step 3 FOC Request'!$A:$A=W886) * ('Step 3 FOC Request'!$F:$F=E886), 0)), "-")</f>
        <v>-</v>
      </c>
      <c r="O886" s="126"/>
      <c r="P886" s="126"/>
      <c r="Q886" s="126"/>
      <c r="R886" s="126"/>
      <c r="U886" s="126"/>
      <c r="V886" s="126"/>
      <c r="W886" s="135">
        <f>MAXIFS('Step 3 FOC Request'!$A:$A, 'Step 3 FOC Request'!$F:$F, $E886)</f>
        <v>0</v>
      </c>
      <c r="X886" s="135">
        <f>MAXIFS('Step 4 FOC Return'!$A:$A, 'Step 4 FOC Return'!$E:$E, $E886)</f>
        <v>0</v>
      </c>
      <c r="Y886" s="126"/>
    </row>
    <row r="887">
      <c r="A887" s="126"/>
      <c r="B887" s="154"/>
      <c r="C887" s="146"/>
      <c r="D887" s="146"/>
      <c r="E887" s="146"/>
      <c r="F887" s="155"/>
      <c r="G887" s="146"/>
      <c r="H887" s="126"/>
      <c r="I887" s="132"/>
      <c r="J887" s="146"/>
      <c r="K887" s="126"/>
      <c r="L887" s="126"/>
      <c r="M887" s="134" t="str">
        <f t="shared" si="1"/>
        <v/>
      </c>
      <c r="N887" s="134" t="str">
        <f t="array" ref="N887">IF(M887="LOANED / ON KOL", INDEX('Step 3 FOC Request'!$G:$G, MATCH(1, ('Step 3 FOC Request'!$A:$A=W887) * ('Step 3 FOC Request'!$F:$F=E887), 0)), "-")</f>
        <v>-</v>
      </c>
      <c r="O887" s="126"/>
      <c r="P887" s="126"/>
      <c r="Q887" s="126"/>
      <c r="R887" s="126"/>
      <c r="U887" s="126"/>
      <c r="V887" s="126"/>
      <c r="W887" s="135">
        <f>MAXIFS('Step 3 FOC Request'!$A:$A, 'Step 3 FOC Request'!$F:$F, $E887)</f>
        <v>0</v>
      </c>
      <c r="X887" s="135">
        <f>MAXIFS('Step 4 FOC Return'!$A:$A, 'Step 4 FOC Return'!$E:$E, $E887)</f>
        <v>0</v>
      </c>
      <c r="Y887" s="126"/>
    </row>
    <row r="888">
      <c r="A888" s="126"/>
      <c r="B888" s="154"/>
      <c r="C888" s="146"/>
      <c r="D888" s="146"/>
      <c r="E888" s="146"/>
      <c r="F888" s="155"/>
      <c r="G888" s="146"/>
      <c r="H888" s="126"/>
      <c r="I888" s="132"/>
      <c r="J888" s="146"/>
      <c r="K888" s="126"/>
      <c r="L888" s="126"/>
      <c r="M888" s="134" t="str">
        <f t="shared" si="1"/>
        <v/>
      </c>
      <c r="N888" s="134" t="str">
        <f t="array" ref="N888">IF(M888="LOANED / ON KOL", INDEX('Step 3 FOC Request'!$G:$G, MATCH(1, ('Step 3 FOC Request'!$A:$A=W888) * ('Step 3 FOC Request'!$F:$F=E888), 0)), "-")</f>
        <v>-</v>
      </c>
      <c r="O888" s="126"/>
      <c r="P888" s="126"/>
      <c r="Q888" s="126"/>
      <c r="R888" s="126"/>
      <c r="U888" s="126"/>
      <c r="V888" s="126"/>
      <c r="W888" s="135">
        <f>MAXIFS('Step 3 FOC Request'!$A:$A, 'Step 3 FOC Request'!$F:$F, $E888)</f>
        <v>0</v>
      </c>
      <c r="X888" s="135">
        <f>MAXIFS('Step 4 FOC Return'!$A:$A, 'Step 4 FOC Return'!$E:$E, $E888)</f>
        <v>0</v>
      </c>
      <c r="Y888" s="126"/>
    </row>
    <row r="889">
      <c r="A889" s="126"/>
      <c r="B889" s="154"/>
      <c r="C889" s="146"/>
      <c r="D889" s="146"/>
      <c r="E889" s="146"/>
      <c r="F889" s="155"/>
      <c r="G889" s="146"/>
      <c r="H889" s="126"/>
      <c r="I889" s="132"/>
      <c r="J889" s="146"/>
      <c r="K889" s="126"/>
      <c r="L889" s="126"/>
      <c r="M889" s="134" t="str">
        <f t="shared" si="1"/>
        <v/>
      </c>
      <c r="N889" s="134" t="str">
        <f t="array" ref="N889">IF(M889="LOANED / ON KOL", INDEX('Step 3 FOC Request'!$G:$G, MATCH(1, ('Step 3 FOC Request'!$A:$A=W889) * ('Step 3 FOC Request'!$F:$F=E889), 0)), "-")</f>
        <v>-</v>
      </c>
      <c r="O889" s="126"/>
      <c r="P889" s="126"/>
      <c r="Q889" s="126"/>
      <c r="R889" s="126"/>
      <c r="U889" s="126"/>
      <c r="V889" s="126"/>
      <c r="W889" s="135">
        <f>MAXIFS('Step 3 FOC Request'!$A:$A, 'Step 3 FOC Request'!$F:$F, $E889)</f>
        <v>0</v>
      </c>
      <c r="X889" s="135">
        <f>MAXIFS('Step 4 FOC Return'!$A:$A, 'Step 4 FOC Return'!$E:$E, $E889)</f>
        <v>0</v>
      </c>
      <c r="Y889" s="126"/>
    </row>
    <row r="890">
      <c r="A890" s="126"/>
      <c r="B890" s="154"/>
      <c r="C890" s="146"/>
      <c r="D890" s="146"/>
      <c r="E890" s="146"/>
      <c r="F890" s="155"/>
      <c r="G890" s="146"/>
      <c r="H890" s="126"/>
      <c r="I890" s="132"/>
      <c r="J890" s="146"/>
      <c r="K890" s="126"/>
      <c r="L890" s="126"/>
      <c r="M890" s="134" t="str">
        <f t="shared" si="1"/>
        <v/>
      </c>
      <c r="N890" s="134" t="str">
        <f t="array" ref="N890">IF(M890="LOANED / ON KOL", INDEX('Step 3 FOC Request'!$G:$G, MATCH(1, ('Step 3 FOC Request'!$A:$A=W890) * ('Step 3 FOC Request'!$F:$F=E890), 0)), "-")</f>
        <v>-</v>
      </c>
      <c r="O890" s="126"/>
      <c r="P890" s="126"/>
      <c r="Q890" s="126"/>
      <c r="R890" s="126"/>
      <c r="U890" s="126"/>
      <c r="V890" s="126"/>
      <c r="W890" s="135">
        <f>MAXIFS('Step 3 FOC Request'!$A:$A, 'Step 3 FOC Request'!$F:$F, $E890)</f>
        <v>0</v>
      </c>
      <c r="X890" s="135">
        <f>MAXIFS('Step 4 FOC Return'!$A:$A, 'Step 4 FOC Return'!$E:$E, $E890)</f>
        <v>0</v>
      </c>
      <c r="Y890" s="126"/>
    </row>
    <row r="891">
      <c r="A891" s="126"/>
      <c r="B891" s="154"/>
      <c r="C891" s="146"/>
      <c r="D891" s="146"/>
      <c r="E891" s="146"/>
      <c r="F891" s="155"/>
      <c r="G891" s="146"/>
      <c r="H891" s="126"/>
      <c r="I891" s="132"/>
      <c r="J891" s="146"/>
      <c r="K891" s="126"/>
      <c r="L891" s="126"/>
      <c r="M891" s="134" t="str">
        <f t="shared" si="1"/>
        <v/>
      </c>
      <c r="N891" s="134" t="str">
        <f t="array" ref="N891">IF(M891="LOANED / ON KOL", INDEX('Step 3 FOC Request'!$G:$G, MATCH(1, ('Step 3 FOC Request'!$A:$A=W891) * ('Step 3 FOC Request'!$F:$F=E891), 0)), "-")</f>
        <v>-</v>
      </c>
      <c r="O891" s="126"/>
      <c r="P891" s="126"/>
      <c r="Q891" s="126"/>
      <c r="R891" s="126"/>
      <c r="U891" s="126"/>
      <c r="V891" s="126"/>
      <c r="W891" s="135">
        <f>MAXIFS('Step 3 FOC Request'!$A:$A, 'Step 3 FOC Request'!$F:$F, $E891)</f>
        <v>0</v>
      </c>
      <c r="X891" s="135">
        <f>MAXIFS('Step 4 FOC Return'!$A:$A, 'Step 4 FOC Return'!$E:$E, $E891)</f>
        <v>0</v>
      </c>
      <c r="Y891" s="126"/>
    </row>
    <row r="892">
      <c r="A892" s="126"/>
      <c r="B892" s="154"/>
      <c r="C892" s="146"/>
      <c r="D892" s="146"/>
      <c r="E892" s="146"/>
      <c r="F892" s="155"/>
      <c r="G892" s="146"/>
      <c r="H892" s="126"/>
      <c r="I892" s="132"/>
      <c r="J892" s="146"/>
      <c r="K892" s="126"/>
      <c r="L892" s="126"/>
      <c r="M892" s="134" t="str">
        <f t="shared" si="1"/>
        <v/>
      </c>
      <c r="N892" s="134" t="str">
        <f t="array" ref="N892">IF(M892="LOANED / ON KOL", INDEX('Step 3 FOC Request'!$G:$G, MATCH(1, ('Step 3 FOC Request'!$A:$A=W892) * ('Step 3 FOC Request'!$F:$F=E892), 0)), "-")</f>
        <v>-</v>
      </c>
      <c r="O892" s="126"/>
      <c r="P892" s="126"/>
      <c r="Q892" s="126"/>
      <c r="R892" s="126"/>
      <c r="U892" s="126"/>
      <c r="V892" s="126"/>
      <c r="W892" s="135">
        <f>MAXIFS('Step 3 FOC Request'!$A:$A, 'Step 3 FOC Request'!$F:$F, $E892)</f>
        <v>0</v>
      </c>
      <c r="X892" s="135">
        <f>MAXIFS('Step 4 FOC Return'!$A:$A, 'Step 4 FOC Return'!$E:$E, $E892)</f>
        <v>0</v>
      </c>
      <c r="Y892" s="126"/>
    </row>
    <row r="893">
      <c r="A893" s="126"/>
      <c r="B893" s="154"/>
      <c r="C893" s="146"/>
      <c r="D893" s="146"/>
      <c r="E893" s="146"/>
      <c r="F893" s="155"/>
      <c r="G893" s="146"/>
      <c r="H893" s="126"/>
      <c r="I893" s="132"/>
      <c r="J893" s="146"/>
      <c r="K893" s="126"/>
      <c r="L893" s="126"/>
      <c r="M893" s="134" t="str">
        <f t="shared" si="1"/>
        <v/>
      </c>
      <c r="N893" s="134" t="str">
        <f t="array" ref="N893">IF(M893="LOANED / ON KOL", INDEX('Step 3 FOC Request'!$G:$G, MATCH(1, ('Step 3 FOC Request'!$A:$A=W893) * ('Step 3 FOC Request'!$F:$F=E893), 0)), "-")</f>
        <v>-</v>
      </c>
      <c r="O893" s="126"/>
      <c r="P893" s="126"/>
      <c r="Q893" s="126"/>
      <c r="R893" s="126"/>
      <c r="U893" s="126"/>
      <c r="V893" s="126"/>
      <c r="W893" s="135">
        <f>MAXIFS('Step 3 FOC Request'!$A:$A, 'Step 3 FOC Request'!$F:$F, $E893)</f>
        <v>0</v>
      </c>
      <c r="X893" s="135">
        <f>MAXIFS('Step 4 FOC Return'!$A:$A, 'Step 4 FOC Return'!$E:$E, $E893)</f>
        <v>0</v>
      </c>
      <c r="Y893" s="126"/>
    </row>
    <row r="894">
      <c r="A894" s="126"/>
      <c r="B894" s="154"/>
      <c r="C894" s="146"/>
      <c r="D894" s="146"/>
      <c r="E894" s="146"/>
      <c r="F894" s="155"/>
      <c r="G894" s="146"/>
      <c r="H894" s="126"/>
      <c r="I894" s="132"/>
      <c r="J894" s="146"/>
      <c r="K894" s="126"/>
      <c r="L894" s="126"/>
      <c r="M894" s="134" t="str">
        <f t="shared" si="1"/>
        <v/>
      </c>
      <c r="N894" s="134" t="str">
        <f t="array" ref="N894">IF(M894="LOANED / ON KOL", INDEX('Step 3 FOC Request'!$G:$G, MATCH(1, ('Step 3 FOC Request'!$A:$A=W894) * ('Step 3 FOC Request'!$F:$F=E894), 0)), "-")</f>
        <v>-</v>
      </c>
      <c r="O894" s="126"/>
      <c r="P894" s="126"/>
      <c r="Q894" s="126"/>
      <c r="R894" s="126"/>
      <c r="U894" s="126"/>
      <c r="V894" s="126"/>
      <c r="W894" s="135">
        <f>MAXIFS('Step 3 FOC Request'!$A:$A, 'Step 3 FOC Request'!$F:$F, $E894)</f>
        <v>0</v>
      </c>
      <c r="X894" s="135">
        <f>MAXIFS('Step 4 FOC Return'!$A:$A, 'Step 4 FOC Return'!$E:$E, $E894)</f>
        <v>0</v>
      </c>
      <c r="Y894" s="126"/>
    </row>
    <row r="895">
      <c r="A895" s="126"/>
      <c r="B895" s="154"/>
      <c r="C895" s="146"/>
      <c r="D895" s="146"/>
      <c r="E895" s="146"/>
      <c r="F895" s="155"/>
      <c r="G895" s="146"/>
      <c r="H895" s="126"/>
      <c r="I895" s="132"/>
      <c r="J895" s="146"/>
      <c r="K895" s="126"/>
      <c r="L895" s="126"/>
      <c r="M895" s="134" t="str">
        <f t="shared" si="1"/>
        <v/>
      </c>
      <c r="N895" s="134" t="str">
        <f t="array" ref="N895">IF(M895="LOANED / ON KOL", INDEX('Step 3 FOC Request'!$G:$G, MATCH(1, ('Step 3 FOC Request'!$A:$A=W895) * ('Step 3 FOC Request'!$F:$F=E895), 0)), "-")</f>
        <v>-</v>
      </c>
      <c r="O895" s="126"/>
      <c r="P895" s="126"/>
      <c r="Q895" s="126"/>
      <c r="R895" s="126"/>
      <c r="U895" s="126"/>
      <c r="V895" s="126"/>
      <c r="W895" s="135">
        <f>MAXIFS('Step 3 FOC Request'!$A:$A, 'Step 3 FOC Request'!$F:$F, $E895)</f>
        <v>0</v>
      </c>
      <c r="X895" s="135">
        <f>MAXIFS('Step 4 FOC Return'!$A:$A, 'Step 4 FOC Return'!$E:$E, $E895)</f>
        <v>0</v>
      </c>
      <c r="Y895" s="126"/>
    </row>
    <row r="896">
      <c r="A896" s="126"/>
      <c r="B896" s="154"/>
      <c r="C896" s="146"/>
      <c r="D896" s="146"/>
      <c r="E896" s="146"/>
      <c r="F896" s="155"/>
      <c r="G896" s="146"/>
      <c r="H896" s="126"/>
      <c r="I896" s="132"/>
      <c r="J896" s="146"/>
      <c r="K896" s="126"/>
      <c r="L896" s="126"/>
      <c r="M896" s="134" t="str">
        <f t="shared" si="1"/>
        <v/>
      </c>
      <c r="N896" s="134" t="str">
        <f t="array" ref="N896">IF(M896="LOANED / ON KOL", INDEX('Step 3 FOC Request'!$G:$G, MATCH(1, ('Step 3 FOC Request'!$A:$A=W896) * ('Step 3 FOC Request'!$F:$F=E896), 0)), "-")</f>
        <v>-</v>
      </c>
      <c r="O896" s="126"/>
      <c r="P896" s="126"/>
      <c r="Q896" s="126"/>
      <c r="R896" s="126"/>
      <c r="U896" s="126"/>
      <c r="V896" s="126"/>
      <c r="W896" s="135">
        <f>MAXIFS('Step 3 FOC Request'!$A:$A, 'Step 3 FOC Request'!$F:$F, $E896)</f>
        <v>0</v>
      </c>
      <c r="X896" s="135">
        <f>MAXIFS('Step 4 FOC Return'!$A:$A, 'Step 4 FOC Return'!$E:$E, $E896)</f>
        <v>0</v>
      </c>
      <c r="Y896" s="126"/>
    </row>
    <row r="897">
      <c r="A897" s="126"/>
      <c r="B897" s="154"/>
      <c r="C897" s="146"/>
      <c r="D897" s="146"/>
      <c r="E897" s="146"/>
      <c r="F897" s="155"/>
      <c r="G897" s="146"/>
      <c r="H897" s="126"/>
      <c r="I897" s="132"/>
      <c r="J897" s="146"/>
      <c r="K897" s="126"/>
      <c r="L897" s="126"/>
      <c r="M897" s="134" t="str">
        <f t="shared" si="1"/>
        <v/>
      </c>
      <c r="N897" s="134" t="str">
        <f t="array" ref="N897">IF(M897="LOANED / ON KOL", INDEX('Step 3 FOC Request'!$G:$G, MATCH(1, ('Step 3 FOC Request'!$A:$A=W897) * ('Step 3 FOC Request'!$F:$F=E897), 0)), "-")</f>
        <v>-</v>
      </c>
      <c r="O897" s="126"/>
      <c r="P897" s="126"/>
      <c r="Q897" s="126"/>
      <c r="R897" s="126"/>
      <c r="U897" s="126"/>
      <c r="V897" s="126"/>
      <c r="W897" s="135">
        <f>MAXIFS('Step 3 FOC Request'!$A:$A, 'Step 3 FOC Request'!$F:$F, $E897)</f>
        <v>0</v>
      </c>
      <c r="X897" s="135">
        <f>MAXIFS('Step 4 FOC Return'!$A:$A, 'Step 4 FOC Return'!$E:$E, $E897)</f>
        <v>0</v>
      </c>
      <c r="Y897" s="126"/>
    </row>
    <row r="898">
      <c r="A898" s="126"/>
      <c r="B898" s="154"/>
      <c r="C898" s="146"/>
      <c r="D898" s="146"/>
      <c r="E898" s="146"/>
      <c r="F898" s="155"/>
      <c r="G898" s="146"/>
      <c r="H898" s="126"/>
      <c r="I898" s="132"/>
      <c r="J898" s="146"/>
      <c r="K898" s="126"/>
      <c r="L898" s="126"/>
      <c r="M898" s="134" t="str">
        <f t="shared" si="1"/>
        <v/>
      </c>
      <c r="N898" s="134" t="str">
        <f t="array" ref="N898">IF(M898="LOANED / ON KOL", INDEX('Step 3 FOC Request'!$G:$G, MATCH(1, ('Step 3 FOC Request'!$A:$A=W898) * ('Step 3 FOC Request'!$F:$F=E898), 0)), "-")</f>
        <v>-</v>
      </c>
      <c r="O898" s="126"/>
      <c r="P898" s="126"/>
      <c r="Q898" s="126"/>
      <c r="R898" s="126"/>
      <c r="U898" s="126"/>
      <c r="V898" s="126"/>
      <c r="W898" s="135">
        <f>MAXIFS('Step 3 FOC Request'!$A:$A, 'Step 3 FOC Request'!$F:$F, $E898)</f>
        <v>0</v>
      </c>
      <c r="X898" s="135">
        <f>MAXIFS('Step 4 FOC Return'!$A:$A, 'Step 4 FOC Return'!$E:$E, $E898)</f>
        <v>0</v>
      </c>
      <c r="Y898" s="126"/>
    </row>
    <row r="899">
      <c r="A899" s="126"/>
      <c r="B899" s="154"/>
      <c r="C899" s="146"/>
      <c r="D899" s="146"/>
      <c r="E899" s="146"/>
      <c r="F899" s="155"/>
      <c r="G899" s="146"/>
      <c r="H899" s="126"/>
      <c r="I899" s="132"/>
      <c r="J899" s="146"/>
      <c r="K899" s="126"/>
      <c r="L899" s="126"/>
      <c r="M899" s="134" t="str">
        <f t="shared" si="1"/>
        <v/>
      </c>
      <c r="N899" s="134" t="str">
        <f t="array" ref="N899">IF(M899="LOANED / ON KOL", INDEX('Step 3 FOC Request'!$G:$G, MATCH(1, ('Step 3 FOC Request'!$A:$A=W899) * ('Step 3 FOC Request'!$F:$F=E899), 0)), "-")</f>
        <v>-</v>
      </c>
      <c r="O899" s="126"/>
      <c r="P899" s="126"/>
      <c r="Q899" s="126"/>
      <c r="R899" s="126"/>
      <c r="U899" s="126"/>
      <c r="V899" s="126"/>
      <c r="W899" s="135">
        <f>MAXIFS('Step 3 FOC Request'!$A:$A, 'Step 3 FOC Request'!$F:$F, $E899)</f>
        <v>0</v>
      </c>
      <c r="X899" s="135">
        <f>MAXIFS('Step 4 FOC Return'!$A:$A, 'Step 4 FOC Return'!$E:$E, $E899)</f>
        <v>0</v>
      </c>
      <c r="Y899" s="126"/>
    </row>
    <row r="900">
      <c r="A900" s="126"/>
      <c r="B900" s="154"/>
      <c r="C900" s="146"/>
      <c r="D900" s="146"/>
      <c r="E900" s="146"/>
      <c r="F900" s="155"/>
      <c r="G900" s="146"/>
      <c r="H900" s="126"/>
      <c r="I900" s="132"/>
      <c r="J900" s="146"/>
      <c r="K900" s="126"/>
      <c r="L900" s="126"/>
      <c r="M900" s="134" t="str">
        <f t="shared" si="1"/>
        <v/>
      </c>
      <c r="N900" s="134" t="str">
        <f t="array" ref="N900">IF(M900="LOANED / ON KOL", INDEX('Step 3 FOC Request'!$G:$G, MATCH(1, ('Step 3 FOC Request'!$A:$A=W900) * ('Step 3 FOC Request'!$F:$F=E900), 0)), "-")</f>
        <v>-</v>
      </c>
      <c r="O900" s="126"/>
      <c r="P900" s="126"/>
      <c r="Q900" s="126"/>
      <c r="R900" s="126"/>
      <c r="U900" s="126"/>
      <c r="V900" s="126"/>
      <c r="W900" s="135">
        <f>MAXIFS('Step 3 FOC Request'!$A:$A, 'Step 3 FOC Request'!$F:$F, $E900)</f>
        <v>0</v>
      </c>
      <c r="X900" s="135">
        <f>MAXIFS('Step 4 FOC Return'!$A:$A, 'Step 4 FOC Return'!$E:$E, $E900)</f>
        <v>0</v>
      </c>
      <c r="Y900" s="126"/>
    </row>
    <row r="901">
      <c r="A901" s="126"/>
      <c r="B901" s="154"/>
      <c r="C901" s="146"/>
      <c r="D901" s="146"/>
      <c r="E901" s="146"/>
      <c r="F901" s="155"/>
      <c r="G901" s="146"/>
      <c r="H901" s="126"/>
      <c r="I901" s="132"/>
      <c r="J901" s="146"/>
      <c r="K901" s="126"/>
      <c r="L901" s="126"/>
      <c r="M901" s="134" t="str">
        <f t="shared" si="1"/>
        <v/>
      </c>
      <c r="N901" s="134" t="str">
        <f t="array" ref="N901">IF(M901="LOANED / ON KOL", INDEX('Step 3 FOC Request'!$G:$G, MATCH(1, ('Step 3 FOC Request'!$A:$A=W901) * ('Step 3 FOC Request'!$F:$F=E901), 0)), "-")</f>
        <v>-</v>
      </c>
      <c r="O901" s="126"/>
      <c r="P901" s="126"/>
      <c r="Q901" s="126"/>
      <c r="R901" s="126"/>
      <c r="U901" s="126"/>
      <c r="V901" s="126"/>
      <c r="W901" s="135">
        <f>MAXIFS('Step 3 FOC Request'!$A:$A, 'Step 3 FOC Request'!$F:$F, $E901)</f>
        <v>0</v>
      </c>
      <c r="X901" s="135">
        <f>MAXIFS('Step 4 FOC Return'!$A:$A, 'Step 4 FOC Return'!$E:$E, $E901)</f>
        <v>0</v>
      </c>
      <c r="Y901" s="126"/>
    </row>
    <row r="902">
      <c r="A902" s="126"/>
      <c r="B902" s="154"/>
      <c r="C902" s="146"/>
      <c r="D902" s="146"/>
      <c r="E902" s="146"/>
      <c r="F902" s="155"/>
      <c r="G902" s="146"/>
      <c r="H902" s="126"/>
      <c r="I902" s="132"/>
      <c r="J902" s="146"/>
      <c r="K902" s="126"/>
      <c r="L902" s="126"/>
      <c r="M902" s="134" t="str">
        <f t="shared" si="1"/>
        <v/>
      </c>
      <c r="N902" s="134" t="str">
        <f t="array" ref="N902">IF(M902="LOANED / ON KOL", INDEX('Step 3 FOC Request'!$G:$G, MATCH(1, ('Step 3 FOC Request'!$A:$A=W902) * ('Step 3 FOC Request'!$F:$F=E902), 0)), "-")</f>
        <v>-</v>
      </c>
      <c r="O902" s="126"/>
      <c r="P902" s="126"/>
      <c r="Q902" s="126"/>
      <c r="R902" s="126"/>
      <c r="U902" s="126"/>
      <c r="V902" s="126"/>
      <c r="W902" s="135">
        <f>MAXIFS('Step 3 FOC Request'!$A:$A, 'Step 3 FOC Request'!$F:$F, $E902)</f>
        <v>0</v>
      </c>
      <c r="X902" s="135">
        <f>MAXIFS('Step 4 FOC Return'!$A:$A, 'Step 4 FOC Return'!$E:$E, $E902)</f>
        <v>0</v>
      </c>
      <c r="Y902" s="126"/>
    </row>
    <row r="903">
      <c r="A903" s="126"/>
      <c r="B903" s="154"/>
      <c r="C903" s="146"/>
      <c r="D903" s="146"/>
      <c r="E903" s="146"/>
      <c r="F903" s="155"/>
      <c r="G903" s="146"/>
      <c r="H903" s="126"/>
      <c r="I903" s="132"/>
      <c r="J903" s="146"/>
      <c r="K903" s="126"/>
      <c r="L903" s="126"/>
      <c r="M903" s="134" t="str">
        <f t="shared" si="1"/>
        <v/>
      </c>
      <c r="N903" s="134" t="str">
        <f t="array" ref="N903">IF(M903="LOANED / ON KOL", INDEX('Step 3 FOC Request'!$G:$G, MATCH(1, ('Step 3 FOC Request'!$A:$A=W903) * ('Step 3 FOC Request'!$F:$F=E903), 0)), "-")</f>
        <v>-</v>
      </c>
      <c r="O903" s="126"/>
      <c r="P903" s="126"/>
      <c r="Q903" s="126"/>
      <c r="R903" s="126"/>
      <c r="U903" s="126"/>
      <c r="V903" s="126"/>
      <c r="W903" s="135">
        <f>MAXIFS('Step 3 FOC Request'!$A:$A, 'Step 3 FOC Request'!$F:$F, $E903)</f>
        <v>0</v>
      </c>
      <c r="X903" s="135">
        <f>MAXIFS('Step 4 FOC Return'!$A:$A, 'Step 4 FOC Return'!$E:$E, $E903)</f>
        <v>0</v>
      </c>
      <c r="Y903" s="126"/>
    </row>
    <row r="904">
      <c r="A904" s="126"/>
      <c r="B904" s="154"/>
      <c r="C904" s="146"/>
      <c r="D904" s="146"/>
      <c r="E904" s="146"/>
      <c r="F904" s="155"/>
      <c r="G904" s="146"/>
      <c r="H904" s="126"/>
      <c r="I904" s="132"/>
      <c r="J904" s="146"/>
      <c r="K904" s="126"/>
      <c r="L904" s="126"/>
      <c r="M904" s="134" t="str">
        <f t="shared" si="1"/>
        <v/>
      </c>
      <c r="N904" s="134" t="str">
        <f t="array" ref="N904">IF(M904="LOANED / ON KOL", INDEX('Step 3 FOC Request'!$G:$G, MATCH(1, ('Step 3 FOC Request'!$A:$A=W904) * ('Step 3 FOC Request'!$F:$F=E904), 0)), "-")</f>
        <v>-</v>
      </c>
      <c r="O904" s="126"/>
      <c r="P904" s="126"/>
      <c r="Q904" s="126"/>
      <c r="R904" s="126"/>
      <c r="U904" s="126"/>
      <c r="V904" s="126"/>
      <c r="W904" s="135">
        <f>MAXIFS('Step 3 FOC Request'!$A:$A, 'Step 3 FOC Request'!$F:$F, $E904)</f>
        <v>0</v>
      </c>
      <c r="X904" s="135">
        <f>MAXIFS('Step 4 FOC Return'!$A:$A, 'Step 4 FOC Return'!$E:$E, $E904)</f>
        <v>0</v>
      </c>
      <c r="Y904" s="126"/>
    </row>
    <row r="905">
      <c r="A905" s="126"/>
      <c r="B905" s="154"/>
      <c r="C905" s="146"/>
      <c r="D905" s="146"/>
      <c r="E905" s="146"/>
      <c r="F905" s="155"/>
      <c r="G905" s="146"/>
      <c r="H905" s="126"/>
      <c r="I905" s="132"/>
      <c r="J905" s="146"/>
      <c r="K905" s="126"/>
      <c r="L905" s="126"/>
      <c r="M905" s="134" t="str">
        <f t="shared" si="1"/>
        <v/>
      </c>
      <c r="N905" s="134" t="str">
        <f t="array" ref="N905">IF(M905="LOANED / ON KOL", INDEX('Step 3 FOC Request'!$G:$G, MATCH(1, ('Step 3 FOC Request'!$A:$A=W905) * ('Step 3 FOC Request'!$F:$F=E905), 0)), "-")</f>
        <v>-</v>
      </c>
      <c r="O905" s="126"/>
      <c r="P905" s="126"/>
      <c r="Q905" s="126"/>
      <c r="R905" s="126"/>
      <c r="U905" s="126"/>
      <c r="V905" s="126"/>
      <c r="W905" s="135">
        <f>MAXIFS('Step 3 FOC Request'!$A:$A, 'Step 3 FOC Request'!$F:$F, $E905)</f>
        <v>0</v>
      </c>
      <c r="X905" s="135">
        <f>MAXIFS('Step 4 FOC Return'!$A:$A, 'Step 4 FOC Return'!$E:$E, $E905)</f>
        <v>0</v>
      </c>
      <c r="Y905" s="126"/>
    </row>
    <row r="906">
      <c r="A906" s="126"/>
      <c r="B906" s="154"/>
      <c r="C906" s="146"/>
      <c r="D906" s="146"/>
      <c r="E906" s="146"/>
      <c r="F906" s="155"/>
      <c r="G906" s="146"/>
      <c r="H906" s="126"/>
      <c r="I906" s="132"/>
      <c r="J906" s="146"/>
      <c r="K906" s="126"/>
      <c r="L906" s="126"/>
      <c r="M906" s="134" t="str">
        <f t="shared" si="1"/>
        <v/>
      </c>
      <c r="N906" s="134" t="str">
        <f t="array" ref="N906">IF(M906="LOANED / ON KOL", INDEX('Step 3 FOC Request'!$G:$G, MATCH(1, ('Step 3 FOC Request'!$A:$A=W906) * ('Step 3 FOC Request'!$F:$F=E906), 0)), "-")</f>
        <v>-</v>
      </c>
      <c r="O906" s="126"/>
      <c r="P906" s="126"/>
      <c r="Q906" s="126"/>
      <c r="R906" s="126"/>
      <c r="U906" s="126"/>
      <c r="V906" s="126"/>
      <c r="W906" s="135">
        <f>MAXIFS('Step 3 FOC Request'!$A:$A, 'Step 3 FOC Request'!$F:$F, $E906)</f>
        <v>0</v>
      </c>
      <c r="X906" s="135">
        <f>MAXIFS('Step 4 FOC Return'!$A:$A, 'Step 4 FOC Return'!$E:$E, $E906)</f>
        <v>0</v>
      </c>
      <c r="Y906" s="126"/>
    </row>
    <row r="907">
      <c r="A907" s="126"/>
      <c r="B907" s="154"/>
      <c r="C907" s="146"/>
      <c r="D907" s="146"/>
      <c r="E907" s="146"/>
      <c r="F907" s="155"/>
      <c r="G907" s="146"/>
      <c r="H907" s="126"/>
      <c r="I907" s="132"/>
      <c r="J907" s="146"/>
      <c r="K907" s="126"/>
      <c r="L907" s="126"/>
      <c r="M907" s="134" t="str">
        <f t="shared" si="1"/>
        <v/>
      </c>
      <c r="N907" s="134" t="str">
        <f t="array" ref="N907">IF(M907="LOANED / ON KOL", INDEX('Step 3 FOC Request'!$G:$G, MATCH(1, ('Step 3 FOC Request'!$A:$A=W907) * ('Step 3 FOC Request'!$F:$F=E907), 0)), "-")</f>
        <v>-</v>
      </c>
      <c r="O907" s="126"/>
      <c r="P907" s="126"/>
      <c r="Q907" s="126"/>
      <c r="R907" s="126"/>
      <c r="U907" s="126"/>
      <c r="V907" s="126"/>
      <c r="W907" s="135">
        <f>MAXIFS('Step 3 FOC Request'!$A:$A, 'Step 3 FOC Request'!$F:$F, $E907)</f>
        <v>0</v>
      </c>
      <c r="X907" s="135">
        <f>MAXIFS('Step 4 FOC Return'!$A:$A, 'Step 4 FOC Return'!$E:$E, $E907)</f>
        <v>0</v>
      </c>
      <c r="Y907" s="126"/>
    </row>
    <row r="908">
      <c r="A908" s="126"/>
      <c r="B908" s="154"/>
      <c r="C908" s="146"/>
      <c r="D908" s="146"/>
      <c r="E908" s="146"/>
      <c r="F908" s="155"/>
      <c r="G908" s="146"/>
      <c r="H908" s="126"/>
      <c r="I908" s="132"/>
      <c r="J908" s="146"/>
      <c r="K908" s="126"/>
      <c r="L908" s="126"/>
      <c r="M908" s="134" t="str">
        <f t="shared" si="1"/>
        <v/>
      </c>
      <c r="N908" s="134" t="str">
        <f t="array" ref="N908">IF(M908="LOANED / ON KOL", INDEX('Step 3 FOC Request'!$G:$G, MATCH(1, ('Step 3 FOC Request'!$A:$A=W908) * ('Step 3 FOC Request'!$F:$F=E908), 0)), "-")</f>
        <v>-</v>
      </c>
      <c r="O908" s="126"/>
      <c r="P908" s="126"/>
      <c r="Q908" s="126"/>
      <c r="R908" s="126"/>
      <c r="U908" s="126"/>
      <c r="V908" s="126"/>
      <c r="W908" s="135">
        <f>MAXIFS('Step 3 FOC Request'!$A:$A, 'Step 3 FOC Request'!$F:$F, $E908)</f>
        <v>0</v>
      </c>
      <c r="X908" s="135">
        <f>MAXIFS('Step 4 FOC Return'!$A:$A, 'Step 4 FOC Return'!$E:$E, $E908)</f>
        <v>0</v>
      </c>
      <c r="Y908" s="126"/>
    </row>
    <row r="909">
      <c r="A909" s="126"/>
      <c r="B909" s="154"/>
      <c r="C909" s="146"/>
      <c r="D909" s="146"/>
      <c r="E909" s="146"/>
      <c r="F909" s="155"/>
      <c r="G909" s="146"/>
      <c r="H909" s="126"/>
      <c r="I909" s="132"/>
      <c r="J909" s="146"/>
      <c r="K909" s="126"/>
      <c r="L909" s="126"/>
      <c r="M909" s="134" t="str">
        <f t="shared" si="1"/>
        <v/>
      </c>
      <c r="N909" s="134" t="str">
        <f t="array" ref="N909">IF(M909="LOANED / ON KOL", INDEX('Step 3 FOC Request'!$G:$G, MATCH(1, ('Step 3 FOC Request'!$A:$A=W909) * ('Step 3 FOC Request'!$F:$F=E909), 0)), "-")</f>
        <v>-</v>
      </c>
      <c r="O909" s="126"/>
      <c r="P909" s="126"/>
      <c r="Q909" s="126"/>
      <c r="R909" s="126"/>
      <c r="U909" s="126"/>
      <c r="V909" s="126"/>
      <c r="W909" s="135">
        <f>MAXIFS('Step 3 FOC Request'!$A:$A, 'Step 3 FOC Request'!$F:$F, $E909)</f>
        <v>0</v>
      </c>
      <c r="X909" s="135">
        <f>MAXIFS('Step 4 FOC Return'!$A:$A, 'Step 4 FOC Return'!$E:$E, $E909)</f>
        <v>0</v>
      </c>
      <c r="Y909" s="126"/>
    </row>
    <row r="910">
      <c r="A910" s="126"/>
      <c r="B910" s="154"/>
      <c r="C910" s="146"/>
      <c r="D910" s="146"/>
      <c r="E910" s="146"/>
      <c r="F910" s="155"/>
      <c r="G910" s="146"/>
      <c r="H910" s="126"/>
      <c r="I910" s="132"/>
      <c r="J910" s="146"/>
      <c r="K910" s="126"/>
      <c r="L910" s="126"/>
      <c r="M910" s="134" t="str">
        <f t="shared" si="1"/>
        <v/>
      </c>
      <c r="N910" s="134" t="str">
        <f t="array" ref="N910">IF(M910="LOANED / ON KOL", INDEX('Step 3 FOC Request'!$G:$G, MATCH(1, ('Step 3 FOC Request'!$A:$A=W910) * ('Step 3 FOC Request'!$F:$F=E910), 0)), "-")</f>
        <v>-</v>
      </c>
      <c r="O910" s="126"/>
      <c r="P910" s="126"/>
      <c r="Q910" s="126"/>
      <c r="R910" s="126"/>
      <c r="U910" s="126"/>
      <c r="V910" s="126"/>
      <c r="W910" s="135">
        <f>MAXIFS('Step 3 FOC Request'!$A:$A, 'Step 3 FOC Request'!$F:$F, $E910)</f>
        <v>0</v>
      </c>
      <c r="X910" s="135">
        <f>MAXIFS('Step 4 FOC Return'!$A:$A, 'Step 4 FOC Return'!$E:$E, $E910)</f>
        <v>0</v>
      </c>
      <c r="Y910" s="126"/>
    </row>
    <row r="911">
      <c r="A911" s="126"/>
      <c r="B911" s="154"/>
      <c r="C911" s="146"/>
      <c r="D911" s="146"/>
      <c r="E911" s="146"/>
      <c r="F911" s="155"/>
      <c r="G911" s="146"/>
      <c r="H911" s="126"/>
      <c r="I911" s="132"/>
      <c r="J911" s="146"/>
      <c r="K911" s="126"/>
      <c r="L911" s="126"/>
      <c r="M911" s="134" t="str">
        <f t="shared" si="1"/>
        <v/>
      </c>
      <c r="N911" s="134" t="str">
        <f t="array" ref="N911">IF(M911="LOANED / ON KOL", INDEX('Step 3 FOC Request'!$G:$G, MATCH(1, ('Step 3 FOC Request'!$A:$A=W911) * ('Step 3 FOC Request'!$F:$F=E911), 0)), "-")</f>
        <v>-</v>
      </c>
      <c r="O911" s="126"/>
      <c r="P911" s="126"/>
      <c r="Q911" s="126"/>
      <c r="R911" s="126"/>
      <c r="U911" s="126"/>
      <c r="V911" s="126"/>
      <c r="W911" s="135">
        <f>MAXIFS('Step 3 FOC Request'!$A:$A, 'Step 3 FOC Request'!$F:$F, $E911)</f>
        <v>0</v>
      </c>
      <c r="X911" s="135">
        <f>MAXIFS('Step 4 FOC Return'!$A:$A, 'Step 4 FOC Return'!$E:$E, $E911)</f>
        <v>0</v>
      </c>
      <c r="Y911" s="126"/>
    </row>
    <row r="912">
      <c r="A912" s="126"/>
      <c r="B912" s="154"/>
      <c r="C912" s="146"/>
      <c r="D912" s="146"/>
      <c r="E912" s="146"/>
      <c r="F912" s="155"/>
      <c r="G912" s="146"/>
      <c r="H912" s="126"/>
      <c r="I912" s="132"/>
      <c r="J912" s="146"/>
      <c r="K912" s="126"/>
      <c r="L912" s="126"/>
      <c r="M912" s="134" t="str">
        <f t="shared" si="1"/>
        <v/>
      </c>
      <c r="N912" s="134" t="str">
        <f t="array" ref="N912">IF(M912="LOANED / ON KOL", INDEX('Step 3 FOC Request'!$G:$G, MATCH(1, ('Step 3 FOC Request'!$A:$A=W912) * ('Step 3 FOC Request'!$F:$F=E912), 0)), "-")</f>
        <v>-</v>
      </c>
      <c r="O912" s="126"/>
      <c r="P912" s="126"/>
      <c r="Q912" s="126"/>
      <c r="R912" s="126"/>
      <c r="U912" s="126"/>
      <c r="V912" s="126"/>
      <c r="W912" s="135">
        <f>MAXIFS('Step 3 FOC Request'!$A:$A, 'Step 3 FOC Request'!$F:$F, $E912)</f>
        <v>0</v>
      </c>
      <c r="X912" s="135">
        <f>MAXIFS('Step 4 FOC Return'!$A:$A, 'Step 4 FOC Return'!$E:$E, $E912)</f>
        <v>0</v>
      </c>
      <c r="Y912" s="126"/>
    </row>
    <row r="913">
      <c r="A913" s="126"/>
      <c r="B913" s="154"/>
      <c r="C913" s="146"/>
      <c r="D913" s="146"/>
      <c r="E913" s="146"/>
      <c r="F913" s="155"/>
      <c r="G913" s="146"/>
      <c r="H913" s="126"/>
      <c r="I913" s="132"/>
      <c r="J913" s="146"/>
      <c r="K913" s="126"/>
      <c r="L913" s="126"/>
      <c r="M913" s="134" t="str">
        <f t="shared" si="1"/>
        <v/>
      </c>
      <c r="N913" s="134" t="str">
        <f t="array" ref="N913">IF(M913="LOANED / ON KOL", INDEX('Step 3 FOC Request'!$G:$G, MATCH(1, ('Step 3 FOC Request'!$A:$A=W913) * ('Step 3 FOC Request'!$F:$F=E913), 0)), "-")</f>
        <v>-</v>
      </c>
      <c r="O913" s="126"/>
      <c r="P913" s="126"/>
      <c r="Q913" s="126"/>
      <c r="R913" s="126"/>
      <c r="U913" s="126"/>
      <c r="V913" s="126"/>
      <c r="W913" s="135">
        <f>MAXIFS('Step 3 FOC Request'!$A:$A, 'Step 3 FOC Request'!$F:$F, $E913)</f>
        <v>0</v>
      </c>
      <c r="X913" s="135">
        <f>MAXIFS('Step 4 FOC Return'!$A:$A, 'Step 4 FOC Return'!$E:$E, $E913)</f>
        <v>0</v>
      </c>
      <c r="Y913" s="126"/>
    </row>
    <row r="914">
      <c r="A914" s="126"/>
      <c r="B914" s="154"/>
      <c r="C914" s="146"/>
      <c r="D914" s="146"/>
      <c r="E914" s="146"/>
      <c r="F914" s="155"/>
      <c r="G914" s="146"/>
      <c r="H914" s="126"/>
      <c r="I914" s="132"/>
      <c r="J914" s="146"/>
      <c r="K914" s="126"/>
      <c r="L914" s="126"/>
      <c r="M914" s="134" t="str">
        <f t="shared" si="1"/>
        <v/>
      </c>
      <c r="N914" s="134" t="str">
        <f t="array" ref="N914">IF(M914="LOANED / ON KOL", INDEX('Step 3 FOC Request'!$G:$G, MATCH(1, ('Step 3 FOC Request'!$A:$A=W914) * ('Step 3 FOC Request'!$F:$F=E914), 0)), "-")</f>
        <v>-</v>
      </c>
      <c r="O914" s="126"/>
      <c r="P914" s="126"/>
      <c r="Q914" s="126"/>
      <c r="R914" s="126"/>
      <c r="U914" s="126"/>
      <c r="V914" s="126"/>
      <c r="W914" s="135">
        <f>MAXIFS('Step 3 FOC Request'!$A:$A, 'Step 3 FOC Request'!$F:$F, $E914)</f>
        <v>0</v>
      </c>
      <c r="X914" s="135">
        <f>MAXIFS('Step 4 FOC Return'!$A:$A, 'Step 4 FOC Return'!$E:$E, $E914)</f>
        <v>0</v>
      </c>
      <c r="Y914" s="126"/>
    </row>
    <row r="915">
      <c r="A915" s="126"/>
      <c r="B915" s="154"/>
      <c r="C915" s="146"/>
      <c r="D915" s="146"/>
      <c r="E915" s="146"/>
      <c r="F915" s="155"/>
      <c r="G915" s="146"/>
      <c r="H915" s="126"/>
      <c r="I915" s="132"/>
      <c r="J915" s="146"/>
      <c r="K915" s="126"/>
      <c r="L915" s="126"/>
      <c r="M915" s="134" t="str">
        <f t="shared" si="1"/>
        <v/>
      </c>
      <c r="N915" s="134" t="str">
        <f t="array" ref="N915">IF(M915="LOANED / ON KOL", INDEX('Step 3 FOC Request'!$G:$G, MATCH(1, ('Step 3 FOC Request'!$A:$A=W915) * ('Step 3 FOC Request'!$F:$F=E915), 0)), "-")</f>
        <v>-</v>
      </c>
      <c r="O915" s="126"/>
      <c r="P915" s="126"/>
      <c r="Q915" s="126"/>
      <c r="R915" s="126"/>
      <c r="U915" s="126"/>
      <c r="V915" s="126"/>
      <c r="W915" s="135">
        <f>MAXIFS('Step 3 FOC Request'!$A:$A, 'Step 3 FOC Request'!$F:$F, $E915)</f>
        <v>0</v>
      </c>
      <c r="X915" s="135">
        <f>MAXIFS('Step 4 FOC Return'!$A:$A, 'Step 4 FOC Return'!$E:$E, $E915)</f>
        <v>0</v>
      </c>
      <c r="Y915" s="126"/>
    </row>
    <row r="916">
      <c r="A916" s="126"/>
      <c r="B916" s="154"/>
      <c r="C916" s="146"/>
      <c r="D916" s="146"/>
      <c r="E916" s="146"/>
      <c r="F916" s="155"/>
      <c r="G916" s="146"/>
      <c r="H916" s="126"/>
      <c r="I916" s="132"/>
      <c r="J916" s="146"/>
      <c r="K916" s="126"/>
      <c r="L916" s="126"/>
      <c r="M916" s="134" t="str">
        <f t="shared" si="1"/>
        <v/>
      </c>
      <c r="N916" s="134" t="str">
        <f t="array" ref="N916">IF(M916="LOANED / ON KOL", INDEX('Step 3 FOC Request'!$G:$G, MATCH(1, ('Step 3 FOC Request'!$A:$A=W916) * ('Step 3 FOC Request'!$F:$F=E916), 0)), "-")</f>
        <v>-</v>
      </c>
      <c r="O916" s="126"/>
      <c r="P916" s="126"/>
      <c r="Q916" s="126"/>
      <c r="R916" s="126"/>
      <c r="U916" s="126"/>
      <c r="V916" s="126"/>
      <c r="W916" s="135">
        <f>MAXIFS('Step 3 FOC Request'!$A:$A, 'Step 3 FOC Request'!$F:$F, $E916)</f>
        <v>0</v>
      </c>
      <c r="X916" s="135">
        <f>MAXIFS('Step 4 FOC Return'!$A:$A, 'Step 4 FOC Return'!$E:$E, $E916)</f>
        <v>0</v>
      </c>
      <c r="Y916" s="126"/>
    </row>
    <row r="917">
      <c r="A917" s="126"/>
      <c r="B917" s="154"/>
      <c r="C917" s="146"/>
      <c r="D917" s="146"/>
      <c r="E917" s="146"/>
      <c r="F917" s="155"/>
      <c r="G917" s="146"/>
      <c r="H917" s="126"/>
      <c r="I917" s="132"/>
      <c r="J917" s="146"/>
      <c r="K917" s="126"/>
      <c r="L917" s="126"/>
      <c r="M917" s="134" t="str">
        <f t="shared" si="1"/>
        <v/>
      </c>
      <c r="N917" s="134" t="str">
        <f t="array" ref="N917">IF(M917="LOANED / ON KOL", INDEX('Step 3 FOC Request'!$G:$G, MATCH(1, ('Step 3 FOC Request'!$A:$A=W917) * ('Step 3 FOC Request'!$F:$F=E917), 0)), "-")</f>
        <v>-</v>
      </c>
      <c r="O917" s="126"/>
      <c r="P917" s="126"/>
      <c r="Q917" s="126"/>
      <c r="R917" s="126"/>
      <c r="U917" s="126"/>
      <c r="V917" s="126"/>
      <c r="W917" s="135">
        <f>MAXIFS('Step 3 FOC Request'!$A:$A, 'Step 3 FOC Request'!$F:$F, $E917)</f>
        <v>0</v>
      </c>
      <c r="X917" s="135">
        <f>MAXIFS('Step 4 FOC Return'!$A:$A, 'Step 4 FOC Return'!$E:$E, $E917)</f>
        <v>0</v>
      </c>
      <c r="Y917" s="126"/>
    </row>
    <row r="918">
      <c r="A918" s="126"/>
      <c r="B918" s="154"/>
      <c r="C918" s="146"/>
      <c r="D918" s="146"/>
      <c r="E918" s="146"/>
      <c r="F918" s="155"/>
      <c r="G918" s="146"/>
      <c r="H918" s="126"/>
      <c r="I918" s="132"/>
      <c r="J918" s="146"/>
      <c r="K918" s="126"/>
      <c r="L918" s="126"/>
      <c r="M918" s="134" t="str">
        <f t="shared" si="1"/>
        <v/>
      </c>
      <c r="N918" s="134" t="str">
        <f t="array" ref="N918">IF(M918="LOANED / ON KOL", INDEX('Step 3 FOC Request'!$G:$G, MATCH(1, ('Step 3 FOC Request'!$A:$A=W918) * ('Step 3 FOC Request'!$F:$F=E918), 0)), "-")</f>
        <v>-</v>
      </c>
      <c r="O918" s="126"/>
      <c r="P918" s="126"/>
      <c r="Q918" s="126"/>
      <c r="R918" s="126"/>
      <c r="U918" s="126"/>
      <c r="V918" s="126"/>
      <c r="W918" s="135">
        <f>MAXIFS('Step 3 FOC Request'!$A:$A, 'Step 3 FOC Request'!$F:$F, $E918)</f>
        <v>0</v>
      </c>
      <c r="X918" s="135">
        <f>MAXIFS('Step 4 FOC Return'!$A:$A, 'Step 4 FOC Return'!$E:$E, $E918)</f>
        <v>0</v>
      </c>
      <c r="Y918" s="126"/>
    </row>
    <row r="919">
      <c r="A919" s="126"/>
      <c r="B919" s="154"/>
      <c r="C919" s="146"/>
      <c r="D919" s="146"/>
      <c r="E919" s="146"/>
      <c r="F919" s="155"/>
      <c r="G919" s="146"/>
      <c r="H919" s="126"/>
      <c r="I919" s="132"/>
      <c r="J919" s="146"/>
      <c r="K919" s="126"/>
      <c r="L919" s="126"/>
      <c r="M919" s="134" t="str">
        <f t="shared" si="1"/>
        <v/>
      </c>
      <c r="N919" s="134" t="str">
        <f t="array" ref="N919">IF(M919="LOANED / ON KOL", INDEX('Step 3 FOC Request'!$G:$G, MATCH(1, ('Step 3 FOC Request'!$A:$A=W919) * ('Step 3 FOC Request'!$F:$F=E919), 0)), "-")</f>
        <v>-</v>
      </c>
      <c r="O919" s="126"/>
      <c r="P919" s="126"/>
      <c r="Q919" s="126"/>
      <c r="R919" s="126"/>
      <c r="U919" s="126"/>
      <c r="V919" s="126"/>
      <c r="W919" s="135">
        <f>MAXIFS('Step 3 FOC Request'!$A:$A, 'Step 3 FOC Request'!$F:$F, $E919)</f>
        <v>0</v>
      </c>
      <c r="X919" s="135">
        <f>MAXIFS('Step 4 FOC Return'!$A:$A, 'Step 4 FOC Return'!$E:$E, $E919)</f>
        <v>0</v>
      </c>
      <c r="Y919" s="126"/>
    </row>
    <row r="920">
      <c r="A920" s="126"/>
      <c r="B920" s="154"/>
      <c r="C920" s="146"/>
      <c r="D920" s="146"/>
      <c r="E920" s="146"/>
      <c r="F920" s="155"/>
      <c r="G920" s="146"/>
      <c r="H920" s="126"/>
      <c r="I920" s="132"/>
      <c r="J920" s="146"/>
      <c r="K920" s="126"/>
      <c r="L920" s="126"/>
      <c r="M920" s="134" t="str">
        <f t="shared" si="1"/>
        <v/>
      </c>
      <c r="N920" s="134" t="str">
        <f t="array" ref="N920">IF(M920="LOANED / ON KOL", INDEX('Step 3 FOC Request'!$G:$G, MATCH(1, ('Step 3 FOC Request'!$A:$A=W920) * ('Step 3 FOC Request'!$F:$F=E920), 0)), "-")</f>
        <v>-</v>
      </c>
      <c r="O920" s="126"/>
      <c r="P920" s="126"/>
      <c r="Q920" s="126"/>
      <c r="R920" s="126"/>
      <c r="U920" s="126"/>
      <c r="V920" s="126"/>
      <c r="W920" s="135">
        <f>MAXIFS('Step 3 FOC Request'!$A:$A, 'Step 3 FOC Request'!$F:$F, $E920)</f>
        <v>0</v>
      </c>
      <c r="X920" s="135">
        <f>MAXIFS('Step 4 FOC Return'!$A:$A, 'Step 4 FOC Return'!$E:$E, $E920)</f>
        <v>0</v>
      </c>
      <c r="Y920" s="126"/>
    </row>
    <row r="921">
      <c r="A921" s="126"/>
      <c r="B921" s="154"/>
      <c r="C921" s="146"/>
      <c r="D921" s="146"/>
      <c r="E921" s="146"/>
      <c r="F921" s="155"/>
      <c r="G921" s="146"/>
      <c r="H921" s="126"/>
      <c r="I921" s="132"/>
      <c r="J921" s="146"/>
      <c r="K921" s="126"/>
      <c r="L921" s="126"/>
      <c r="M921" s="134" t="str">
        <f t="shared" si="1"/>
        <v/>
      </c>
      <c r="N921" s="134" t="str">
        <f t="array" ref="N921">IF(M921="LOANED / ON KOL", INDEX('Step 3 FOC Request'!$G:$G, MATCH(1, ('Step 3 FOC Request'!$A:$A=W921) * ('Step 3 FOC Request'!$F:$F=E921), 0)), "-")</f>
        <v>-</v>
      </c>
      <c r="O921" s="126"/>
      <c r="P921" s="126"/>
      <c r="Q921" s="126"/>
      <c r="R921" s="126"/>
      <c r="U921" s="126"/>
      <c r="V921" s="126"/>
      <c r="W921" s="135">
        <f>MAXIFS('Step 3 FOC Request'!$A:$A, 'Step 3 FOC Request'!$F:$F, $E921)</f>
        <v>0</v>
      </c>
      <c r="X921" s="135">
        <f>MAXIFS('Step 4 FOC Return'!$A:$A, 'Step 4 FOC Return'!$E:$E, $E921)</f>
        <v>0</v>
      </c>
      <c r="Y921" s="126"/>
    </row>
    <row r="922">
      <c r="A922" s="126"/>
      <c r="B922" s="154"/>
      <c r="C922" s="146"/>
      <c r="D922" s="146"/>
      <c r="E922" s="146"/>
      <c r="F922" s="155"/>
      <c r="G922" s="146"/>
      <c r="H922" s="126"/>
      <c r="I922" s="132"/>
      <c r="J922" s="146"/>
      <c r="K922" s="126"/>
      <c r="L922" s="126"/>
      <c r="M922" s="134" t="str">
        <f t="shared" si="1"/>
        <v/>
      </c>
      <c r="N922" s="134" t="str">
        <f t="array" ref="N922">IF(M922="LOANED / ON KOL", INDEX('Step 3 FOC Request'!$G:$G, MATCH(1, ('Step 3 FOC Request'!$A:$A=W922) * ('Step 3 FOC Request'!$F:$F=E922), 0)), "-")</f>
        <v>-</v>
      </c>
      <c r="O922" s="126"/>
      <c r="P922" s="126"/>
      <c r="Q922" s="126"/>
      <c r="R922" s="126"/>
      <c r="U922" s="126"/>
      <c r="V922" s="126"/>
      <c r="W922" s="135">
        <f>MAXIFS('Step 3 FOC Request'!$A:$A, 'Step 3 FOC Request'!$F:$F, $E922)</f>
        <v>0</v>
      </c>
      <c r="X922" s="135">
        <f>MAXIFS('Step 4 FOC Return'!$A:$A, 'Step 4 FOC Return'!$E:$E, $E922)</f>
        <v>0</v>
      </c>
      <c r="Y922" s="126"/>
    </row>
    <row r="923">
      <c r="A923" s="126"/>
      <c r="B923" s="154"/>
      <c r="C923" s="146"/>
      <c r="D923" s="146"/>
      <c r="E923" s="146"/>
      <c r="F923" s="155"/>
      <c r="G923" s="146"/>
      <c r="H923" s="126"/>
      <c r="I923" s="132"/>
      <c r="J923" s="146"/>
      <c r="K923" s="126"/>
      <c r="L923" s="126"/>
      <c r="M923" s="134" t="str">
        <f t="shared" si="1"/>
        <v/>
      </c>
      <c r="N923" s="134" t="str">
        <f t="array" ref="N923">IF(M923="LOANED / ON KOL", INDEX('Step 3 FOC Request'!$G:$G, MATCH(1, ('Step 3 FOC Request'!$A:$A=W923) * ('Step 3 FOC Request'!$F:$F=E923), 0)), "-")</f>
        <v>-</v>
      </c>
      <c r="O923" s="126"/>
      <c r="P923" s="126"/>
      <c r="Q923" s="126"/>
      <c r="R923" s="126"/>
      <c r="U923" s="126"/>
      <c r="V923" s="126"/>
      <c r="W923" s="135">
        <f>MAXIFS('Step 3 FOC Request'!$A:$A, 'Step 3 FOC Request'!$F:$F, $E923)</f>
        <v>0</v>
      </c>
      <c r="X923" s="135">
        <f>MAXIFS('Step 4 FOC Return'!$A:$A, 'Step 4 FOC Return'!$E:$E, $E923)</f>
        <v>0</v>
      </c>
      <c r="Y923" s="126"/>
    </row>
    <row r="924">
      <c r="A924" s="126"/>
      <c r="B924" s="154"/>
      <c r="C924" s="146"/>
      <c r="D924" s="146"/>
      <c r="E924" s="146"/>
      <c r="F924" s="155"/>
      <c r="G924" s="146"/>
      <c r="H924" s="126"/>
      <c r="I924" s="132"/>
      <c r="J924" s="146"/>
      <c r="K924" s="126"/>
      <c r="L924" s="126"/>
      <c r="M924" s="134" t="str">
        <f t="shared" si="1"/>
        <v/>
      </c>
      <c r="N924" s="134" t="str">
        <f t="array" ref="N924">IF(M924="LOANED / ON KOL", INDEX('Step 3 FOC Request'!$G:$G, MATCH(1, ('Step 3 FOC Request'!$A:$A=W924) * ('Step 3 FOC Request'!$F:$F=E924), 0)), "-")</f>
        <v>-</v>
      </c>
      <c r="O924" s="126"/>
      <c r="P924" s="126"/>
      <c r="Q924" s="126"/>
      <c r="R924" s="126"/>
      <c r="U924" s="126"/>
      <c r="V924" s="126"/>
      <c r="W924" s="135">
        <f>MAXIFS('Step 3 FOC Request'!$A:$A, 'Step 3 FOC Request'!$F:$F, $E924)</f>
        <v>0</v>
      </c>
      <c r="X924" s="135">
        <f>MAXIFS('Step 4 FOC Return'!$A:$A, 'Step 4 FOC Return'!$E:$E, $E924)</f>
        <v>0</v>
      </c>
      <c r="Y924" s="126"/>
    </row>
    <row r="925">
      <c r="A925" s="126"/>
      <c r="B925" s="154"/>
      <c r="C925" s="146"/>
      <c r="D925" s="146"/>
      <c r="E925" s="146"/>
      <c r="F925" s="155"/>
      <c r="G925" s="146"/>
      <c r="H925" s="126"/>
      <c r="I925" s="132"/>
      <c r="J925" s="146"/>
      <c r="K925" s="126"/>
      <c r="L925" s="126"/>
      <c r="M925" s="134" t="str">
        <f t="shared" si="1"/>
        <v/>
      </c>
      <c r="N925" s="134" t="str">
        <f t="array" ref="N925">IF(M925="LOANED / ON KOL", INDEX('Step 3 FOC Request'!$G:$G, MATCH(1, ('Step 3 FOC Request'!$A:$A=W925) * ('Step 3 FOC Request'!$F:$F=E925), 0)), "-")</f>
        <v>-</v>
      </c>
      <c r="O925" s="126"/>
      <c r="P925" s="126"/>
      <c r="Q925" s="126"/>
      <c r="R925" s="126"/>
      <c r="U925" s="126"/>
      <c r="V925" s="126"/>
      <c r="W925" s="135">
        <f>MAXIFS('Step 3 FOC Request'!$A:$A, 'Step 3 FOC Request'!$F:$F, $E925)</f>
        <v>0</v>
      </c>
      <c r="X925" s="135">
        <f>MAXIFS('Step 4 FOC Return'!$A:$A, 'Step 4 FOC Return'!$E:$E, $E925)</f>
        <v>0</v>
      </c>
      <c r="Y925" s="126"/>
    </row>
    <row r="926">
      <c r="A926" s="126"/>
      <c r="B926" s="154"/>
      <c r="C926" s="146"/>
      <c r="D926" s="146"/>
      <c r="E926" s="146"/>
      <c r="F926" s="155"/>
      <c r="G926" s="146"/>
      <c r="H926" s="126"/>
      <c r="I926" s="132"/>
      <c r="J926" s="146"/>
      <c r="K926" s="126"/>
      <c r="L926" s="126"/>
      <c r="M926" s="134" t="str">
        <f t="shared" si="1"/>
        <v/>
      </c>
      <c r="N926" s="134" t="str">
        <f t="array" ref="N926">IF(M926="LOANED / ON KOL", INDEX('Step 3 FOC Request'!$G:$G, MATCH(1, ('Step 3 FOC Request'!$A:$A=W926) * ('Step 3 FOC Request'!$F:$F=E926), 0)), "-")</f>
        <v>-</v>
      </c>
      <c r="O926" s="126"/>
      <c r="P926" s="126"/>
      <c r="Q926" s="126"/>
      <c r="R926" s="126"/>
      <c r="U926" s="126"/>
      <c r="V926" s="126"/>
      <c r="W926" s="135">
        <f>MAXIFS('Step 3 FOC Request'!$A:$A, 'Step 3 FOC Request'!$F:$F, $E926)</f>
        <v>0</v>
      </c>
      <c r="X926" s="135">
        <f>MAXIFS('Step 4 FOC Return'!$A:$A, 'Step 4 FOC Return'!$E:$E, $E926)</f>
        <v>0</v>
      </c>
      <c r="Y926" s="126"/>
    </row>
    <row r="927">
      <c r="A927" s="126"/>
      <c r="B927" s="154"/>
      <c r="C927" s="146"/>
      <c r="D927" s="146"/>
      <c r="E927" s="146"/>
      <c r="F927" s="155"/>
      <c r="G927" s="146"/>
      <c r="H927" s="126"/>
      <c r="I927" s="132"/>
      <c r="J927" s="146"/>
      <c r="K927" s="126"/>
      <c r="L927" s="126"/>
      <c r="M927" s="134" t="str">
        <f t="shared" si="1"/>
        <v/>
      </c>
      <c r="N927" s="134" t="str">
        <f t="array" ref="N927">IF(M927="LOANED / ON KOL", INDEX('Step 3 FOC Request'!$G:$G, MATCH(1, ('Step 3 FOC Request'!$A:$A=W927) * ('Step 3 FOC Request'!$F:$F=E927), 0)), "-")</f>
        <v>-</v>
      </c>
      <c r="O927" s="126"/>
      <c r="P927" s="126"/>
      <c r="Q927" s="126"/>
      <c r="R927" s="126"/>
      <c r="U927" s="126"/>
      <c r="V927" s="126"/>
      <c r="W927" s="135">
        <f>MAXIFS('Step 3 FOC Request'!$A:$A, 'Step 3 FOC Request'!$F:$F, $E927)</f>
        <v>0</v>
      </c>
      <c r="X927" s="135">
        <f>MAXIFS('Step 4 FOC Return'!$A:$A, 'Step 4 FOC Return'!$E:$E, $E927)</f>
        <v>0</v>
      </c>
      <c r="Y927" s="126"/>
    </row>
    <row r="928">
      <c r="A928" s="126"/>
      <c r="B928" s="154"/>
      <c r="C928" s="146"/>
      <c r="D928" s="146"/>
      <c r="E928" s="146"/>
      <c r="F928" s="155"/>
      <c r="G928" s="146"/>
      <c r="H928" s="126"/>
      <c r="I928" s="132"/>
      <c r="J928" s="146"/>
      <c r="K928" s="126"/>
      <c r="L928" s="126"/>
      <c r="M928" s="134" t="str">
        <f t="shared" si="1"/>
        <v/>
      </c>
      <c r="N928" s="134" t="str">
        <f t="array" ref="N928">IF(M928="LOANED / ON KOL", INDEX('Step 3 FOC Request'!$G:$G, MATCH(1, ('Step 3 FOC Request'!$A:$A=W928) * ('Step 3 FOC Request'!$F:$F=E928), 0)), "-")</f>
        <v>-</v>
      </c>
      <c r="O928" s="126"/>
      <c r="P928" s="126"/>
      <c r="Q928" s="126"/>
      <c r="R928" s="126"/>
      <c r="U928" s="126"/>
      <c r="V928" s="126"/>
      <c r="W928" s="135">
        <f>MAXIFS('Step 3 FOC Request'!$A:$A, 'Step 3 FOC Request'!$F:$F, $E928)</f>
        <v>0</v>
      </c>
      <c r="X928" s="135">
        <f>MAXIFS('Step 4 FOC Return'!$A:$A, 'Step 4 FOC Return'!$E:$E, $E928)</f>
        <v>0</v>
      </c>
      <c r="Y928" s="126"/>
    </row>
    <row r="929">
      <c r="A929" s="126"/>
      <c r="B929" s="154"/>
      <c r="C929" s="146"/>
      <c r="D929" s="146"/>
      <c r="E929" s="146"/>
      <c r="F929" s="155"/>
      <c r="G929" s="146"/>
      <c r="H929" s="126"/>
      <c r="I929" s="132"/>
      <c r="J929" s="146"/>
      <c r="K929" s="126"/>
      <c r="L929" s="126"/>
      <c r="M929" s="134" t="str">
        <f t="shared" si="1"/>
        <v/>
      </c>
      <c r="N929" s="134" t="str">
        <f t="array" ref="N929">IF(M929="LOANED / ON KOL", INDEX('Step 3 FOC Request'!$G:$G, MATCH(1, ('Step 3 FOC Request'!$A:$A=W929) * ('Step 3 FOC Request'!$F:$F=E929), 0)), "-")</f>
        <v>-</v>
      </c>
      <c r="O929" s="126"/>
      <c r="P929" s="126"/>
      <c r="Q929" s="126"/>
      <c r="R929" s="126"/>
      <c r="U929" s="126"/>
      <c r="V929" s="126"/>
      <c r="W929" s="135">
        <f>MAXIFS('Step 3 FOC Request'!$A:$A, 'Step 3 FOC Request'!$F:$F, $E929)</f>
        <v>0</v>
      </c>
      <c r="X929" s="135">
        <f>MAXIFS('Step 4 FOC Return'!$A:$A, 'Step 4 FOC Return'!$E:$E, $E929)</f>
        <v>0</v>
      </c>
      <c r="Y929" s="126"/>
    </row>
    <row r="930">
      <c r="A930" s="126"/>
      <c r="B930" s="154"/>
      <c r="C930" s="146"/>
      <c r="D930" s="146"/>
      <c r="E930" s="146"/>
      <c r="F930" s="155"/>
      <c r="G930" s="146"/>
      <c r="H930" s="126"/>
      <c r="I930" s="132"/>
      <c r="J930" s="146"/>
      <c r="K930" s="126"/>
      <c r="L930" s="126"/>
      <c r="M930" s="134" t="str">
        <f t="shared" si="1"/>
        <v/>
      </c>
      <c r="N930" s="134" t="str">
        <f t="array" ref="N930">IF(M930="LOANED / ON KOL", INDEX('Step 3 FOC Request'!$G:$G, MATCH(1, ('Step 3 FOC Request'!$A:$A=W930) * ('Step 3 FOC Request'!$F:$F=E930), 0)), "-")</f>
        <v>-</v>
      </c>
      <c r="O930" s="126"/>
      <c r="P930" s="126"/>
      <c r="Q930" s="126"/>
      <c r="R930" s="126"/>
      <c r="U930" s="126"/>
      <c r="V930" s="126"/>
      <c r="W930" s="135">
        <f>MAXIFS('Step 3 FOC Request'!$A:$A, 'Step 3 FOC Request'!$F:$F, $E930)</f>
        <v>0</v>
      </c>
      <c r="X930" s="135">
        <f>MAXIFS('Step 4 FOC Return'!$A:$A, 'Step 4 FOC Return'!$E:$E, $E930)</f>
        <v>0</v>
      </c>
      <c r="Y930" s="126"/>
    </row>
    <row r="931">
      <c r="A931" s="126"/>
      <c r="B931" s="154"/>
      <c r="C931" s="146"/>
      <c r="D931" s="146"/>
      <c r="E931" s="146"/>
      <c r="F931" s="155"/>
      <c r="G931" s="146"/>
      <c r="H931" s="126"/>
      <c r="I931" s="132"/>
      <c r="J931" s="146"/>
      <c r="K931" s="126"/>
      <c r="L931" s="126"/>
      <c r="M931" s="134" t="str">
        <f t="shared" si="1"/>
        <v/>
      </c>
      <c r="N931" s="134" t="str">
        <f t="array" ref="N931">IF(M931="LOANED / ON KOL", INDEX('Step 3 FOC Request'!$G:$G, MATCH(1, ('Step 3 FOC Request'!$A:$A=W931) * ('Step 3 FOC Request'!$F:$F=E931), 0)), "-")</f>
        <v>-</v>
      </c>
      <c r="O931" s="126"/>
      <c r="P931" s="126"/>
      <c r="Q931" s="126"/>
      <c r="R931" s="126"/>
      <c r="U931" s="126"/>
      <c r="V931" s="126"/>
      <c r="W931" s="135">
        <f>MAXIFS('Step 3 FOC Request'!$A:$A, 'Step 3 FOC Request'!$F:$F, $E931)</f>
        <v>0</v>
      </c>
      <c r="X931" s="135">
        <f>MAXIFS('Step 4 FOC Return'!$A:$A, 'Step 4 FOC Return'!$E:$E, $E931)</f>
        <v>0</v>
      </c>
      <c r="Y931" s="126"/>
    </row>
    <row r="932">
      <c r="A932" s="126"/>
      <c r="B932" s="154"/>
      <c r="C932" s="146"/>
      <c r="D932" s="146"/>
      <c r="E932" s="146"/>
      <c r="F932" s="155"/>
      <c r="G932" s="146"/>
      <c r="H932" s="126"/>
      <c r="I932" s="132"/>
      <c r="J932" s="146"/>
      <c r="K932" s="126"/>
      <c r="L932" s="126"/>
      <c r="M932" s="134" t="str">
        <f t="shared" si="1"/>
        <v/>
      </c>
      <c r="N932" s="134" t="str">
        <f t="array" ref="N932">IF(M932="LOANED / ON KOL", INDEX('Step 3 FOC Request'!$G:$G, MATCH(1, ('Step 3 FOC Request'!$A:$A=W932) * ('Step 3 FOC Request'!$F:$F=E932), 0)), "-")</f>
        <v>-</v>
      </c>
      <c r="O932" s="126"/>
      <c r="P932" s="126"/>
      <c r="Q932" s="126"/>
      <c r="R932" s="126"/>
      <c r="U932" s="126"/>
      <c r="V932" s="126"/>
      <c r="W932" s="135">
        <f>MAXIFS('Step 3 FOC Request'!$A:$A, 'Step 3 FOC Request'!$F:$F, $E932)</f>
        <v>0</v>
      </c>
      <c r="X932" s="135">
        <f>MAXIFS('Step 4 FOC Return'!$A:$A, 'Step 4 FOC Return'!$E:$E, $E932)</f>
        <v>0</v>
      </c>
      <c r="Y932" s="126"/>
    </row>
    <row r="933">
      <c r="A933" s="126"/>
      <c r="B933" s="154"/>
      <c r="C933" s="146"/>
      <c r="D933" s="146"/>
      <c r="E933" s="146"/>
      <c r="F933" s="155"/>
      <c r="G933" s="146"/>
      <c r="H933" s="126"/>
      <c r="I933" s="132"/>
      <c r="J933" s="146"/>
      <c r="K933" s="126"/>
      <c r="L933" s="126"/>
      <c r="M933" s="134" t="str">
        <f t="shared" si="1"/>
        <v/>
      </c>
      <c r="N933" s="134" t="str">
        <f t="array" ref="N933">IF(M933="LOANED / ON KOL", INDEX('Step 3 FOC Request'!$G:$G, MATCH(1, ('Step 3 FOC Request'!$A:$A=W933) * ('Step 3 FOC Request'!$F:$F=E933), 0)), "-")</f>
        <v>-</v>
      </c>
      <c r="O933" s="126"/>
      <c r="P933" s="126"/>
      <c r="Q933" s="126"/>
      <c r="R933" s="126"/>
      <c r="U933" s="126"/>
      <c r="V933" s="126"/>
      <c r="W933" s="135">
        <f>MAXIFS('Step 3 FOC Request'!$A:$A, 'Step 3 FOC Request'!$F:$F, $E933)</f>
        <v>0</v>
      </c>
      <c r="X933" s="135">
        <f>MAXIFS('Step 4 FOC Return'!$A:$A, 'Step 4 FOC Return'!$E:$E, $E933)</f>
        <v>0</v>
      </c>
      <c r="Y933" s="126"/>
    </row>
    <row r="934">
      <c r="A934" s="126"/>
      <c r="B934" s="154"/>
      <c r="C934" s="146"/>
      <c r="D934" s="146"/>
      <c r="E934" s="146"/>
      <c r="F934" s="155"/>
      <c r="G934" s="146"/>
      <c r="H934" s="126"/>
      <c r="I934" s="132"/>
      <c r="J934" s="146"/>
      <c r="K934" s="126"/>
      <c r="L934" s="126"/>
      <c r="M934" s="134" t="str">
        <f t="shared" si="1"/>
        <v/>
      </c>
      <c r="N934" s="134" t="str">
        <f t="array" ref="N934">IF(M934="LOANED / ON KOL", INDEX('Step 3 FOC Request'!$G:$G, MATCH(1, ('Step 3 FOC Request'!$A:$A=W934) * ('Step 3 FOC Request'!$F:$F=E934), 0)), "-")</f>
        <v>-</v>
      </c>
      <c r="O934" s="126"/>
      <c r="P934" s="126"/>
      <c r="Q934" s="126"/>
      <c r="R934" s="126"/>
      <c r="U934" s="126"/>
      <c r="V934" s="126"/>
      <c r="W934" s="135">
        <f>MAXIFS('Step 3 FOC Request'!$A:$A, 'Step 3 FOC Request'!$F:$F, $E934)</f>
        <v>0</v>
      </c>
      <c r="X934" s="135">
        <f>MAXIFS('Step 4 FOC Return'!$A:$A, 'Step 4 FOC Return'!$E:$E, $E934)</f>
        <v>0</v>
      </c>
      <c r="Y934" s="126"/>
    </row>
    <row r="935">
      <c r="A935" s="126"/>
      <c r="B935" s="154"/>
      <c r="C935" s="146"/>
      <c r="D935" s="146"/>
      <c r="E935" s="146"/>
      <c r="F935" s="155"/>
      <c r="G935" s="146"/>
      <c r="H935" s="126"/>
      <c r="I935" s="132"/>
      <c r="J935" s="146"/>
      <c r="K935" s="126"/>
      <c r="L935" s="126"/>
      <c r="M935" s="134" t="str">
        <f t="shared" si="1"/>
        <v/>
      </c>
      <c r="N935" s="134" t="str">
        <f t="array" ref="N935">IF(M935="LOANED / ON KOL", INDEX('Step 3 FOC Request'!$G:$G, MATCH(1, ('Step 3 FOC Request'!$A:$A=W935) * ('Step 3 FOC Request'!$F:$F=E935), 0)), "-")</f>
        <v>-</v>
      </c>
      <c r="O935" s="126"/>
      <c r="P935" s="126"/>
      <c r="Q935" s="126"/>
      <c r="R935" s="126"/>
      <c r="U935" s="126"/>
      <c r="V935" s="126"/>
      <c r="W935" s="135">
        <f>MAXIFS('Step 3 FOC Request'!$A:$A, 'Step 3 FOC Request'!$F:$F, $E935)</f>
        <v>0</v>
      </c>
      <c r="X935" s="135">
        <f>MAXIFS('Step 4 FOC Return'!$A:$A, 'Step 4 FOC Return'!$E:$E, $E935)</f>
        <v>0</v>
      </c>
      <c r="Y935" s="126"/>
    </row>
    <row r="936">
      <c r="A936" s="126"/>
      <c r="B936" s="154"/>
      <c r="C936" s="146"/>
      <c r="D936" s="146"/>
      <c r="E936" s="146"/>
      <c r="F936" s="155"/>
      <c r="G936" s="146"/>
      <c r="H936" s="126"/>
      <c r="I936" s="132"/>
      <c r="J936" s="146"/>
      <c r="K936" s="126"/>
      <c r="L936" s="126"/>
      <c r="M936" s="134" t="str">
        <f t="shared" si="1"/>
        <v/>
      </c>
      <c r="N936" s="134" t="str">
        <f t="array" ref="N936">IF(M936="LOANED / ON KOL", INDEX('Step 3 FOC Request'!$G:$G, MATCH(1, ('Step 3 FOC Request'!$A:$A=W936) * ('Step 3 FOC Request'!$F:$F=E936), 0)), "-")</f>
        <v>-</v>
      </c>
      <c r="O936" s="126"/>
      <c r="P936" s="126"/>
      <c r="Q936" s="126"/>
      <c r="R936" s="126"/>
      <c r="U936" s="126"/>
      <c r="V936" s="126"/>
      <c r="W936" s="135">
        <f>MAXIFS('Step 3 FOC Request'!$A:$A, 'Step 3 FOC Request'!$F:$F, $E936)</f>
        <v>0</v>
      </c>
      <c r="X936" s="135">
        <f>MAXIFS('Step 4 FOC Return'!$A:$A, 'Step 4 FOC Return'!$E:$E, $E936)</f>
        <v>0</v>
      </c>
      <c r="Y936" s="126"/>
    </row>
    <row r="937">
      <c r="A937" s="126"/>
      <c r="B937" s="154"/>
      <c r="C937" s="146"/>
      <c r="D937" s="146"/>
      <c r="E937" s="146"/>
      <c r="F937" s="155"/>
      <c r="G937" s="146"/>
      <c r="H937" s="126"/>
      <c r="I937" s="132"/>
      <c r="J937" s="146"/>
      <c r="K937" s="126"/>
      <c r="L937" s="126"/>
      <c r="M937" s="134" t="str">
        <f t="shared" si="1"/>
        <v/>
      </c>
      <c r="N937" s="134" t="str">
        <f t="array" ref="N937">IF(M937="LOANED / ON KOL", INDEX('Step 3 FOC Request'!$G:$G, MATCH(1, ('Step 3 FOC Request'!$A:$A=W937) * ('Step 3 FOC Request'!$F:$F=E937), 0)), "-")</f>
        <v>-</v>
      </c>
      <c r="O937" s="126"/>
      <c r="P937" s="126"/>
      <c r="Q937" s="126"/>
      <c r="R937" s="126"/>
      <c r="U937" s="126"/>
      <c r="V937" s="126"/>
      <c r="W937" s="135">
        <f>MAXIFS('Step 3 FOC Request'!$A:$A, 'Step 3 FOC Request'!$F:$F, $E937)</f>
        <v>0</v>
      </c>
      <c r="X937" s="135">
        <f>MAXIFS('Step 4 FOC Return'!$A:$A, 'Step 4 FOC Return'!$E:$E, $E937)</f>
        <v>0</v>
      </c>
      <c r="Y937" s="126"/>
    </row>
    <row r="938">
      <c r="A938" s="126"/>
      <c r="B938" s="154"/>
      <c r="C938" s="146"/>
      <c r="D938" s="146"/>
      <c r="E938" s="146"/>
      <c r="F938" s="155"/>
      <c r="G938" s="146"/>
      <c r="H938" s="126"/>
      <c r="I938" s="132"/>
      <c r="J938" s="146"/>
      <c r="K938" s="126"/>
      <c r="L938" s="126"/>
      <c r="M938" s="134" t="str">
        <f t="shared" si="1"/>
        <v/>
      </c>
      <c r="N938" s="134" t="str">
        <f t="array" ref="N938">IF(M938="LOANED / ON KOL", INDEX('Step 3 FOC Request'!$G:$G, MATCH(1, ('Step 3 FOC Request'!$A:$A=W938) * ('Step 3 FOC Request'!$F:$F=E938), 0)), "-")</f>
        <v>-</v>
      </c>
      <c r="O938" s="126"/>
      <c r="P938" s="126"/>
      <c r="Q938" s="126"/>
      <c r="R938" s="126"/>
      <c r="U938" s="126"/>
      <c r="V938" s="126"/>
      <c r="W938" s="135">
        <f>MAXIFS('Step 3 FOC Request'!$A:$A, 'Step 3 FOC Request'!$F:$F, $E938)</f>
        <v>0</v>
      </c>
      <c r="X938" s="135">
        <f>MAXIFS('Step 4 FOC Return'!$A:$A, 'Step 4 FOC Return'!$E:$E, $E938)</f>
        <v>0</v>
      </c>
      <c r="Y938" s="126"/>
    </row>
    <row r="939">
      <c r="A939" s="126"/>
      <c r="B939" s="154"/>
      <c r="C939" s="146"/>
      <c r="D939" s="146"/>
      <c r="E939" s="146"/>
      <c r="F939" s="155"/>
      <c r="G939" s="146"/>
      <c r="H939" s="126"/>
      <c r="I939" s="132"/>
      <c r="J939" s="146"/>
      <c r="K939" s="126"/>
      <c r="L939" s="126"/>
      <c r="M939" s="134" t="str">
        <f t="shared" si="1"/>
        <v/>
      </c>
      <c r="N939" s="134" t="str">
        <f t="array" ref="N939">IF(M939="LOANED / ON KOL", INDEX('Step 3 FOC Request'!$G:$G, MATCH(1, ('Step 3 FOC Request'!$A:$A=W939) * ('Step 3 FOC Request'!$F:$F=E939), 0)), "-")</f>
        <v>-</v>
      </c>
      <c r="O939" s="126"/>
      <c r="P939" s="126"/>
      <c r="Q939" s="126"/>
      <c r="R939" s="126"/>
      <c r="U939" s="126"/>
      <c r="V939" s="126"/>
      <c r="W939" s="135">
        <f>MAXIFS('Step 3 FOC Request'!$A:$A, 'Step 3 FOC Request'!$F:$F, $E939)</f>
        <v>0</v>
      </c>
      <c r="X939" s="135">
        <f>MAXIFS('Step 4 FOC Return'!$A:$A, 'Step 4 FOC Return'!$E:$E, $E939)</f>
        <v>0</v>
      </c>
      <c r="Y939" s="126"/>
    </row>
    <row r="940">
      <c r="A940" s="126"/>
      <c r="B940" s="154"/>
      <c r="C940" s="146"/>
      <c r="D940" s="146"/>
      <c r="E940" s="146"/>
      <c r="F940" s="155"/>
      <c r="G940" s="146"/>
      <c r="H940" s="126"/>
      <c r="I940" s="132"/>
      <c r="J940" s="146"/>
      <c r="K940" s="126"/>
      <c r="L940" s="126"/>
      <c r="M940" s="134" t="str">
        <f t="shared" si="1"/>
        <v/>
      </c>
      <c r="N940" s="134" t="str">
        <f t="array" ref="N940">IF(M940="LOANED / ON KOL", INDEX('Step 3 FOC Request'!$G:$G, MATCH(1, ('Step 3 FOC Request'!$A:$A=W940) * ('Step 3 FOC Request'!$F:$F=E940), 0)), "-")</f>
        <v>-</v>
      </c>
      <c r="O940" s="126"/>
      <c r="P940" s="126"/>
      <c r="Q940" s="126"/>
      <c r="R940" s="126"/>
      <c r="U940" s="126"/>
      <c r="V940" s="126"/>
      <c r="W940" s="135">
        <f>MAXIFS('Step 3 FOC Request'!$A:$A, 'Step 3 FOC Request'!$F:$F, $E940)</f>
        <v>0</v>
      </c>
      <c r="X940" s="135">
        <f>MAXIFS('Step 4 FOC Return'!$A:$A, 'Step 4 FOC Return'!$E:$E, $E940)</f>
        <v>0</v>
      </c>
      <c r="Y940" s="126"/>
    </row>
    <row r="941">
      <c r="A941" s="126"/>
      <c r="B941" s="154"/>
      <c r="C941" s="146"/>
      <c r="D941" s="146"/>
      <c r="E941" s="146"/>
      <c r="F941" s="155"/>
      <c r="G941" s="146"/>
      <c r="H941" s="126"/>
      <c r="I941" s="132"/>
      <c r="J941" s="146"/>
      <c r="K941" s="126"/>
      <c r="L941" s="126"/>
      <c r="M941" s="134" t="str">
        <f t="shared" si="1"/>
        <v/>
      </c>
      <c r="N941" s="134" t="str">
        <f t="array" ref="N941">IF(M941="LOANED / ON KOL", INDEX('Step 3 FOC Request'!$G:$G, MATCH(1, ('Step 3 FOC Request'!$A:$A=W941) * ('Step 3 FOC Request'!$F:$F=E941), 0)), "-")</f>
        <v>-</v>
      </c>
      <c r="O941" s="126"/>
      <c r="P941" s="126"/>
      <c r="Q941" s="126"/>
      <c r="R941" s="126"/>
      <c r="U941" s="126"/>
      <c r="V941" s="126"/>
      <c r="W941" s="135">
        <f>MAXIFS('Step 3 FOC Request'!$A:$A, 'Step 3 FOC Request'!$F:$F, $E941)</f>
        <v>0</v>
      </c>
      <c r="X941" s="135">
        <f>MAXIFS('Step 4 FOC Return'!$A:$A, 'Step 4 FOC Return'!$E:$E, $E941)</f>
        <v>0</v>
      </c>
      <c r="Y941" s="126"/>
    </row>
    <row r="942">
      <c r="A942" s="126"/>
      <c r="B942" s="154"/>
      <c r="C942" s="146"/>
      <c r="D942" s="146"/>
      <c r="E942" s="146"/>
      <c r="F942" s="155"/>
      <c r="G942" s="146"/>
      <c r="H942" s="126"/>
      <c r="I942" s="132"/>
      <c r="J942" s="146"/>
      <c r="K942" s="126"/>
      <c r="L942" s="126"/>
      <c r="M942" s="134" t="str">
        <f t="shared" si="1"/>
        <v/>
      </c>
      <c r="N942" s="134" t="str">
        <f t="array" ref="N942">IF(M942="LOANED / ON KOL", INDEX('Step 3 FOC Request'!$G:$G, MATCH(1, ('Step 3 FOC Request'!$A:$A=W942) * ('Step 3 FOC Request'!$F:$F=E942), 0)), "-")</f>
        <v>-</v>
      </c>
      <c r="O942" s="126"/>
      <c r="P942" s="126"/>
      <c r="Q942" s="126"/>
      <c r="R942" s="126"/>
      <c r="U942" s="126"/>
      <c r="V942" s="126"/>
      <c r="W942" s="135">
        <f>MAXIFS('Step 3 FOC Request'!$A:$A, 'Step 3 FOC Request'!$F:$F, $E942)</f>
        <v>0</v>
      </c>
      <c r="X942" s="135">
        <f>MAXIFS('Step 4 FOC Return'!$A:$A, 'Step 4 FOC Return'!$E:$E, $E942)</f>
        <v>0</v>
      </c>
      <c r="Y942" s="126"/>
    </row>
    <row r="943">
      <c r="A943" s="126"/>
      <c r="B943" s="154"/>
      <c r="C943" s="146"/>
      <c r="D943" s="146"/>
      <c r="E943" s="146"/>
      <c r="F943" s="155"/>
      <c r="G943" s="146"/>
      <c r="H943" s="126"/>
      <c r="I943" s="132"/>
      <c r="J943" s="146"/>
      <c r="K943" s="126"/>
      <c r="L943" s="126"/>
      <c r="M943" s="134" t="str">
        <f t="shared" si="1"/>
        <v/>
      </c>
      <c r="N943" s="134" t="str">
        <f t="array" ref="N943">IF(M943="LOANED / ON KOL", INDEX('Step 3 FOC Request'!$G:$G, MATCH(1, ('Step 3 FOC Request'!$A:$A=W943) * ('Step 3 FOC Request'!$F:$F=E943), 0)), "-")</f>
        <v>-</v>
      </c>
      <c r="O943" s="126"/>
      <c r="P943" s="126"/>
      <c r="Q943" s="126"/>
      <c r="R943" s="126"/>
      <c r="U943" s="126"/>
      <c r="V943" s="126"/>
      <c r="W943" s="135">
        <f>MAXIFS('Step 3 FOC Request'!$A:$A, 'Step 3 FOC Request'!$F:$F, $E943)</f>
        <v>0</v>
      </c>
      <c r="X943" s="135">
        <f>MAXIFS('Step 4 FOC Return'!$A:$A, 'Step 4 FOC Return'!$E:$E, $E943)</f>
        <v>0</v>
      </c>
      <c r="Y943" s="126"/>
    </row>
    <row r="944">
      <c r="A944" s="126"/>
      <c r="B944" s="154"/>
      <c r="C944" s="146"/>
      <c r="D944" s="146"/>
      <c r="E944" s="146"/>
      <c r="F944" s="155"/>
      <c r="G944" s="146"/>
      <c r="H944" s="126"/>
      <c r="I944" s="132"/>
      <c r="J944" s="146"/>
      <c r="K944" s="126"/>
      <c r="L944" s="126"/>
      <c r="M944" s="134" t="str">
        <f t="shared" si="1"/>
        <v/>
      </c>
      <c r="N944" s="134" t="str">
        <f t="array" ref="N944">IF(M944="LOANED / ON KOL", INDEX('Step 3 FOC Request'!$G:$G, MATCH(1, ('Step 3 FOC Request'!$A:$A=W944) * ('Step 3 FOC Request'!$F:$F=E944), 0)), "-")</f>
        <v>-</v>
      </c>
      <c r="O944" s="126"/>
      <c r="P944" s="126"/>
      <c r="Q944" s="126"/>
      <c r="R944" s="126"/>
      <c r="U944" s="126"/>
      <c r="V944" s="126"/>
      <c r="W944" s="135">
        <f>MAXIFS('Step 3 FOC Request'!$A:$A, 'Step 3 FOC Request'!$F:$F, $E944)</f>
        <v>0</v>
      </c>
      <c r="X944" s="135">
        <f>MAXIFS('Step 4 FOC Return'!$A:$A, 'Step 4 FOC Return'!$E:$E, $E944)</f>
        <v>0</v>
      </c>
      <c r="Y944" s="126"/>
    </row>
    <row r="945">
      <c r="A945" s="126"/>
      <c r="B945" s="154"/>
      <c r="C945" s="146"/>
      <c r="D945" s="146"/>
      <c r="E945" s="146"/>
      <c r="F945" s="155"/>
      <c r="G945" s="146"/>
      <c r="H945" s="126"/>
      <c r="I945" s="132"/>
      <c r="J945" s="146"/>
      <c r="K945" s="126"/>
      <c r="L945" s="126"/>
      <c r="M945" s="134" t="str">
        <f t="shared" si="1"/>
        <v/>
      </c>
      <c r="N945" s="134" t="str">
        <f t="array" ref="N945">IF(M945="LOANED / ON KOL", INDEX('Step 3 FOC Request'!$G:$G, MATCH(1, ('Step 3 FOC Request'!$A:$A=W945) * ('Step 3 FOC Request'!$F:$F=E945), 0)), "-")</f>
        <v>-</v>
      </c>
      <c r="O945" s="126"/>
      <c r="P945" s="126"/>
      <c r="Q945" s="126"/>
      <c r="R945" s="126"/>
      <c r="U945" s="126"/>
      <c r="V945" s="126"/>
      <c r="W945" s="135">
        <f>MAXIFS('Step 3 FOC Request'!$A:$A, 'Step 3 FOC Request'!$F:$F, $E945)</f>
        <v>0</v>
      </c>
      <c r="X945" s="135">
        <f>MAXIFS('Step 4 FOC Return'!$A:$A, 'Step 4 FOC Return'!$E:$E, $E945)</f>
        <v>0</v>
      </c>
      <c r="Y945" s="126"/>
    </row>
    <row r="946">
      <c r="A946" s="126"/>
      <c r="B946" s="154"/>
      <c r="C946" s="146"/>
      <c r="D946" s="146"/>
      <c r="E946" s="146"/>
      <c r="F946" s="155"/>
      <c r="G946" s="146"/>
      <c r="H946" s="126"/>
      <c r="I946" s="132"/>
      <c r="J946" s="146"/>
      <c r="K946" s="126"/>
      <c r="L946" s="126"/>
      <c r="M946" s="134" t="str">
        <f t="shared" si="1"/>
        <v/>
      </c>
      <c r="N946" s="134" t="str">
        <f t="array" ref="N946">IF(M946="LOANED / ON KOL", INDEX('Step 3 FOC Request'!$G:$G, MATCH(1, ('Step 3 FOC Request'!$A:$A=W946) * ('Step 3 FOC Request'!$F:$F=E946), 0)), "-")</f>
        <v>-</v>
      </c>
      <c r="O946" s="126"/>
      <c r="P946" s="126"/>
      <c r="Q946" s="126"/>
      <c r="R946" s="126"/>
      <c r="U946" s="126"/>
      <c r="V946" s="126"/>
      <c r="W946" s="135">
        <f>MAXIFS('Step 3 FOC Request'!$A:$A, 'Step 3 FOC Request'!$F:$F, $E946)</f>
        <v>0</v>
      </c>
      <c r="X946" s="135">
        <f>MAXIFS('Step 4 FOC Return'!$A:$A, 'Step 4 FOC Return'!$E:$E, $E946)</f>
        <v>0</v>
      </c>
      <c r="Y946" s="126"/>
    </row>
    <row r="947">
      <c r="A947" s="126"/>
      <c r="B947" s="154"/>
      <c r="C947" s="146"/>
      <c r="D947" s="146"/>
      <c r="E947" s="146"/>
      <c r="F947" s="155"/>
      <c r="G947" s="146"/>
      <c r="H947" s="126"/>
      <c r="I947" s="132"/>
      <c r="J947" s="146"/>
      <c r="K947" s="126"/>
      <c r="L947" s="126"/>
      <c r="M947" s="134" t="str">
        <f t="shared" si="1"/>
        <v/>
      </c>
      <c r="N947" s="134" t="str">
        <f t="array" ref="N947">IF(M947="LOANED / ON KOL", INDEX('Step 3 FOC Request'!$G:$G, MATCH(1, ('Step 3 FOC Request'!$A:$A=W947) * ('Step 3 FOC Request'!$F:$F=E947), 0)), "-")</f>
        <v>-</v>
      </c>
      <c r="O947" s="126"/>
      <c r="P947" s="126"/>
      <c r="Q947" s="126"/>
      <c r="R947" s="126"/>
      <c r="U947" s="126"/>
      <c r="V947" s="126"/>
      <c r="W947" s="135">
        <f>MAXIFS('Step 3 FOC Request'!$A:$A, 'Step 3 FOC Request'!$F:$F, $E947)</f>
        <v>0</v>
      </c>
      <c r="X947" s="135">
        <f>MAXIFS('Step 4 FOC Return'!$A:$A, 'Step 4 FOC Return'!$E:$E, $E947)</f>
        <v>0</v>
      </c>
      <c r="Y947" s="126"/>
    </row>
    <row r="948">
      <c r="A948" s="126"/>
      <c r="B948" s="154"/>
      <c r="C948" s="146"/>
      <c r="D948" s="146"/>
      <c r="E948" s="146"/>
      <c r="F948" s="155"/>
      <c r="G948" s="146"/>
      <c r="H948" s="126"/>
      <c r="I948" s="132"/>
      <c r="J948" s="146"/>
      <c r="K948" s="126"/>
      <c r="L948" s="126"/>
      <c r="M948" s="134" t="str">
        <f t="shared" si="1"/>
        <v/>
      </c>
      <c r="N948" s="134" t="str">
        <f t="array" ref="N948">IF(M948="LOANED / ON KOL", INDEX('Step 3 FOC Request'!$G:$G, MATCH(1, ('Step 3 FOC Request'!$A:$A=W948) * ('Step 3 FOC Request'!$F:$F=E948), 0)), "-")</f>
        <v>-</v>
      </c>
      <c r="O948" s="126"/>
      <c r="P948" s="126"/>
      <c r="Q948" s="126"/>
      <c r="R948" s="126"/>
      <c r="U948" s="126"/>
      <c r="V948" s="126"/>
      <c r="W948" s="135">
        <f>MAXIFS('Step 3 FOC Request'!$A:$A, 'Step 3 FOC Request'!$F:$F, $E948)</f>
        <v>0</v>
      </c>
      <c r="X948" s="135">
        <f>MAXIFS('Step 4 FOC Return'!$A:$A, 'Step 4 FOC Return'!$E:$E, $E948)</f>
        <v>0</v>
      </c>
      <c r="Y948" s="126"/>
    </row>
    <row r="949">
      <c r="A949" s="126"/>
      <c r="B949" s="154"/>
      <c r="C949" s="146"/>
      <c r="D949" s="146"/>
      <c r="E949" s="146"/>
      <c r="F949" s="155"/>
      <c r="G949" s="146"/>
      <c r="H949" s="126"/>
      <c r="I949" s="132"/>
      <c r="J949" s="146"/>
      <c r="K949" s="126"/>
      <c r="L949" s="126"/>
      <c r="M949" s="134" t="str">
        <f t="shared" si="1"/>
        <v/>
      </c>
      <c r="N949" s="134" t="str">
        <f t="array" ref="N949">IF(M949="LOANED / ON KOL", INDEX('Step 3 FOC Request'!$G:$G, MATCH(1, ('Step 3 FOC Request'!$A:$A=W949) * ('Step 3 FOC Request'!$F:$F=E949), 0)), "-")</f>
        <v>-</v>
      </c>
      <c r="O949" s="126"/>
      <c r="P949" s="126"/>
      <c r="Q949" s="126"/>
      <c r="R949" s="126"/>
      <c r="U949" s="126"/>
      <c r="V949" s="126"/>
      <c r="W949" s="135">
        <f>MAXIFS('Step 3 FOC Request'!$A:$A, 'Step 3 FOC Request'!$F:$F, $E949)</f>
        <v>0</v>
      </c>
      <c r="X949" s="135">
        <f>MAXIFS('Step 4 FOC Return'!$A:$A, 'Step 4 FOC Return'!$E:$E, $E949)</f>
        <v>0</v>
      </c>
      <c r="Y949" s="126"/>
    </row>
    <row r="950">
      <c r="A950" s="126"/>
      <c r="B950" s="154"/>
      <c r="C950" s="146"/>
      <c r="D950" s="146"/>
      <c r="E950" s="146"/>
      <c r="F950" s="155"/>
      <c r="G950" s="146"/>
      <c r="H950" s="126"/>
      <c r="I950" s="132"/>
      <c r="J950" s="146"/>
      <c r="K950" s="126"/>
      <c r="L950" s="126"/>
      <c r="M950" s="134" t="str">
        <f t="shared" si="1"/>
        <v/>
      </c>
      <c r="N950" s="134" t="str">
        <f t="array" ref="N950">IF(M950="LOANED / ON KOL", INDEX('Step 3 FOC Request'!$G:$G, MATCH(1, ('Step 3 FOC Request'!$A:$A=W950) * ('Step 3 FOC Request'!$F:$F=E950), 0)), "-")</f>
        <v>-</v>
      </c>
      <c r="O950" s="126"/>
      <c r="P950" s="126"/>
      <c r="Q950" s="126"/>
      <c r="R950" s="126"/>
      <c r="U950" s="126"/>
      <c r="V950" s="126"/>
      <c r="W950" s="135">
        <f>MAXIFS('Step 3 FOC Request'!$A:$A, 'Step 3 FOC Request'!$F:$F, $E950)</f>
        <v>0</v>
      </c>
      <c r="X950" s="135">
        <f>MAXIFS('Step 4 FOC Return'!$A:$A, 'Step 4 FOC Return'!$E:$E, $E950)</f>
        <v>0</v>
      </c>
      <c r="Y950" s="126"/>
    </row>
    <row r="951">
      <c r="A951" s="126"/>
      <c r="B951" s="154"/>
      <c r="C951" s="146"/>
      <c r="D951" s="146"/>
      <c r="E951" s="146"/>
      <c r="F951" s="155"/>
      <c r="G951" s="146"/>
      <c r="H951" s="126"/>
      <c r="I951" s="132"/>
      <c r="J951" s="146"/>
      <c r="K951" s="126"/>
      <c r="L951" s="126"/>
      <c r="M951" s="134" t="str">
        <f t="shared" si="1"/>
        <v/>
      </c>
      <c r="N951" s="134" t="str">
        <f t="array" ref="N951">IF(M951="LOANED / ON KOL", INDEX('Step 3 FOC Request'!$G:$G, MATCH(1, ('Step 3 FOC Request'!$A:$A=W951) * ('Step 3 FOC Request'!$F:$F=E951), 0)), "-")</f>
        <v>-</v>
      </c>
      <c r="O951" s="126"/>
      <c r="P951" s="126"/>
      <c r="Q951" s="126"/>
      <c r="R951" s="126"/>
      <c r="U951" s="126"/>
      <c r="V951" s="126"/>
      <c r="W951" s="135">
        <f>MAXIFS('Step 3 FOC Request'!$A:$A, 'Step 3 FOC Request'!$F:$F, $E951)</f>
        <v>0</v>
      </c>
      <c r="X951" s="135">
        <f>MAXIFS('Step 4 FOC Return'!$A:$A, 'Step 4 FOC Return'!$E:$E, $E951)</f>
        <v>0</v>
      </c>
      <c r="Y951" s="126"/>
    </row>
    <row r="952">
      <c r="A952" s="126"/>
      <c r="B952" s="154"/>
      <c r="C952" s="146"/>
      <c r="D952" s="146"/>
      <c r="E952" s="146"/>
      <c r="F952" s="155"/>
      <c r="G952" s="146"/>
      <c r="H952" s="126"/>
      <c r="I952" s="132"/>
      <c r="J952" s="146"/>
      <c r="K952" s="126"/>
      <c r="L952" s="126"/>
      <c r="M952" s="134" t="str">
        <f t="shared" si="1"/>
        <v/>
      </c>
      <c r="N952" s="134" t="str">
        <f t="array" ref="N952">IF(M952="LOANED / ON KOL", INDEX('Step 3 FOC Request'!$G:$G, MATCH(1, ('Step 3 FOC Request'!$A:$A=W952) * ('Step 3 FOC Request'!$F:$F=E952), 0)), "-")</f>
        <v>-</v>
      </c>
      <c r="O952" s="126"/>
      <c r="P952" s="126"/>
      <c r="Q952" s="126"/>
      <c r="R952" s="126"/>
      <c r="U952" s="126"/>
      <c r="V952" s="126"/>
      <c r="W952" s="135">
        <f>MAXIFS('Step 3 FOC Request'!$A:$A, 'Step 3 FOC Request'!$F:$F, $E952)</f>
        <v>0</v>
      </c>
      <c r="X952" s="135">
        <f>MAXIFS('Step 4 FOC Return'!$A:$A, 'Step 4 FOC Return'!$E:$E, $E952)</f>
        <v>0</v>
      </c>
      <c r="Y952" s="126"/>
    </row>
    <row r="953">
      <c r="A953" s="126"/>
      <c r="B953" s="154"/>
      <c r="C953" s="146"/>
      <c r="D953" s="146"/>
      <c r="E953" s="146"/>
      <c r="F953" s="155"/>
      <c r="G953" s="146"/>
      <c r="H953" s="126"/>
      <c r="I953" s="132"/>
      <c r="J953" s="146"/>
      <c r="K953" s="126"/>
      <c r="L953" s="126"/>
      <c r="M953" s="134" t="str">
        <f t="shared" si="1"/>
        <v/>
      </c>
      <c r="N953" s="134" t="str">
        <f t="array" ref="N953">IF(M953="LOANED / ON KOL", INDEX('Step 3 FOC Request'!$G:$G, MATCH(1, ('Step 3 FOC Request'!$A:$A=W953) * ('Step 3 FOC Request'!$F:$F=E953), 0)), "-")</f>
        <v>-</v>
      </c>
      <c r="O953" s="126"/>
      <c r="P953" s="126"/>
      <c r="Q953" s="126"/>
      <c r="R953" s="126"/>
      <c r="U953" s="126"/>
      <c r="V953" s="126"/>
      <c r="W953" s="135">
        <f>MAXIFS('Step 3 FOC Request'!$A:$A, 'Step 3 FOC Request'!$F:$F, $E953)</f>
        <v>0</v>
      </c>
      <c r="X953" s="135">
        <f>MAXIFS('Step 4 FOC Return'!$A:$A, 'Step 4 FOC Return'!$E:$E, $E953)</f>
        <v>0</v>
      </c>
      <c r="Y953" s="126"/>
    </row>
    <row r="954">
      <c r="A954" s="126"/>
      <c r="B954" s="154"/>
      <c r="C954" s="146"/>
      <c r="D954" s="146"/>
      <c r="E954" s="146"/>
      <c r="F954" s="155"/>
      <c r="G954" s="146"/>
      <c r="H954" s="126"/>
      <c r="I954" s="132"/>
      <c r="J954" s="146"/>
      <c r="K954" s="126"/>
      <c r="L954" s="126"/>
      <c r="M954" s="134" t="str">
        <f t="shared" si="1"/>
        <v/>
      </c>
      <c r="N954" s="134" t="str">
        <f t="array" ref="N954">IF(M954="LOANED / ON KOL", INDEX('Step 3 FOC Request'!$G:$G, MATCH(1, ('Step 3 FOC Request'!$A:$A=W954) * ('Step 3 FOC Request'!$F:$F=E954), 0)), "-")</f>
        <v>-</v>
      </c>
      <c r="O954" s="126"/>
      <c r="P954" s="126"/>
      <c r="Q954" s="126"/>
      <c r="R954" s="126"/>
      <c r="U954" s="126"/>
      <c r="V954" s="126"/>
      <c r="W954" s="135">
        <f>MAXIFS('Step 3 FOC Request'!$A:$A, 'Step 3 FOC Request'!$F:$F, $E954)</f>
        <v>0</v>
      </c>
      <c r="X954" s="135">
        <f>MAXIFS('Step 4 FOC Return'!$A:$A, 'Step 4 FOC Return'!$E:$E, $E954)</f>
        <v>0</v>
      </c>
      <c r="Y954" s="126"/>
    </row>
    <row r="955">
      <c r="A955" s="126"/>
      <c r="B955" s="154"/>
      <c r="C955" s="146"/>
      <c r="D955" s="146"/>
      <c r="E955" s="146"/>
      <c r="F955" s="155"/>
      <c r="G955" s="146"/>
      <c r="H955" s="126"/>
      <c r="I955" s="132"/>
      <c r="J955" s="146"/>
      <c r="K955" s="126"/>
      <c r="L955" s="126"/>
      <c r="M955" s="134" t="str">
        <f t="shared" si="1"/>
        <v/>
      </c>
      <c r="N955" s="134" t="str">
        <f t="array" ref="N955">IF(M955="LOANED / ON KOL", INDEX('Step 3 FOC Request'!$G:$G, MATCH(1, ('Step 3 FOC Request'!$A:$A=W955) * ('Step 3 FOC Request'!$F:$F=E955), 0)), "-")</f>
        <v>-</v>
      </c>
      <c r="O955" s="126"/>
      <c r="P955" s="126"/>
      <c r="Q955" s="126"/>
      <c r="R955" s="126"/>
      <c r="U955" s="126"/>
      <c r="V955" s="126"/>
      <c r="W955" s="135">
        <f>MAXIFS('Step 3 FOC Request'!$A:$A, 'Step 3 FOC Request'!$F:$F, $E955)</f>
        <v>0</v>
      </c>
      <c r="X955" s="135">
        <f>MAXIFS('Step 4 FOC Return'!$A:$A, 'Step 4 FOC Return'!$E:$E, $E955)</f>
        <v>0</v>
      </c>
      <c r="Y955" s="126"/>
    </row>
    <row r="956">
      <c r="A956" s="126"/>
      <c r="B956" s="154"/>
      <c r="C956" s="146"/>
      <c r="D956" s="146"/>
      <c r="E956" s="146"/>
      <c r="F956" s="155"/>
      <c r="G956" s="146"/>
      <c r="H956" s="126"/>
      <c r="I956" s="132"/>
      <c r="J956" s="146"/>
      <c r="K956" s="126"/>
      <c r="L956" s="126"/>
      <c r="M956" s="134" t="str">
        <f t="shared" si="1"/>
        <v/>
      </c>
      <c r="N956" s="134" t="str">
        <f t="array" ref="N956">IF(M956="LOANED / ON KOL", INDEX('Step 3 FOC Request'!$G:$G, MATCH(1, ('Step 3 FOC Request'!$A:$A=W956) * ('Step 3 FOC Request'!$F:$F=E956), 0)), "-")</f>
        <v>-</v>
      </c>
      <c r="O956" s="126"/>
      <c r="P956" s="126"/>
      <c r="Q956" s="126"/>
      <c r="R956" s="126"/>
      <c r="U956" s="126"/>
      <c r="V956" s="126"/>
      <c r="W956" s="135">
        <f>MAXIFS('Step 3 FOC Request'!$A:$A, 'Step 3 FOC Request'!$F:$F, $E956)</f>
        <v>0</v>
      </c>
      <c r="X956" s="135">
        <f>MAXIFS('Step 4 FOC Return'!$A:$A, 'Step 4 FOC Return'!$E:$E, $E956)</f>
        <v>0</v>
      </c>
      <c r="Y956" s="126"/>
    </row>
    <row r="957">
      <c r="A957" s="126"/>
      <c r="B957" s="154"/>
      <c r="C957" s="146"/>
      <c r="D957" s="146"/>
      <c r="E957" s="146"/>
      <c r="F957" s="155"/>
      <c r="G957" s="146"/>
      <c r="H957" s="126"/>
      <c r="I957" s="132"/>
      <c r="J957" s="146"/>
      <c r="K957" s="126"/>
      <c r="L957" s="126"/>
      <c r="M957" s="134" t="str">
        <f t="shared" si="1"/>
        <v/>
      </c>
      <c r="N957" s="134" t="str">
        <f t="array" ref="N957">IF(M957="LOANED / ON KOL", INDEX('Step 3 FOC Request'!$G:$G, MATCH(1, ('Step 3 FOC Request'!$A:$A=W957) * ('Step 3 FOC Request'!$F:$F=E957), 0)), "-")</f>
        <v>-</v>
      </c>
      <c r="O957" s="126"/>
      <c r="P957" s="126"/>
      <c r="Q957" s="126"/>
      <c r="R957" s="126"/>
      <c r="U957" s="126"/>
      <c r="V957" s="126"/>
      <c r="W957" s="135">
        <f>MAXIFS('Step 3 FOC Request'!$A:$A, 'Step 3 FOC Request'!$F:$F, $E957)</f>
        <v>0</v>
      </c>
      <c r="X957" s="135">
        <f>MAXIFS('Step 4 FOC Return'!$A:$A, 'Step 4 FOC Return'!$E:$E, $E957)</f>
        <v>0</v>
      </c>
      <c r="Y957" s="126"/>
    </row>
    <row r="958">
      <c r="A958" s="126"/>
      <c r="B958" s="154"/>
      <c r="C958" s="146"/>
      <c r="D958" s="146"/>
      <c r="E958" s="146"/>
      <c r="F958" s="155"/>
      <c r="G958" s="146"/>
      <c r="H958" s="126"/>
      <c r="I958" s="132"/>
      <c r="J958" s="146"/>
      <c r="K958" s="126"/>
      <c r="L958" s="126"/>
      <c r="M958" s="134" t="str">
        <f t="shared" si="1"/>
        <v/>
      </c>
      <c r="N958" s="134" t="str">
        <f t="array" ref="N958">IF(M958="LOANED / ON KOL", INDEX('Step 3 FOC Request'!$G:$G, MATCH(1, ('Step 3 FOC Request'!$A:$A=W958) * ('Step 3 FOC Request'!$F:$F=E958), 0)), "-")</f>
        <v>-</v>
      </c>
      <c r="O958" s="126"/>
      <c r="P958" s="126"/>
      <c r="Q958" s="126"/>
      <c r="R958" s="126"/>
      <c r="U958" s="126"/>
      <c r="V958" s="126"/>
      <c r="W958" s="135">
        <f>MAXIFS('Step 3 FOC Request'!$A:$A, 'Step 3 FOC Request'!$F:$F, $E958)</f>
        <v>0</v>
      </c>
      <c r="X958" s="135">
        <f>MAXIFS('Step 4 FOC Return'!$A:$A, 'Step 4 FOC Return'!$E:$E, $E958)</f>
        <v>0</v>
      </c>
      <c r="Y958" s="126"/>
    </row>
    <row r="959">
      <c r="A959" s="126"/>
      <c r="B959" s="154"/>
      <c r="C959" s="146"/>
      <c r="D959" s="146"/>
      <c r="E959" s="146"/>
      <c r="F959" s="155"/>
      <c r="G959" s="146"/>
      <c r="H959" s="126"/>
      <c r="I959" s="132"/>
      <c r="J959" s="146"/>
      <c r="K959" s="126"/>
      <c r="L959" s="126"/>
      <c r="M959" s="134" t="str">
        <f t="shared" si="1"/>
        <v/>
      </c>
      <c r="N959" s="134" t="str">
        <f t="array" ref="N959">IF(M959="LOANED / ON KOL", INDEX('Step 3 FOC Request'!$G:$G, MATCH(1, ('Step 3 FOC Request'!$A:$A=W959) * ('Step 3 FOC Request'!$F:$F=E959), 0)), "-")</f>
        <v>-</v>
      </c>
      <c r="O959" s="126"/>
      <c r="P959" s="126"/>
      <c r="Q959" s="126"/>
      <c r="R959" s="126"/>
      <c r="U959" s="126"/>
      <c r="V959" s="126"/>
      <c r="W959" s="135">
        <f>MAXIFS('Step 3 FOC Request'!$A:$A, 'Step 3 FOC Request'!$F:$F, $E959)</f>
        <v>0</v>
      </c>
      <c r="X959" s="135">
        <f>MAXIFS('Step 4 FOC Return'!$A:$A, 'Step 4 FOC Return'!$E:$E, $E959)</f>
        <v>0</v>
      </c>
      <c r="Y959" s="126"/>
    </row>
    <row r="960">
      <c r="A960" s="126"/>
      <c r="B960" s="154"/>
      <c r="C960" s="146"/>
      <c r="D960" s="146"/>
      <c r="E960" s="146"/>
      <c r="F960" s="155"/>
      <c r="G960" s="146"/>
      <c r="H960" s="126"/>
      <c r="I960" s="132"/>
      <c r="J960" s="146"/>
      <c r="K960" s="126"/>
      <c r="L960" s="126"/>
      <c r="M960" s="134" t="str">
        <f t="shared" si="1"/>
        <v/>
      </c>
      <c r="N960" s="134" t="str">
        <f t="array" ref="N960">IF(M960="LOANED / ON KOL", INDEX('Step 3 FOC Request'!$G:$G, MATCH(1, ('Step 3 FOC Request'!$A:$A=W960) * ('Step 3 FOC Request'!$F:$F=E960), 0)), "-")</f>
        <v>-</v>
      </c>
      <c r="O960" s="126"/>
      <c r="P960" s="126"/>
      <c r="Q960" s="126"/>
      <c r="R960" s="126"/>
      <c r="U960" s="126"/>
      <c r="V960" s="126"/>
      <c r="W960" s="135">
        <f>MAXIFS('Step 3 FOC Request'!$A:$A, 'Step 3 FOC Request'!$F:$F, $E960)</f>
        <v>0</v>
      </c>
      <c r="X960" s="135">
        <f>MAXIFS('Step 4 FOC Return'!$A:$A, 'Step 4 FOC Return'!$E:$E, $E960)</f>
        <v>0</v>
      </c>
      <c r="Y960" s="126"/>
    </row>
    <row r="961">
      <c r="A961" s="126"/>
      <c r="B961" s="154"/>
      <c r="C961" s="146"/>
      <c r="D961" s="146"/>
      <c r="E961" s="146"/>
      <c r="F961" s="155"/>
      <c r="G961" s="146"/>
      <c r="H961" s="126"/>
      <c r="I961" s="132"/>
      <c r="J961" s="146"/>
      <c r="K961" s="126"/>
      <c r="L961" s="126"/>
      <c r="M961" s="134" t="str">
        <f t="shared" si="1"/>
        <v/>
      </c>
      <c r="N961" s="134" t="str">
        <f t="array" ref="N961">IF(M961="LOANED / ON KOL", INDEX('Step 3 FOC Request'!$G:$G, MATCH(1, ('Step 3 FOC Request'!$A:$A=W961) * ('Step 3 FOC Request'!$F:$F=E961), 0)), "-")</f>
        <v>-</v>
      </c>
      <c r="O961" s="126"/>
      <c r="P961" s="126"/>
      <c r="Q961" s="126"/>
      <c r="R961" s="126"/>
      <c r="U961" s="126"/>
      <c r="V961" s="126"/>
      <c r="W961" s="135">
        <f>MAXIFS('Step 3 FOC Request'!$A:$A, 'Step 3 FOC Request'!$F:$F, $E961)</f>
        <v>0</v>
      </c>
      <c r="X961" s="135">
        <f>MAXIFS('Step 4 FOC Return'!$A:$A, 'Step 4 FOC Return'!$E:$E, $E961)</f>
        <v>0</v>
      </c>
      <c r="Y961" s="126"/>
    </row>
    <row r="962">
      <c r="A962" s="126"/>
      <c r="B962" s="154"/>
      <c r="C962" s="146"/>
      <c r="D962" s="146"/>
      <c r="E962" s="146"/>
      <c r="F962" s="155"/>
      <c r="G962" s="146"/>
      <c r="H962" s="126"/>
      <c r="I962" s="132"/>
      <c r="J962" s="146"/>
      <c r="K962" s="126"/>
      <c r="L962" s="126"/>
      <c r="M962" s="134" t="str">
        <f t="shared" si="1"/>
        <v/>
      </c>
      <c r="N962" s="134" t="str">
        <f t="array" ref="N962">IF(M962="LOANED / ON KOL", INDEX('Step 3 FOC Request'!$G:$G, MATCH(1, ('Step 3 FOC Request'!$A:$A=W962) * ('Step 3 FOC Request'!$F:$F=E962), 0)), "-")</f>
        <v>-</v>
      </c>
      <c r="O962" s="126"/>
      <c r="P962" s="126"/>
      <c r="Q962" s="126"/>
      <c r="R962" s="126"/>
      <c r="U962" s="126"/>
      <c r="V962" s="126"/>
      <c r="W962" s="135">
        <f>MAXIFS('Step 3 FOC Request'!$A:$A, 'Step 3 FOC Request'!$F:$F, $E962)</f>
        <v>0</v>
      </c>
      <c r="X962" s="135">
        <f>MAXIFS('Step 4 FOC Return'!$A:$A, 'Step 4 FOC Return'!$E:$E, $E962)</f>
        <v>0</v>
      </c>
      <c r="Y962" s="126"/>
    </row>
    <row r="963">
      <c r="A963" s="126"/>
      <c r="B963" s="154"/>
      <c r="C963" s="146"/>
      <c r="D963" s="146"/>
      <c r="E963" s="146"/>
      <c r="F963" s="155"/>
      <c r="G963" s="146"/>
      <c r="H963" s="126"/>
      <c r="I963" s="132"/>
      <c r="J963" s="146"/>
      <c r="K963" s="126"/>
      <c r="L963" s="126"/>
      <c r="M963" s="134" t="str">
        <f t="shared" si="1"/>
        <v/>
      </c>
      <c r="N963" s="134" t="str">
        <f t="array" ref="N963">IF(M963="LOANED / ON KOL", INDEX('Step 3 FOC Request'!$G:$G, MATCH(1, ('Step 3 FOC Request'!$A:$A=W963) * ('Step 3 FOC Request'!$F:$F=E963), 0)), "-")</f>
        <v>-</v>
      </c>
      <c r="O963" s="126"/>
      <c r="P963" s="126"/>
      <c r="Q963" s="126"/>
      <c r="R963" s="126"/>
      <c r="U963" s="126"/>
      <c r="V963" s="126"/>
      <c r="W963" s="135">
        <f>MAXIFS('Step 3 FOC Request'!$A:$A, 'Step 3 FOC Request'!$F:$F, $E963)</f>
        <v>0</v>
      </c>
      <c r="X963" s="135">
        <f>MAXIFS('Step 4 FOC Return'!$A:$A, 'Step 4 FOC Return'!$E:$E, $E963)</f>
        <v>0</v>
      </c>
      <c r="Y963" s="126"/>
    </row>
    <row r="964">
      <c r="A964" s="126"/>
      <c r="B964" s="154"/>
      <c r="C964" s="146"/>
      <c r="D964" s="146"/>
      <c r="E964" s="146"/>
      <c r="F964" s="155"/>
      <c r="G964" s="146"/>
      <c r="H964" s="126"/>
      <c r="I964" s="132"/>
      <c r="J964" s="146"/>
      <c r="K964" s="126"/>
      <c r="L964" s="126"/>
      <c r="M964" s="134" t="str">
        <f t="shared" si="1"/>
        <v/>
      </c>
      <c r="N964" s="134" t="str">
        <f t="array" ref="N964">IF(M964="LOANED / ON KOL", INDEX('Step 3 FOC Request'!$G:$G, MATCH(1, ('Step 3 FOC Request'!$A:$A=W964) * ('Step 3 FOC Request'!$F:$F=E964), 0)), "-")</f>
        <v>-</v>
      </c>
      <c r="O964" s="126"/>
      <c r="P964" s="126"/>
      <c r="Q964" s="126"/>
      <c r="R964" s="126"/>
      <c r="U964" s="126"/>
      <c r="V964" s="126"/>
      <c r="W964" s="135">
        <f>MAXIFS('Step 3 FOC Request'!$A:$A, 'Step 3 FOC Request'!$F:$F, $E964)</f>
        <v>0</v>
      </c>
      <c r="X964" s="135">
        <f>MAXIFS('Step 4 FOC Return'!$A:$A, 'Step 4 FOC Return'!$E:$E, $E964)</f>
        <v>0</v>
      </c>
      <c r="Y964" s="126"/>
    </row>
    <row r="965">
      <c r="A965" s="126"/>
      <c r="B965" s="154"/>
      <c r="C965" s="146"/>
      <c r="D965" s="146"/>
      <c r="E965" s="146"/>
      <c r="F965" s="155"/>
      <c r="G965" s="146"/>
      <c r="H965" s="126"/>
      <c r="I965" s="132"/>
      <c r="J965" s="146"/>
      <c r="K965" s="126"/>
      <c r="L965" s="126"/>
      <c r="M965" s="134" t="str">
        <f t="shared" si="1"/>
        <v/>
      </c>
      <c r="N965" s="134" t="str">
        <f t="array" ref="N965">IF(M965="LOANED / ON KOL", INDEX('Step 3 FOC Request'!$G:$G, MATCH(1, ('Step 3 FOC Request'!$A:$A=W965) * ('Step 3 FOC Request'!$F:$F=E965), 0)), "-")</f>
        <v>-</v>
      </c>
      <c r="O965" s="126"/>
      <c r="P965" s="126"/>
      <c r="Q965" s="126"/>
      <c r="R965" s="126"/>
      <c r="U965" s="126"/>
      <c r="V965" s="126"/>
      <c r="W965" s="135">
        <f>MAXIFS('Step 3 FOC Request'!$A:$A, 'Step 3 FOC Request'!$F:$F, $E965)</f>
        <v>0</v>
      </c>
      <c r="X965" s="135">
        <f>MAXIFS('Step 4 FOC Return'!$A:$A, 'Step 4 FOC Return'!$E:$E, $E965)</f>
        <v>0</v>
      </c>
      <c r="Y965" s="126"/>
    </row>
    <row r="966">
      <c r="A966" s="126"/>
      <c r="B966" s="154"/>
      <c r="C966" s="146"/>
      <c r="D966" s="146"/>
      <c r="E966" s="146"/>
      <c r="F966" s="155"/>
      <c r="G966" s="146"/>
      <c r="H966" s="126"/>
      <c r="I966" s="132"/>
      <c r="J966" s="146"/>
      <c r="K966" s="126"/>
      <c r="L966" s="126"/>
      <c r="M966" s="134" t="str">
        <f t="shared" si="1"/>
        <v/>
      </c>
      <c r="N966" s="134" t="str">
        <f t="array" ref="N966">IF(M966="LOANED / ON KOL", INDEX('Step 3 FOC Request'!$G:$G, MATCH(1, ('Step 3 FOC Request'!$A:$A=W966) * ('Step 3 FOC Request'!$F:$F=E966), 0)), "-")</f>
        <v>-</v>
      </c>
      <c r="O966" s="126"/>
      <c r="P966" s="126"/>
      <c r="Q966" s="126"/>
      <c r="R966" s="126"/>
      <c r="U966" s="126"/>
      <c r="V966" s="126"/>
      <c r="W966" s="135">
        <f>MAXIFS('Step 3 FOC Request'!$A:$A, 'Step 3 FOC Request'!$F:$F, $E966)</f>
        <v>0</v>
      </c>
      <c r="X966" s="135">
        <f>MAXIFS('Step 4 FOC Return'!$A:$A, 'Step 4 FOC Return'!$E:$E, $E966)</f>
        <v>0</v>
      </c>
      <c r="Y966" s="126"/>
    </row>
    <row r="967">
      <c r="A967" s="126"/>
      <c r="B967" s="154"/>
      <c r="C967" s="146"/>
      <c r="D967" s="146"/>
      <c r="E967" s="146"/>
      <c r="F967" s="155"/>
      <c r="G967" s="146"/>
      <c r="H967" s="126"/>
      <c r="I967" s="132"/>
      <c r="J967" s="146"/>
      <c r="K967" s="126"/>
      <c r="L967" s="126"/>
      <c r="M967" s="134" t="str">
        <f t="shared" si="1"/>
        <v/>
      </c>
      <c r="N967" s="134" t="str">
        <f t="array" ref="N967">IF(M967="LOANED / ON KOL", INDEX('Step 3 FOC Request'!$G:$G, MATCH(1, ('Step 3 FOC Request'!$A:$A=W967) * ('Step 3 FOC Request'!$F:$F=E967), 0)), "-")</f>
        <v>-</v>
      </c>
      <c r="O967" s="126"/>
      <c r="P967" s="126"/>
      <c r="Q967" s="126"/>
      <c r="R967" s="126"/>
      <c r="U967" s="126"/>
      <c r="V967" s="126"/>
      <c r="W967" s="135">
        <f>MAXIFS('Step 3 FOC Request'!$A:$A, 'Step 3 FOC Request'!$F:$F, $E967)</f>
        <v>0</v>
      </c>
      <c r="X967" s="135">
        <f>MAXIFS('Step 4 FOC Return'!$A:$A, 'Step 4 FOC Return'!$E:$E, $E967)</f>
        <v>0</v>
      </c>
      <c r="Y967" s="126"/>
    </row>
    <row r="968">
      <c r="A968" s="126"/>
      <c r="B968" s="154"/>
      <c r="C968" s="146"/>
      <c r="D968" s="146"/>
      <c r="E968" s="146"/>
      <c r="F968" s="155"/>
      <c r="G968" s="146"/>
      <c r="H968" s="126"/>
      <c r="I968" s="132"/>
      <c r="J968" s="146"/>
      <c r="K968" s="126"/>
      <c r="L968" s="126"/>
      <c r="M968" s="134" t="str">
        <f t="shared" si="1"/>
        <v/>
      </c>
      <c r="N968" s="134" t="str">
        <f t="array" ref="N968">IF(M968="LOANED / ON KOL", INDEX('Step 3 FOC Request'!$G:$G, MATCH(1, ('Step 3 FOC Request'!$A:$A=W968) * ('Step 3 FOC Request'!$F:$F=E968), 0)), "-")</f>
        <v>-</v>
      </c>
      <c r="O968" s="126"/>
      <c r="P968" s="126"/>
      <c r="Q968" s="126"/>
      <c r="R968" s="126"/>
      <c r="U968" s="126"/>
      <c r="V968" s="126"/>
      <c r="W968" s="135">
        <f>MAXIFS('Step 3 FOC Request'!$A:$A, 'Step 3 FOC Request'!$F:$F, $E968)</f>
        <v>0</v>
      </c>
      <c r="X968" s="135">
        <f>MAXIFS('Step 4 FOC Return'!$A:$A, 'Step 4 FOC Return'!$E:$E, $E968)</f>
        <v>0</v>
      </c>
      <c r="Y968" s="126"/>
    </row>
    <row r="969">
      <c r="A969" s="126"/>
      <c r="B969" s="154"/>
      <c r="C969" s="146"/>
      <c r="D969" s="146"/>
      <c r="E969" s="146"/>
      <c r="F969" s="155"/>
      <c r="G969" s="146"/>
      <c r="H969" s="126"/>
      <c r="I969" s="132"/>
      <c r="J969" s="146"/>
      <c r="K969" s="126"/>
      <c r="L969" s="126"/>
      <c r="M969" s="134" t="str">
        <f t="shared" si="1"/>
        <v/>
      </c>
      <c r="N969" s="134" t="str">
        <f t="array" ref="N969">IF(M969="LOANED / ON KOL", INDEX('Step 3 FOC Request'!$G:$G, MATCH(1, ('Step 3 FOC Request'!$A:$A=W969) * ('Step 3 FOC Request'!$F:$F=E969), 0)), "-")</f>
        <v>-</v>
      </c>
      <c r="O969" s="126"/>
      <c r="P969" s="126"/>
      <c r="Q969" s="126"/>
      <c r="R969" s="126"/>
      <c r="U969" s="126"/>
      <c r="V969" s="126"/>
      <c r="W969" s="135">
        <f>MAXIFS('Step 3 FOC Request'!$A:$A, 'Step 3 FOC Request'!$F:$F, $E969)</f>
        <v>0</v>
      </c>
      <c r="X969" s="135">
        <f>MAXIFS('Step 4 FOC Return'!$A:$A, 'Step 4 FOC Return'!$E:$E, $E969)</f>
        <v>0</v>
      </c>
      <c r="Y969" s="126"/>
    </row>
    <row r="970">
      <c r="A970" s="126"/>
      <c r="B970" s="154"/>
      <c r="C970" s="146"/>
      <c r="D970" s="146"/>
      <c r="E970" s="146"/>
      <c r="F970" s="155"/>
      <c r="G970" s="146"/>
      <c r="H970" s="126"/>
      <c r="I970" s="132"/>
      <c r="J970" s="146"/>
      <c r="K970" s="126"/>
      <c r="L970" s="126"/>
      <c r="M970" s="134" t="str">
        <f t="shared" si="1"/>
        <v/>
      </c>
      <c r="N970" s="134" t="str">
        <f t="array" ref="N970">IF(M970="LOANED / ON KOL", INDEX('Step 3 FOC Request'!$G:$G, MATCH(1, ('Step 3 FOC Request'!$A:$A=W970) * ('Step 3 FOC Request'!$F:$F=E970), 0)), "-")</f>
        <v>-</v>
      </c>
      <c r="O970" s="126"/>
      <c r="P970" s="126"/>
      <c r="Q970" s="126"/>
      <c r="R970" s="126"/>
      <c r="U970" s="126"/>
      <c r="V970" s="126"/>
      <c r="W970" s="135">
        <f>MAXIFS('Step 3 FOC Request'!$A:$A, 'Step 3 FOC Request'!$F:$F, $E970)</f>
        <v>0</v>
      </c>
      <c r="X970" s="135">
        <f>MAXIFS('Step 4 FOC Return'!$A:$A, 'Step 4 FOC Return'!$E:$E, $E970)</f>
        <v>0</v>
      </c>
      <c r="Y970" s="126"/>
    </row>
    <row r="971">
      <c r="A971" s="126"/>
      <c r="B971" s="154"/>
      <c r="C971" s="146"/>
      <c r="D971" s="146"/>
      <c r="E971" s="146"/>
      <c r="F971" s="155"/>
      <c r="G971" s="146"/>
      <c r="H971" s="126"/>
      <c r="I971" s="132"/>
      <c r="J971" s="146"/>
      <c r="K971" s="126"/>
      <c r="L971" s="126"/>
      <c r="M971" s="134" t="str">
        <f t="shared" si="1"/>
        <v/>
      </c>
      <c r="N971" s="134" t="str">
        <f t="array" ref="N971">IF(M971="LOANED / ON KOL", INDEX('Step 3 FOC Request'!$G:$G, MATCH(1, ('Step 3 FOC Request'!$A:$A=W971) * ('Step 3 FOC Request'!$F:$F=E971), 0)), "-")</f>
        <v>-</v>
      </c>
      <c r="O971" s="126"/>
      <c r="P971" s="126"/>
      <c r="Q971" s="126"/>
      <c r="R971" s="126"/>
      <c r="U971" s="126"/>
      <c r="V971" s="126"/>
      <c r="W971" s="135">
        <f>MAXIFS('Step 3 FOC Request'!$A:$A, 'Step 3 FOC Request'!$F:$F, $E971)</f>
        <v>0</v>
      </c>
      <c r="X971" s="135">
        <f>MAXIFS('Step 4 FOC Return'!$A:$A, 'Step 4 FOC Return'!$E:$E, $E971)</f>
        <v>0</v>
      </c>
      <c r="Y971" s="126"/>
    </row>
    <row r="972">
      <c r="A972" s="126"/>
      <c r="B972" s="154"/>
      <c r="C972" s="146"/>
      <c r="D972" s="146"/>
      <c r="E972" s="146"/>
      <c r="F972" s="155"/>
      <c r="G972" s="146"/>
      <c r="H972" s="126"/>
      <c r="I972" s="132"/>
      <c r="J972" s="146"/>
      <c r="K972" s="126"/>
      <c r="L972" s="126"/>
      <c r="M972" s="134" t="str">
        <f t="shared" si="1"/>
        <v/>
      </c>
      <c r="N972" s="134" t="str">
        <f t="array" ref="N972">IF(M972="LOANED / ON KOL", INDEX('Step 3 FOC Request'!$G:$G, MATCH(1, ('Step 3 FOC Request'!$A:$A=W972) * ('Step 3 FOC Request'!$F:$F=E972), 0)), "-")</f>
        <v>-</v>
      </c>
      <c r="O972" s="126"/>
      <c r="P972" s="126"/>
      <c r="Q972" s="126"/>
      <c r="R972" s="126"/>
      <c r="U972" s="126"/>
      <c r="V972" s="126"/>
      <c r="W972" s="135">
        <f>MAXIFS('Step 3 FOC Request'!$A:$A, 'Step 3 FOC Request'!$F:$F, $E972)</f>
        <v>0</v>
      </c>
      <c r="X972" s="135">
        <f>MAXIFS('Step 4 FOC Return'!$A:$A, 'Step 4 FOC Return'!$E:$E, $E972)</f>
        <v>0</v>
      </c>
      <c r="Y972" s="126"/>
    </row>
    <row r="973">
      <c r="A973" s="126"/>
      <c r="B973" s="154"/>
      <c r="C973" s="146"/>
      <c r="D973" s="146"/>
      <c r="E973" s="146"/>
      <c r="F973" s="155"/>
      <c r="G973" s="146"/>
      <c r="H973" s="126"/>
      <c r="I973" s="132"/>
      <c r="J973" s="146"/>
      <c r="K973" s="126"/>
      <c r="L973" s="126"/>
      <c r="M973" s="134" t="str">
        <f t="shared" si="1"/>
        <v/>
      </c>
      <c r="N973" s="134" t="str">
        <f t="array" ref="N973">IF(M973="LOANED / ON KOL", INDEX('Step 3 FOC Request'!$G:$G, MATCH(1, ('Step 3 FOC Request'!$A:$A=W973) * ('Step 3 FOC Request'!$F:$F=E973), 0)), "-")</f>
        <v>-</v>
      </c>
      <c r="O973" s="126"/>
      <c r="P973" s="126"/>
      <c r="Q973" s="126"/>
      <c r="R973" s="126"/>
      <c r="U973" s="126"/>
      <c r="V973" s="126"/>
      <c r="W973" s="135">
        <f>MAXIFS('Step 3 FOC Request'!$A:$A, 'Step 3 FOC Request'!$F:$F, $E973)</f>
        <v>0</v>
      </c>
      <c r="X973" s="135">
        <f>MAXIFS('Step 4 FOC Return'!$A:$A, 'Step 4 FOC Return'!$E:$E, $E973)</f>
        <v>0</v>
      </c>
      <c r="Y973" s="126"/>
    </row>
    <row r="974">
      <c r="A974" s="126"/>
      <c r="B974" s="154"/>
      <c r="C974" s="146"/>
      <c r="D974" s="146"/>
      <c r="E974" s="146"/>
      <c r="F974" s="155"/>
      <c r="G974" s="146"/>
      <c r="H974" s="126"/>
      <c r="I974" s="132"/>
      <c r="J974" s="146"/>
      <c r="K974" s="126"/>
      <c r="L974" s="126"/>
      <c r="M974" s="134" t="str">
        <f t="shared" si="1"/>
        <v/>
      </c>
      <c r="N974" s="134" t="str">
        <f t="array" ref="N974">IF(M974="LOANED / ON KOL", INDEX('Step 3 FOC Request'!$G:$G, MATCH(1, ('Step 3 FOC Request'!$A:$A=W974) * ('Step 3 FOC Request'!$F:$F=E974), 0)), "-")</f>
        <v>-</v>
      </c>
      <c r="O974" s="126"/>
      <c r="P974" s="126"/>
      <c r="Q974" s="126"/>
      <c r="R974" s="126"/>
      <c r="U974" s="126"/>
      <c r="V974" s="126"/>
      <c r="W974" s="135">
        <f>MAXIFS('Step 3 FOC Request'!$A:$A, 'Step 3 FOC Request'!$F:$F, $E974)</f>
        <v>0</v>
      </c>
      <c r="X974" s="135">
        <f>MAXIFS('Step 4 FOC Return'!$A:$A, 'Step 4 FOC Return'!$E:$E, $E974)</f>
        <v>0</v>
      </c>
      <c r="Y974" s="126"/>
    </row>
    <row r="975">
      <c r="A975" s="126"/>
      <c r="B975" s="154"/>
      <c r="C975" s="146"/>
      <c r="D975" s="146"/>
      <c r="E975" s="146"/>
      <c r="F975" s="155"/>
      <c r="G975" s="146"/>
      <c r="H975" s="126"/>
      <c r="I975" s="132"/>
      <c r="J975" s="146"/>
      <c r="K975" s="126"/>
      <c r="L975" s="126"/>
      <c r="M975" s="134" t="str">
        <f t="shared" si="1"/>
        <v/>
      </c>
      <c r="N975" s="134" t="str">
        <f t="array" ref="N975">IF(M975="LOANED / ON KOL", INDEX('Step 3 FOC Request'!$G:$G, MATCH(1, ('Step 3 FOC Request'!$A:$A=W975) * ('Step 3 FOC Request'!$F:$F=E975), 0)), "-")</f>
        <v>-</v>
      </c>
      <c r="O975" s="126"/>
      <c r="P975" s="126"/>
      <c r="Q975" s="126"/>
      <c r="R975" s="126"/>
      <c r="U975" s="126"/>
      <c r="V975" s="126"/>
      <c r="W975" s="135">
        <f>MAXIFS('Step 3 FOC Request'!$A:$A, 'Step 3 FOC Request'!$F:$F, $E975)</f>
        <v>0</v>
      </c>
      <c r="X975" s="135">
        <f>MAXIFS('Step 4 FOC Return'!$A:$A, 'Step 4 FOC Return'!$E:$E, $E975)</f>
        <v>0</v>
      </c>
      <c r="Y975" s="126"/>
    </row>
    <row r="976">
      <c r="A976" s="126"/>
      <c r="B976" s="154"/>
      <c r="C976" s="146"/>
      <c r="D976" s="146"/>
      <c r="E976" s="146"/>
      <c r="F976" s="155"/>
      <c r="G976" s="146"/>
      <c r="H976" s="126"/>
      <c r="I976" s="132"/>
      <c r="J976" s="146"/>
      <c r="K976" s="126"/>
      <c r="L976" s="126"/>
      <c r="M976" s="134" t="str">
        <f t="shared" si="1"/>
        <v/>
      </c>
      <c r="N976" s="134" t="str">
        <f t="array" ref="N976">IF(M976="LOANED / ON KOL", INDEX('Step 3 FOC Request'!$G:$G, MATCH(1, ('Step 3 FOC Request'!$A:$A=W976) * ('Step 3 FOC Request'!$F:$F=E976), 0)), "-")</f>
        <v>-</v>
      </c>
      <c r="O976" s="126"/>
      <c r="P976" s="126"/>
      <c r="Q976" s="126"/>
      <c r="R976" s="126"/>
      <c r="U976" s="126"/>
      <c r="V976" s="126"/>
      <c r="W976" s="135">
        <f>MAXIFS('Step 3 FOC Request'!$A:$A, 'Step 3 FOC Request'!$F:$F, $E976)</f>
        <v>0</v>
      </c>
      <c r="X976" s="135">
        <f>MAXIFS('Step 4 FOC Return'!$A:$A, 'Step 4 FOC Return'!$E:$E, $E976)</f>
        <v>0</v>
      </c>
      <c r="Y976" s="126"/>
    </row>
    <row r="977">
      <c r="A977" s="126"/>
      <c r="B977" s="154"/>
      <c r="C977" s="146"/>
      <c r="D977" s="146"/>
      <c r="E977" s="146"/>
      <c r="F977" s="155"/>
      <c r="G977" s="146"/>
      <c r="H977" s="126"/>
      <c r="I977" s="132"/>
      <c r="J977" s="146"/>
      <c r="K977" s="126"/>
      <c r="L977" s="126"/>
      <c r="M977" s="134" t="str">
        <f t="shared" si="1"/>
        <v/>
      </c>
      <c r="N977" s="134" t="str">
        <f t="array" ref="N977">IF(M977="LOANED / ON KOL", INDEX('Step 3 FOC Request'!$G:$G, MATCH(1, ('Step 3 FOC Request'!$A:$A=W977) * ('Step 3 FOC Request'!$F:$F=E977), 0)), "-")</f>
        <v>-</v>
      </c>
      <c r="O977" s="126"/>
      <c r="P977" s="126"/>
      <c r="Q977" s="126"/>
      <c r="R977" s="126"/>
      <c r="U977" s="126"/>
      <c r="V977" s="126"/>
      <c r="W977" s="135">
        <f>MAXIFS('Step 3 FOC Request'!$A:$A, 'Step 3 FOC Request'!$F:$F, $E977)</f>
        <v>0</v>
      </c>
      <c r="X977" s="135">
        <f>MAXIFS('Step 4 FOC Return'!$A:$A, 'Step 4 FOC Return'!$E:$E, $E977)</f>
        <v>0</v>
      </c>
      <c r="Y977" s="126"/>
    </row>
    <row r="978">
      <c r="A978" s="126"/>
      <c r="B978" s="154"/>
      <c r="C978" s="146"/>
      <c r="D978" s="146"/>
      <c r="E978" s="146"/>
      <c r="F978" s="155"/>
      <c r="G978" s="146"/>
      <c r="H978" s="126"/>
      <c r="I978" s="132"/>
      <c r="J978" s="146"/>
      <c r="K978" s="126"/>
      <c r="L978" s="126"/>
      <c r="M978" s="134" t="str">
        <f t="shared" si="1"/>
        <v/>
      </c>
      <c r="N978" s="134" t="str">
        <f t="array" ref="N978">IF(M978="LOANED / ON KOL", INDEX('Step 3 FOC Request'!$G:$G, MATCH(1, ('Step 3 FOC Request'!$A:$A=W978) * ('Step 3 FOC Request'!$F:$F=E978), 0)), "-")</f>
        <v>-</v>
      </c>
      <c r="O978" s="126"/>
      <c r="P978" s="126"/>
      <c r="Q978" s="126"/>
      <c r="R978" s="126"/>
      <c r="U978" s="126"/>
      <c r="V978" s="126"/>
      <c r="W978" s="135">
        <f>MAXIFS('Step 3 FOC Request'!$A:$A, 'Step 3 FOC Request'!$F:$F, $E978)</f>
        <v>0</v>
      </c>
      <c r="X978" s="135">
        <f>MAXIFS('Step 4 FOC Return'!$A:$A, 'Step 4 FOC Return'!$E:$E, $E978)</f>
        <v>0</v>
      </c>
      <c r="Y978" s="126"/>
    </row>
    <row r="979">
      <c r="A979" s="126"/>
      <c r="B979" s="154"/>
      <c r="C979" s="146"/>
      <c r="D979" s="146"/>
      <c r="E979" s="146"/>
      <c r="F979" s="155"/>
      <c r="G979" s="146"/>
      <c r="H979" s="126"/>
      <c r="I979" s="132"/>
      <c r="J979" s="146"/>
      <c r="K979" s="126"/>
      <c r="L979" s="126"/>
      <c r="M979" s="134" t="str">
        <f t="shared" si="1"/>
        <v/>
      </c>
      <c r="N979" s="134" t="str">
        <f t="array" ref="N979">IF(M979="LOANED / ON KOL", INDEX('Step 3 FOC Request'!$G:$G, MATCH(1, ('Step 3 FOC Request'!$A:$A=W979) * ('Step 3 FOC Request'!$F:$F=E979), 0)), "-")</f>
        <v>-</v>
      </c>
      <c r="O979" s="126"/>
      <c r="P979" s="126"/>
      <c r="Q979" s="126"/>
      <c r="R979" s="126"/>
      <c r="U979" s="126"/>
      <c r="V979" s="126"/>
      <c r="W979" s="135">
        <f>MAXIFS('Step 3 FOC Request'!$A:$A, 'Step 3 FOC Request'!$F:$F, $E979)</f>
        <v>0</v>
      </c>
      <c r="X979" s="135">
        <f>MAXIFS('Step 4 FOC Return'!$A:$A, 'Step 4 FOC Return'!$E:$E, $E979)</f>
        <v>0</v>
      </c>
      <c r="Y979" s="126"/>
    </row>
    <row r="980">
      <c r="A980" s="126"/>
      <c r="B980" s="154"/>
      <c r="C980" s="146"/>
      <c r="D980" s="146"/>
      <c r="E980" s="146"/>
      <c r="F980" s="155"/>
      <c r="G980" s="146"/>
      <c r="H980" s="126"/>
      <c r="I980" s="132"/>
      <c r="J980" s="146"/>
      <c r="K980" s="126"/>
      <c r="L980" s="126"/>
      <c r="M980" s="134" t="str">
        <f t="shared" si="1"/>
        <v/>
      </c>
      <c r="N980" s="134" t="str">
        <f t="array" ref="N980">IF(M980="LOANED / ON KOL", INDEX('Step 3 FOC Request'!$G:$G, MATCH(1, ('Step 3 FOC Request'!$A:$A=W980) * ('Step 3 FOC Request'!$F:$F=E980), 0)), "-")</f>
        <v>-</v>
      </c>
      <c r="O980" s="126"/>
      <c r="P980" s="126"/>
      <c r="Q980" s="126"/>
      <c r="R980" s="126"/>
      <c r="U980" s="126"/>
      <c r="V980" s="126"/>
      <c r="W980" s="135">
        <f>MAXIFS('Step 3 FOC Request'!$A:$A, 'Step 3 FOC Request'!$F:$F, $E980)</f>
        <v>0</v>
      </c>
      <c r="X980" s="135">
        <f>MAXIFS('Step 4 FOC Return'!$A:$A, 'Step 4 FOC Return'!$E:$E, $E980)</f>
        <v>0</v>
      </c>
      <c r="Y980" s="126"/>
    </row>
    <row r="981">
      <c r="A981" s="126"/>
      <c r="B981" s="154"/>
      <c r="C981" s="146"/>
      <c r="D981" s="146"/>
      <c r="E981" s="146"/>
      <c r="F981" s="155"/>
      <c r="G981" s="146"/>
      <c r="H981" s="126"/>
      <c r="I981" s="132"/>
      <c r="J981" s="146"/>
      <c r="K981" s="126"/>
      <c r="L981" s="126"/>
      <c r="M981" s="134" t="str">
        <f t="shared" si="1"/>
        <v/>
      </c>
      <c r="N981" s="134" t="str">
        <f t="array" ref="N981">IF(M981="LOANED / ON KOL", INDEX('Step 3 FOC Request'!$G:$G, MATCH(1, ('Step 3 FOC Request'!$A:$A=W981) * ('Step 3 FOC Request'!$F:$F=E981), 0)), "-")</f>
        <v>-</v>
      </c>
      <c r="O981" s="126"/>
      <c r="P981" s="126"/>
      <c r="Q981" s="126"/>
      <c r="R981" s="126"/>
      <c r="U981" s="126"/>
      <c r="V981" s="126"/>
      <c r="W981" s="135">
        <f>MAXIFS('Step 3 FOC Request'!$A:$A, 'Step 3 FOC Request'!$F:$F, $E981)</f>
        <v>0</v>
      </c>
      <c r="X981" s="135">
        <f>MAXIFS('Step 4 FOC Return'!$A:$A, 'Step 4 FOC Return'!$E:$E, $E981)</f>
        <v>0</v>
      </c>
      <c r="Y981" s="126"/>
    </row>
    <row r="982">
      <c r="A982" s="126"/>
      <c r="B982" s="154"/>
      <c r="C982" s="146"/>
      <c r="D982" s="146"/>
      <c r="E982" s="146"/>
      <c r="F982" s="155"/>
      <c r="G982" s="146"/>
      <c r="H982" s="126"/>
      <c r="I982" s="132"/>
      <c r="J982" s="146"/>
      <c r="K982" s="126"/>
      <c r="L982" s="126"/>
      <c r="M982" s="134" t="str">
        <f t="shared" si="1"/>
        <v/>
      </c>
      <c r="N982" s="134" t="str">
        <f t="array" ref="N982">IF(M982="LOANED / ON KOL", INDEX('Step 3 FOC Request'!$G:$G, MATCH(1, ('Step 3 FOC Request'!$A:$A=W982) * ('Step 3 FOC Request'!$F:$F=E982), 0)), "-")</f>
        <v>-</v>
      </c>
      <c r="O982" s="126"/>
      <c r="P982" s="126"/>
      <c r="Q982" s="126"/>
      <c r="R982" s="126"/>
      <c r="U982" s="126"/>
      <c r="V982" s="126"/>
      <c r="W982" s="135">
        <f>MAXIFS('Step 3 FOC Request'!$A:$A, 'Step 3 FOC Request'!$F:$F, $E982)</f>
        <v>0</v>
      </c>
      <c r="X982" s="135">
        <f>MAXIFS('Step 4 FOC Return'!$A:$A, 'Step 4 FOC Return'!$E:$E, $E982)</f>
        <v>0</v>
      </c>
      <c r="Y982" s="126"/>
    </row>
    <row r="983">
      <c r="A983" s="126"/>
      <c r="B983" s="154"/>
      <c r="C983" s="146"/>
      <c r="D983" s="146"/>
      <c r="E983" s="146"/>
      <c r="F983" s="155"/>
      <c r="G983" s="146"/>
      <c r="H983" s="126"/>
      <c r="I983" s="132"/>
      <c r="J983" s="146"/>
      <c r="K983" s="126"/>
      <c r="L983" s="126"/>
      <c r="M983" s="134" t="str">
        <f t="shared" si="1"/>
        <v/>
      </c>
      <c r="N983" s="134" t="str">
        <f t="array" ref="N983">IF(M983="LOANED / ON KOL", INDEX('Step 3 FOC Request'!$G:$G, MATCH(1, ('Step 3 FOC Request'!$A:$A=W983) * ('Step 3 FOC Request'!$F:$F=E983), 0)), "-")</f>
        <v>-</v>
      </c>
      <c r="O983" s="126"/>
      <c r="P983" s="126"/>
      <c r="Q983" s="126"/>
      <c r="R983" s="126"/>
      <c r="U983" s="126"/>
      <c r="V983" s="126"/>
      <c r="W983" s="135">
        <f>MAXIFS('Step 3 FOC Request'!$A:$A, 'Step 3 FOC Request'!$F:$F, $E983)</f>
        <v>0</v>
      </c>
      <c r="X983" s="135">
        <f>MAXIFS('Step 4 FOC Return'!$A:$A, 'Step 4 FOC Return'!$E:$E, $E983)</f>
        <v>0</v>
      </c>
      <c r="Y983" s="126"/>
    </row>
    <row r="984">
      <c r="A984" s="126"/>
      <c r="B984" s="154"/>
      <c r="C984" s="146"/>
      <c r="D984" s="146"/>
      <c r="E984" s="146"/>
      <c r="F984" s="155"/>
      <c r="G984" s="146"/>
      <c r="H984" s="126"/>
      <c r="I984" s="132"/>
      <c r="J984" s="146"/>
      <c r="K984" s="126"/>
      <c r="L984" s="126"/>
      <c r="M984" s="134" t="str">
        <f t="shared" si="1"/>
        <v/>
      </c>
      <c r="N984" s="134" t="str">
        <f t="array" ref="N984">IF(M984="LOANED / ON KOL", INDEX('Step 3 FOC Request'!$G:$G, MATCH(1, ('Step 3 FOC Request'!$A:$A=W984) * ('Step 3 FOC Request'!$F:$F=E984), 0)), "-")</f>
        <v>-</v>
      </c>
      <c r="O984" s="126"/>
      <c r="P984" s="126"/>
      <c r="Q984" s="126"/>
      <c r="R984" s="126"/>
      <c r="U984" s="126"/>
      <c r="V984" s="126"/>
      <c r="W984" s="135">
        <f>MAXIFS('Step 3 FOC Request'!$A:$A, 'Step 3 FOC Request'!$F:$F, $E984)</f>
        <v>0</v>
      </c>
      <c r="X984" s="135">
        <f>MAXIFS('Step 4 FOC Return'!$A:$A, 'Step 4 FOC Return'!$E:$E, $E984)</f>
        <v>0</v>
      </c>
      <c r="Y984" s="126"/>
    </row>
    <row r="985">
      <c r="A985" s="126"/>
      <c r="B985" s="154"/>
      <c r="C985" s="146"/>
      <c r="D985" s="146"/>
      <c r="E985" s="146"/>
      <c r="F985" s="155"/>
      <c r="G985" s="146"/>
      <c r="H985" s="126"/>
      <c r="I985" s="132"/>
      <c r="J985" s="146"/>
      <c r="K985" s="126"/>
      <c r="L985" s="126"/>
      <c r="M985" s="134" t="str">
        <f t="shared" si="1"/>
        <v/>
      </c>
      <c r="N985" s="134" t="str">
        <f t="array" ref="N985">IF(M985="LOANED / ON KOL", INDEX('Step 3 FOC Request'!$G:$G, MATCH(1, ('Step 3 FOC Request'!$A:$A=W985) * ('Step 3 FOC Request'!$F:$F=E985), 0)), "-")</f>
        <v>-</v>
      </c>
      <c r="O985" s="126"/>
      <c r="P985" s="126"/>
      <c r="Q985" s="126"/>
      <c r="R985" s="126"/>
      <c r="U985" s="126"/>
      <c r="V985" s="126"/>
      <c r="W985" s="135">
        <f>MAXIFS('Step 3 FOC Request'!$A:$A, 'Step 3 FOC Request'!$F:$F, $E985)</f>
        <v>0</v>
      </c>
      <c r="X985" s="135">
        <f>MAXIFS('Step 4 FOC Return'!$A:$A, 'Step 4 FOC Return'!$E:$E, $E985)</f>
        <v>0</v>
      </c>
      <c r="Y985" s="126"/>
    </row>
    <row r="986">
      <c r="A986" s="126"/>
      <c r="B986" s="154"/>
      <c r="C986" s="146"/>
      <c r="D986" s="146"/>
      <c r="E986" s="146"/>
      <c r="F986" s="155"/>
      <c r="G986" s="146"/>
      <c r="H986" s="126"/>
      <c r="I986" s="132"/>
      <c r="J986" s="146"/>
      <c r="K986" s="126"/>
      <c r="L986" s="126"/>
      <c r="M986" s="134" t="str">
        <f t="shared" si="1"/>
        <v/>
      </c>
      <c r="N986" s="134" t="str">
        <f t="array" ref="N986">IF(M986="LOANED / ON KOL", INDEX('Step 3 FOC Request'!$G:$G, MATCH(1, ('Step 3 FOC Request'!$A:$A=W986) * ('Step 3 FOC Request'!$F:$F=E986), 0)), "-")</f>
        <v>-</v>
      </c>
      <c r="O986" s="126"/>
      <c r="P986" s="126"/>
      <c r="Q986" s="126"/>
      <c r="R986" s="126"/>
      <c r="U986" s="126"/>
      <c r="V986" s="126"/>
      <c r="W986" s="135">
        <f>MAXIFS('Step 3 FOC Request'!$A:$A, 'Step 3 FOC Request'!$F:$F, $E986)</f>
        <v>0</v>
      </c>
      <c r="X986" s="135">
        <f>MAXIFS('Step 4 FOC Return'!$A:$A, 'Step 4 FOC Return'!$E:$E, $E986)</f>
        <v>0</v>
      </c>
      <c r="Y986" s="126"/>
    </row>
    <row r="987">
      <c r="A987" s="126"/>
      <c r="B987" s="154"/>
      <c r="C987" s="146"/>
      <c r="D987" s="146"/>
      <c r="E987" s="146"/>
      <c r="F987" s="155"/>
      <c r="G987" s="146"/>
      <c r="H987" s="126"/>
      <c r="I987" s="132"/>
      <c r="J987" s="146"/>
      <c r="K987" s="126"/>
      <c r="L987" s="126"/>
      <c r="M987" s="134"/>
      <c r="N987" s="134"/>
      <c r="O987" s="126"/>
      <c r="P987" s="126"/>
      <c r="Q987" s="126"/>
      <c r="R987" s="126"/>
      <c r="U987" s="126"/>
      <c r="V987" s="126"/>
      <c r="W987" s="135"/>
      <c r="X987" s="135"/>
      <c r="Y987" s="126"/>
    </row>
    <row r="988">
      <c r="A988" s="126"/>
      <c r="B988" s="154"/>
      <c r="C988" s="146"/>
      <c r="D988" s="146"/>
      <c r="E988" s="146"/>
      <c r="F988" s="155"/>
      <c r="G988" s="146"/>
      <c r="H988" s="126"/>
      <c r="I988" s="132"/>
      <c r="J988" s="146"/>
      <c r="K988" s="126"/>
      <c r="L988" s="126"/>
      <c r="M988" s="134"/>
      <c r="N988" s="134"/>
      <c r="O988" s="126"/>
      <c r="P988" s="126"/>
      <c r="Q988" s="126"/>
      <c r="R988" s="126"/>
      <c r="U988" s="126"/>
      <c r="V988" s="126"/>
      <c r="W988" s="135"/>
      <c r="X988" s="135"/>
      <c r="Y988" s="126"/>
    </row>
    <row r="989">
      <c r="A989" s="126"/>
      <c r="B989" s="154"/>
      <c r="C989" s="146"/>
      <c r="D989" s="146"/>
      <c r="E989" s="146"/>
      <c r="F989" s="155"/>
      <c r="G989" s="146"/>
      <c r="H989" s="126"/>
      <c r="I989" s="132"/>
      <c r="J989" s="146"/>
      <c r="K989" s="126"/>
      <c r="L989" s="126"/>
      <c r="M989" s="134"/>
      <c r="N989" s="134"/>
      <c r="O989" s="126"/>
      <c r="P989" s="126"/>
      <c r="Q989" s="126"/>
      <c r="R989" s="126"/>
      <c r="U989" s="126"/>
      <c r="V989" s="126"/>
      <c r="W989" s="135"/>
      <c r="X989" s="135"/>
      <c r="Y989" s="126"/>
    </row>
    <row r="990">
      <c r="A990" s="126"/>
      <c r="B990" s="154"/>
      <c r="C990" s="146"/>
      <c r="D990" s="146"/>
      <c r="E990" s="146"/>
      <c r="F990" s="155"/>
      <c r="G990" s="146"/>
      <c r="H990" s="126"/>
      <c r="I990" s="132"/>
      <c r="J990" s="146"/>
      <c r="K990" s="126"/>
      <c r="L990" s="126"/>
      <c r="M990" s="134"/>
      <c r="N990" s="134"/>
      <c r="O990" s="126"/>
      <c r="P990" s="126"/>
      <c r="Q990" s="126"/>
      <c r="R990" s="126"/>
      <c r="U990" s="126"/>
      <c r="V990" s="126"/>
      <c r="W990" s="135"/>
      <c r="X990" s="135"/>
      <c r="Y990" s="126"/>
    </row>
    <row r="991">
      <c r="A991" s="126"/>
      <c r="B991" s="154"/>
      <c r="C991" s="146"/>
      <c r="D991" s="146"/>
      <c r="E991" s="146"/>
      <c r="F991" s="155"/>
      <c r="G991" s="146"/>
      <c r="H991" s="126"/>
      <c r="I991" s="132"/>
      <c r="J991" s="146"/>
      <c r="K991" s="126"/>
      <c r="L991" s="126"/>
      <c r="M991" s="134"/>
      <c r="N991" s="134"/>
      <c r="O991" s="126"/>
      <c r="P991" s="126"/>
      <c r="Q991" s="126"/>
      <c r="R991" s="126"/>
      <c r="U991" s="126"/>
      <c r="V991" s="126"/>
      <c r="W991" s="135"/>
      <c r="X991" s="135"/>
      <c r="Y991" s="126"/>
    </row>
    <row r="992">
      <c r="A992" s="126"/>
      <c r="B992" s="154"/>
      <c r="C992" s="146"/>
      <c r="D992" s="146"/>
      <c r="E992" s="146"/>
      <c r="F992" s="155"/>
      <c r="G992" s="146"/>
      <c r="H992" s="126"/>
      <c r="I992" s="132"/>
      <c r="J992" s="146"/>
      <c r="K992" s="126"/>
      <c r="L992" s="126"/>
      <c r="M992" s="134"/>
      <c r="N992" s="134"/>
      <c r="O992" s="126"/>
      <c r="P992" s="126"/>
      <c r="Q992" s="126"/>
      <c r="R992" s="126"/>
      <c r="U992" s="126"/>
      <c r="V992" s="126"/>
      <c r="W992" s="135"/>
      <c r="X992" s="135"/>
      <c r="Y992" s="126"/>
    </row>
    <row r="993">
      <c r="A993" s="126"/>
      <c r="B993" s="154"/>
      <c r="C993" s="146"/>
      <c r="D993" s="146"/>
      <c r="E993" s="146"/>
      <c r="F993" s="155"/>
      <c r="G993" s="146"/>
      <c r="H993" s="126"/>
      <c r="I993" s="132"/>
      <c r="J993" s="146"/>
      <c r="K993" s="126"/>
      <c r="L993" s="126"/>
      <c r="M993" s="134"/>
      <c r="N993" s="134"/>
      <c r="O993" s="126"/>
      <c r="P993" s="126"/>
      <c r="Q993" s="126"/>
      <c r="R993" s="126"/>
      <c r="U993" s="126"/>
      <c r="V993" s="126"/>
      <c r="W993" s="135"/>
      <c r="X993" s="135"/>
      <c r="Y993" s="126"/>
    </row>
    <row r="994">
      <c r="A994" s="126"/>
      <c r="B994" s="154"/>
      <c r="C994" s="146"/>
      <c r="D994" s="146"/>
      <c r="E994" s="146"/>
      <c r="F994" s="155"/>
      <c r="G994" s="146"/>
      <c r="H994" s="126"/>
      <c r="I994" s="132"/>
      <c r="J994" s="146"/>
      <c r="K994" s="126"/>
      <c r="L994" s="126"/>
      <c r="M994" s="134"/>
      <c r="N994" s="134"/>
      <c r="O994" s="126"/>
      <c r="P994" s="126"/>
      <c r="Q994" s="126"/>
      <c r="R994" s="126"/>
      <c r="U994" s="126"/>
      <c r="V994" s="126"/>
      <c r="W994" s="135"/>
      <c r="X994" s="135"/>
      <c r="Y994" s="126"/>
    </row>
    <row r="995">
      <c r="A995" s="126"/>
      <c r="B995" s="154"/>
      <c r="C995" s="146"/>
      <c r="D995" s="146"/>
      <c r="E995" s="146"/>
      <c r="F995" s="155"/>
      <c r="G995" s="146"/>
      <c r="H995" s="126"/>
      <c r="I995" s="132"/>
      <c r="J995" s="146"/>
      <c r="K995" s="126"/>
      <c r="L995" s="126"/>
      <c r="M995" s="134"/>
      <c r="N995" s="134"/>
      <c r="O995" s="126"/>
      <c r="P995" s="126"/>
      <c r="Q995" s="126"/>
      <c r="R995" s="126"/>
      <c r="U995" s="126"/>
      <c r="V995" s="126"/>
      <c r="W995" s="135"/>
      <c r="X995" s="135"/>
      <c r="Y995" s="126"/>
    </row>
    <row r="996">
      <c r="A996" s="126"/>
      <c r="B996" s="154"/>
      <c r="C996" s="146"/>
      <c r="D996" s="146"/>
      <c r="E996" s="146"/>
      <c r="F996" s="155"/>
      <c r="G996" s="146"/>
      <c r="H996" s="126"/>
      <c r="I996" s="132"/>
      <c r="J996" s="146"/>
      <c r="K996" s="126"/>
      <c r="L996" s="126"/>
      <c r="M996" s="134"/>
      <c r="N996" s="134"/>
      <c r="O996" s="126"/>
      <c r="P996" s="126"/>
      <c r="Q996" s="126"/>
      <c r="R996" s="126"/>
      <c r="U996" s="126"/>
      <c r="V996" s="126"/>
      <c r="W996" s="135"/>
      <c r="X996" s="135"/>
      <c r="Y996" s="126"/>
    </row>
    <row r="997">
      <c r="A997" s="126"/>
      <c r="B997" s="154"/>
      <c r="C997" s="146"/>
      <c r="D997" s="146"/>
      <c r="E997" s="146"/>
      <c r="F997" s="155"/>
      <c r="G997" s="146"/>
      <c r="H997" s="126"/>
      <c r="I997" s="132"/>
      <c r="J997" s="146"/>
      <c r="K997" s="126"/>
      <c r="L997" s="126"/>
      <c r="M997" s="134"/>
      <c r="N997" s="134"/>
      <c r="O997" s="126"/>
      <c r="P997" s="126"/>
      <c r="Q997" s="126"/>
      <c r="R997" s="126"/>
      <c r="U997" s="126"/>
      <c r="V997" s="126"/>
      <c r="W997" s="135"/>
      <c r="X997" s="135"/>
      <c r="Y997" s="126"/>
    </row>
    <row r="998">
      <c r="A998" s="126"/>
      <c r="B998" s="154"/>
      <c r="C998" s="146"/>
      <c r="D998" s="146"/>
      <c r="E998" s="146"/>
      <c r="F998" s="155"/>
      <c r="G998" s="146"/>
      <c r="H998" s="126"/>
      <c r="I998" s="132"/>
      <c r="J998" s="146"/>
      <c r="K998" s="126"/>
      <c r="L998" s="126"/>
      <c r="M998" s="134"/>
      <c r="N998" s="134"/>
      <c r="O998" s="126"/>
      <c r="P998" s="126"/>
      <c r="Q998" s="126"/>
      <c r="R998" s="126"/>
      <c r="U998" s="126"/>
      <c r="V998" s="126"/>
      <c r="W998" s="135"/>
      <c r="X998" s="135"/>
      <c r="Y998" s="126"/>
    </row>
    <row r="999">
      <c r="A999" s="126"/>
      <c r="B999" s="154"/>
      <c r="C999" s="146"/>
      <c r="D999" s="146"/>
      <c r="E999" s="146"/>
      <c r="F999" s="155"/>
      <c r="G999" s="146"/>
      <c r="H999" s="126"/>
      <c r="I999" s="132"/>
      <c r="J999" s="146"/>
      <c r="K999" s="126"/>
      <c r="L999" s="126"/>
      <c r="M999" s="134"/>
      <c r="N999" s="134"/>
      <c r="O999" s="126"/>
      <c r="P999" s="126"/>
      <c r="Q999" s="126"/>
      <c r="R999" s="126"/>
      <c r="U999" s="126"/>
      <c r="V999" s="126"/>
      <c r="W999" s="135"/>
      <c r="X999" s="135"/>
      <c r="Y999" s="126"/>
    </row>
    <row r="1000">
      <c r="A1000" s="126"/>
      <c r="B1000" s="154"/>
      <c r="C1000" s="146"/>
      <c r="D1000" s="146"/>
      <c r="E1000" s="146"/>
      <c r="F1000" s="155"/>
      <c r="G1000" s="146"/>
      <c r="H1000" s="126"/>
      <c r="I1000" s="132"/>
      <c r="J1000" s="146"/>
      <c r="K1000" s="126"/>
      <c r="L1000" s="126"/>
      <c r="M1000" s="134"/>
      <c r="N1000" s="134"/>
      <c r="O1000" s="126"/>
      <c r="P1000" s="126"/>
      <c r="Q1000" s="126"/>
      <c r="R1000" s="126"/>
      <c r="U1000" s="126"/>
      <c r="V1000" s="126"/>
      <c r="W1000" s="135"/>
      <c r="X1000" s="135"/>
      <c r="Y1000" s="126"/>
    </row>
    <row r="1001">
      <c r="A1001" s="126"/>
      <c r="B1001" s="154"/>
      <c r="C1001" s="146"/>
      <c r="D1001" s="146"/>
      <c r="E1001" s="146"/>
      <c r="F1001" s="155"/>
      <c r="G1001" s="146"/>
      <c r="H1001" s="126"/>
      <c r="I1001" s="132"/>
      <c r="J1001" s="146"/>
      <c r="K1001" s="126"/>
      <c r="L1001" s="126"/>
      <c r="M1001" s="134"/>
      <c r="N1001" s="134"/>
      <c r="O1001" s="126"/>
      <c r="P1001" s="126"/>
      <c r="Q1001" s="126"/>
      <c r="R1001" s="126"/>
      <c r="U1001" s="126"/>
      <c r="V1001" s="126"/>
      <c r="W1001" s="135"/>
      <c r="X1001" s="135"/>
      <c r="Y1001" s="126"/>
    </row>
    <row r="1002">
      <c r="A1002" s="126"/>
      <c r="B1002" s="154"/>
      <c r="C1002" s="146"/>
      <c r="D1002" s="146"/>
      <c r="E1002" s="146"/>
      <c r="F1002" s="155"/>
      <c r="G1002" s="146"/>
      <c r="H1002" s="126"/>
      <c r="I1002" s="132"/>
      <c r="J1002" s="146"/>
      <c r="K1002" s="126"/>
      <c r="L1002" s="126"/>
      <c r="M1002" s="134"/>
      <c r="N1002" s="134"/>
      <c r="O1002" s="126"/>
      <c r="P1002" s="126"/>
      <c r="Q1002" s="126"/>
      <c r="R1002" s="126"/>
      <c r="U1002" s="126"/>
      <c r="V1002" s="126"/>
      <c r="W1002" s="135"/>
      <c r="X1002" s="135"/>
      <c r="Y1002" s="126"/>
    </row>
    <row r="1003">
      <c r="A1003" s="126"/>
      <c r="B1003" s="154"/>
      <c r="C1003" s="146"/>
      <c r="D1003" s="146"/>
      <c r="E1003" s="146"/>
      <c r="F1003" s="155"/>
      <c r="G1003" s="146"/>
      <c r="H1003" s="126"/>
      <c r="I1003" s="132"/>
      <c r="J1003" s="146"/>
      <c r="K1003" s="126"/>
      <c r="L1003" s="126"/>
      <c r="M1003" s="134"/>
      <c r="N1003" s="134"/>
      <c r="O1003" s="126"/>
      <c r="P1003" s="126"/>
      <c r="Q1003" s="126"/>
      <c r="R1003" s="126"/>
      <c r="U1003" s="126"/>
      <c r="V1003" s="126"/>
      <c r="W1003" s="135"/>
      <c r="X1003" s="135"/>
      <c r="Y1003" s="126"/>
    </row>
    <row r="1004">
      <c r="A1004" s="126"/>
      <c r="B1004" s="154"/>
      <c r="C1004" s="146"/>
      <c r="D1004" s="146"/>
      <c r="E1004" s="146"/>
      <c r="F1004" s="155"/>
      <c r="G1004" s="146"/>
      <c r="H1004" s="126"/>
      <c r="I1004" s="132"/>
      <c r="J1004" s="146"/>
      <c r="K1004" s="126"/>
      <c r="L1004" s="126"/>
      <c r="M1004" s="134"/>
      <c r="N1004" s="134"/>
      <c r="O1004" s="126"/>
      <c r="P1004" s="126"/>
      <c r="Q1004" s="126"/>
      <c r="R1004" s="126"/>
      <c r="U1004" s="126"/>
      <c r="V1004" s="126"/>
      <c r="W1004" s="135"/>
      <c r="X1004" s="135"/>
      <c r="Y1004" s="126"/>
    </row>
    <row r="1005">
      <c r="A1005" s="126"/>
      <c r="B1005" s="154"/>
      <c r="C1005" s="146"/>
      <c r="D1005" s="146"/>
      <c r="E1005" s="146"/>
      <c r="F1005" s="155"/>
      <c r="G1005" s="146"/>
      <c r="H1005" s="126"/>
      <c r="I1005" s="132"/>
      <c r="J1005" s="146"/>
      <c r="K1005" s="126"/>
      <c r="L1005" s="126"/>
      <c r="M1005" s="134"/>
      <c r="N1005" s="134"/>
      <c r="O1005" s="126"/>
      <c r="P1005" s="126"/>
      <c r="Q1005" s="126"/>
      <c r="R1005" s="126"/>
      <c r="U1005" s="126"/>
      <c r="V1005" s="126"/>
      <c r="W1005" s="135"/>
      <c r="X1005" s="135"/>
      <c r="Y1005" s="126"/>
    </row>
    <row r="1006">
      <c r="A1006" s="126"/>
      <c r="B1006" s="154"/>
      <c r="C1006" s="146"/>
      <c r="D1006" s="146"/>
      <c r="E1006" s="146"/>
      <c r="F1006" s="155"/>
      <c r="G1006" s="146"/>
      <c r="H1006" s="126"/>
      <c r="I1006" s="132"/>
      <c r="J1006" s="146"/>
      <c r="K1006" s="126"/>
      <c r="L1006" s="126"/>
      <c r="M1006" s="134"/>
      <c r="N1006" s="134"/>
      <c r="O1006" s="126"/>
      <c r="P1006" s="126"/>
      <c r="Q1006" s="126"/>
      <c r="R1006" s="126"/>
      <c r="U1006" s="126"/>
      <c r="V1006" s="126"/>
      <c r="W1006" s="135"/>
      <c r="X1006" s="135"/>
      <c r="Y1006" s="126"/>
    </row>
    <row r="1007">
      <c r="A1007" s="126"/>
      <c r="B1007" s="154"/>
      <c r="C1007" s="146"/>
      <c r="D1007" s="146"/>
      <c r="E1007" s="146"/>
      <c r="F1007" s="155"/>
      <c r="G1007" s="146"/>
      <c r="H1007" s="126"/>
      <c r="I1007" s="132"/>
      <c r="J1007" s="146"/>
      <c r="K1007" s="126"/>
      <c r="L1007" s="126"/>
      <c r="M1007" s="134"/>
      <c r="N1007" s="134"/>
      <c r="O1007" s="126"/>
      <c r="P1007" s="126"/>
      <c r="Q1007" s="126"/>
      <c r="R1007" s="126"/>
      <c r="U1007" s="126"/>
      <c r="V1007" s="126"/>
      <c r="W1007" s="135"/>
      <c r="X1007" s="135"/>
      <c r="Y1007" s="126"/>
    </row>
    <row r="1008">
      <c r="A1008" s="126"/>
      <c r="B1008" s="154"/>
      <c r="C1008" s="146"/>
      <c r="D1008" s="146"/>
      <c r="E1008" s="146"/>
      <c r="F1008" s="155"/>
      <c r="G1008" s="146"/>
      <c r="H1008" s="126"/>
      <c r="I1008" s="132"/>
      <c r="J1008" s="146"/>
      <c r="K1008" s="126"/>
      <c r="L1008" s="126"/>
      <c r="M1008" s="134"/>
      <c r="N1008" s="134"/>
      <c r="O1008" s="126"/>
      <c r="P1008" s="126"/>
      <c r="Q1008" s="126"/>
      <c r="R1008" s="126"/>
      <c r="U1008" s="126"/>
      <c r="V1008" s="126"/>
      <c r="W1008" s="135"/>
      <c r="X1008" s="135"/>
      <c r="Y1008" s="126"/>
    </row>
    <row r="1009">
      <c r="A1009" s="126"/>
      <c r="B1009" s="154"/>
      <c r="C1009" s="146"/>
      <c r="D1009" s="146"/>
      <c r="E1009" s="146"/>
      <c r="F1009" s="155"/>
      <c r="G1009" s="146"/>
      <c r="H1009" s="126"/>
      <c r="I1009" s="132"/>
      <c r="J1009" s="146"/>
      <c r="K1009" s="126"/>
      <c r="L1009" s="126"/>
      <c r="M1009" s="134"/>
      <c r="N1009" s="134"/>
      <c r="O1009" s="126"/>
      <c r="P1009" s="126"/>
      <c r="Q1009" s="126"/>
      <c r="R1009" s="126"/>
      <c r="U1009" s="126"/>
      <c r="V1009" s="126"/>
      <c r="W1009" s="135"/>
      <c r="X1009" s="135"/>
      <c r="Y1009" s="126"/>
    </row>
    <row r="1010">
      <c r="A1010" s="126"/>
      <c r="B1010" s="154"/>
      <c r="C1010" s="146"/>
      <c r="D1010" s="146"/>
      <c r="E1010" s="146"/>
      <c r="F1010" s="155"/>
      <c r="G1010" s="146"/>
      <c r="H1010" s="126"/>
      <c r="I1010" s="132"/>
      <c r="J1010" s="146"/>
      <c r="K1010" s="126"/>
      <c r="L1010" s="126"/>
      <c r="M1010" s="134"/>
      <c r="N1010" s="134"/>
      <c r="O1010" s="126"/>
      <c r="P1010" s="126"/>
      <c r="Q1010" s="126"/>
      <c r="R1010" s="126"/>
      <c r="U1010" s="126"/>
      <c r="V1010" s="126"/>
      <c r="W1010" s="135"/>
      <c r="X1010" s="135"/>
      <c r="Y1010" s="126"/>
    </row>
    <row r="1011">
      <c r="A1011" s="126"/>
      <c r="B1011" s="154"/>
      <c r="C1011" s="146"/>
      <c r="D1011" s="146"/>
      <c r="E1011" s="146"/>
      <c r="F1011" s="155"/>
      <c r="G1011" s="146"/>
      <c r="H1011" s="126"/>
      <c r="I1011" s="132"/>
      <c r="J1011" s="146"/>
      <c r="K1011" s="126"/>
      <c r="L1011" s="126"/>
      <c r="M1011" s="134"/>
      <c r="N1011" s="134"/>
      <c r="O1011" s="126"/>
      <c r="P1011" s="126"/>
      <c r="Q1011" s="126"/>
      <c r="R1011" s="126"/>
      <c r="U1011" s="126"/>
      <c r="V1011" s="126"/>
      <c r="W1011" s="135"/>
      <c r="X1011" s="135"/>
      <c r="Y1011" s="126"/>
    </row>
    <row r="1012">
      <c r="A1012" s="126"/>
      <c r="B1012" s="154"/>
      <c r="C1012" s="146"/>
      <c r="D1012" s="146"/>
      <c r="E1012" s="146"/>
      <c r="F1012" s="155"/>
      <c r="G1012" s="146"/>
      <c r="H1012" s="126"/>
      <c r="I1012" s="132"/>
      <c r="J1012" s="146"/>
      <c r="K1012" s="126"/>
      <c r="L1012" s="126"/>
      <c r="M1012" s="134"/>
      <c r="N1012" s="134"/>
      <c r="O1012" s="126"/>
      <c r="P1012" s="126"/>
      <c r="Q1012" s="126"/>
      <c r="R1012" s="126"/>
      <c r="U1012" s="126"/>
      <c r="V1012" s="126"/>
      <c r="W1012" s="135"/>
      <c r="X1012" s="135"/>
      <c r="Y1012" s="126"/>
    </row>
    <row r="1013">
      <c r="A1013" s="126"/>
      <c r="B1013" s="154"/>
      <c r="C1013" s="146"/>
      <c r="D1013" s="146"/>
      <c r="E1013" s="146"/>
      <c r="F1013" s="155"/>
      <c r="G1013" s="146"/>
      <c r="H1013" s="126"/>
      <c r="I1013" s="132"/>
      <c r="J1013" s="146"/>
      <c r="K1013" s="146"/>
      <c r="L1013" s="126"/>
      <c r="M1013" s="134"/>
      <c r="N1013" s="134"/>
      <c r="O1013" s="126"/>
      <c r="P1013" s="126"/>
      <c r="Q1013" s="126"/>
      <c r="R1013" s="126"/>
      <c r="U1013" s="126"/>
      <c r="V1013" s="126"/>
      <c r="W1013" s="135"/>
      <c r="X1013" s="135"/>
      <c r="Y1013" s="126"/>
    </row>
    <row r="1014">
      <c r="A1014" s="126"/>
      <c r="B1014" s="154"/>
      <c r="C1014" s="146"/>
      <c r="D1014" s="146"/>
      <c r="E1014" s="146"/>
      <c r="F1014" s="155"/>
      <c r="G1014" s="146"/>
      <c r="H1014" s="126"/>
      <c r="I1014" s="132"/>
      <c r="J1014" s="146"/>
      <c r="K1014" s="146"/>
      <c r="L1014" s="126"/>
      <c r="M1014" s="134"/>
      <c r="N1014" s="134"/>
      <c r="O1014" s="126"/>
      <c r="P1014" s="126"/>
      <c r="Q1014" s="126"/>
      <c r="R1014" s="126"/>
      <c r="U1014" s="126"/>
      <c r="V1014" s="126"/>
      <c r="W1014" s="135"/>
      <c r="X1014" s="135"/>
      <c r="Y1014" s="126"/>
    </row>
    <row r="1015">
      <c r="A1015" s="126"/>
      <c r="B1015" s="154"/>
      <c r="C1015" s="146"/>
      <c r="D1015" s="146"/>
      <c r="E1015" s="146"/>
      <c r="F1015" s="155"/>
      <c r="G1015" s="146"/>
      <c r="H1015" s="126"/>
      <c r="I1015" s="132"/>
      <c r="J1015" s="146"/>
      <c r="K1015" s="146"/>
      <c r="L1015" s="126"/>
      <c r="M1015" s="134"/>
      <c r="N1015" s="134"/>
      <c r="O1015" s="126"/>
      <c r="P1015" s="126"/>
      <c r="Q1015" s="126"/>
      <c r="R1015" s="126"/>
      <c r="U1015" s="126"/>
      <c r="V1015" s="126"/>
      <c r="W1015" s="135"/>
      <c r="X1015" s="135"/>
      <c r="Y1015" s="126"/>
    </row>
    <row r="1016">
      <c r="A1016" s="126"/>
      <c r="B1016" s="154"/>
      <c r="C1016" s="146"/>
      <c r="D1016" s="146"/>
      <c r="E1016" s="146"/>
      <c r="F1016" s="155"/>
      <c r="G1016" s="146"/>
      <c r="H1016" s="126"/>
      <c r="I1016" s="132"/>
      <c r="J1016" s="146"/>
      <c r="K1016" s="146"/>
      <c r="L1016" s="126"/>
      <c r="M1016" s="134"/>
      <c r="N1016" s="134"/>
      <c r="O1016" s="126"/>
      <c r="P1016" s="126"/>
      <c r="Q1016" s="126"/>
      <c r="R1016" s="126"/>
      <c r="U1016" s="126"/>
      <c r="V1016" s="126"/>
      <c r="W1016" s="135"/>
      <c r="X1016" s="135"/>
      <c r="Y1016" s="126"/>
    </row>
    <row r="1017">
      <c r="A1017" s="126"/>
      <c r="B1017" s="154"/>
      <c r="C1017" s="146"/>
      <c r="D1017" s="146"/>
      <c r="E1017" s="146"/>
      <c r="F1017" s="155"/>
      <c r="G1017" s="146"/>
      <c r="H1017" s="126"/>
      <c r="I1017" s="132"/>
      <c r="J1017" s="146"/>
      <c r="K1017" s="146"/>
      <c r="L1017" s="126"/>
      <c r="M1017" s="134"/>
      <c r="N1017" s="134"/>
      <c r="O1017" s="126"/>
      <c r="P1017" s="126"/>
      <c r="Q1017" s="126"/>
      <c r="R1017" s="126"/>
      <c r="U1017" s="126"/>
      <c r="V1017" s="126"/>
      <c r="W1017" s="135"/>
      <c r="X1017" s="135"/>
      <c r="Y1017" s="126"/>
    </row>
    <row r="1018">
      <c r="A1018" s="126"/>
      <c r="B1018" s="154"/>
      <c r="C1018" s="146"/>
      <c r="D1018" s="146"/>
      <c r="E1018" s="146"/>
      <c r="F1018" s="155"/>
      <c r="G1018" s="146"/>
      <c r="H1018" s="126"/>
      <c r="I1018" s="132"/>
      <c r="J1018" s="146"/>
      <c r="K1018" s="146"/>
      <c r="L1018" s="126"/>
      <c r="M1018" s="134"/>
      <c r="N1018" s="134"/>
      <c r="O1018" s="126"/>
      <c r="P1018" s="126"/>
      <c r="Q1018" s="126"/>
      <c r="R1018" s="126"/>
      <c r="U1018" s="126"/>
      <c r="V1018" s="126"/>
      <c r="W1018" s="135"/>
      <c r="X1018" s="135"/>
      <c r="Y1018" s="126"/>
    </row>
    <row r="1019">
      <c r="A1019" s="126"/>
      <c r="B1019" s="154"/>
      <c r="C1019" s="146"/>
      <c r="D1019" s="146"/>
      <c r="E1019" s="146"/>
      <c r="F1019" s="155"/>
      <c r="G1019" s="146"/>
      <c r="H1019" s="126"/>
      <c r="I1019" s="132"/>
      <c r="J1019" s="146"/>
      <c r="K1019" s="146"/>
      <c r="L1019" s="126"/>
      <c r="M1019" s="134"/>
      <c r="N1019" s="134"/>
      <c r="O1019" s="126"/>
      <c r="P1019" s="126"/>
      <c r="Q1019" s="126"/>
      <c r="R1019" s="126"/>
      <c r="U1019" s="126"/>
      <c r="V1019" s="126"/>
      <c r="W1019" s="135"/>
      <c r="X1019" s="135"/>
      <c r="Y1019" s="126"/>
    </row>
    <row r="1020">
      <c r="A1020" s="126"/>
      <c r="B1020" s="154"/>
      <c r="C1020" s="146"/>
      <c r="D1020" s="146"/>
      <c r="E1020" s="146"/>
      <c r="F1020" s="155"/>
      <c r="G1020" s="146"/>
      <c r="H1020" s="126"/>
      <c r="I1020" s="132"/>
      <c r="J1020" s="146"/>
      <c r="K1020" s="146"/>
      <c r="L1020" s="126"/>
      <c r="M1020" s="134"/>
      <c r="N1020" s="134"/>
      <c r="O1020" s="126"/>
      <c r="P1020" s="126"/>
      <c r="Q1020" s="126"/>
      <c r="R1020" s="126"/>
      <c r="U1020" s="126"/>
      <c r="V1020" s="126"/>
      <c r="W1020" s="135"/>
      <c r="X1020" s="135"/>
      <c r="Y1020" s="126"/>
    </row>
    <row r="1021">
      <c r="A1021" s="126"/>
      <c r="B1021" s="154"/>
      <c r="C1021" s="146"/>
      <c r="D1021" s="146"/>
      <c r="E1021" s="146"/>
      <c r="F1021" s="155"/>
      <c r="G1021" s="146"/>
      <c r="H1021" s="126"/>
      <c r="I1021" s="132"/>
      <c r="J1021" s="146"/>
      <c r="K1021" s="146"/>
      <c r="L1021" s="126"/>
      <c r="M1021" s="134"/>
      <c r="N1021" s="134"/>
      <c r="O1021" s="126"/>
      <c r="P1021" s="126"/>
      <c r="Q1021" s="126"/>
      <c r="R1021" s="126"/>
      <c r="U1021" s="126"/>
      <c r="V1021" s="126"/>
      <c r="W1021" s="135"/>
      <c r="X1021" s="135"/>
      <c r="Y1021" s="126"/>
    </row>
    <row r="1022">
      <c r="A1022" s="126"/>
      <c r="B1022" s="154"/>
      <c r="C1022" s="146"/>
      <c r="D1022" s="146"/>
      <c r="E1022" s="146"/>
      <c r="F1022" s="155"/>
      <c r="G1022" s="146"/>
      <c r="H1022" s="126"/>
      <c r="I1022" s="132"/>
      <c r="J1022" s="146"/>
      <c r="K1022" s="146"/>
      <c r="L1022" s="126"/>
      <c r="M1022" s="134"/>
      <c r="N1022" s="134"/>
      <c r="O1022" s="126"/>
      <c r="P1022" s="126"/>
      <c r="Q1022" s="126"/>
      <c r="R1022" s="126"/>
      <c r="U1022" s="126"/>
      <c r="V1022" s="126"/>
      <c r="W1022" s="135"/>
      <c r="X1022" s="135"/>
      <c r="Y1022" s="126"/>
    </row>
    <row r="1023">
      <c r="A1023" s="126"/>
      <c r="B1023" s="154"/>
      <c r="C1023" s="146"/>
      <c r="D1023" s="146"/>
      <c r="E1023" s="146"/>
      <c r="F1023" s="155"/>
      <c r="G1023" s="146"/>
      <c r="H1023" s="126"/>
      <c r="I1023" s="126"/>
      <c r="J1023" s="146"/>
      <c r="K1023" s="146"/>
      <c r="L1023" s="126"/>
      <c r="M1023" s="134"/>
      <c r="N1023" s="134"/>
      <c r="O1023" s="126"/>
      <c r="P1023" s="126"/>
      <c r="Q1023" s="126"/>
      <c r="R1023" s="126"/>
      <c r="U1023" s="126"/>
      <c r="V1023" s="126"/>
      <c r="W1023" s="135"/>
      <c r="X1023" s="135"/>
      <c r="Y1023" s="126"/>
    </row>
    <row r="1024">
      <c r="A1024" s="126"/>
      <c r="B1024" s="154"/>
      <c r="C1024" s="146"/>
      <c r="D1024" s="146"/>
      <c r="E1024" s="146"/>
      <c r="F1024" s="155"/>
      <c r="G1024" s="146"/>
      <c r="H1024" s="126"/>
      <c r="I1024" s="126"/>
      <c r="J1024" s="146"/>
      <c r="K1024" s="146"/>
      <c r="L1024" s="126"/>
      <c r="M1024" s="134"/>
      <c r="N1024" s="134"/>
      <c r="O1024" s="126"/>
      <c r="P1024" s="126"/>
      <c r="Q1024" s="126"/>
      <c r="R1024" s="126"/>
      <c r="U1024" s="126"/>
      <c r="V1024" s="126"/>
      <c r="W1024" s="135"/>
      <c r="X1024" s="135"/>
      <c r="Y1024" s="126"/>
    </row>
  </sheetData>
  <autoFilter ref="$A$1:$Y$986">
    <sortState ref="A1:Y986">
      <sortCondition ref="B1:B986"/>
    </sortState>
  </autoFilter>
  <conditionalFormatting sqref="E1:E1024">
    <cfRule type="expression" dxfId="0" priority="1">
      <formula>COUNTIF(E:E,E1)&gt;1</formula>
    </cfRule>
  </conditionalFormatting>
  <dataValidations>
    <dataValidation type="list" allowBlank="1" showErrorMessage="1" sqref="C2:C1024">
      <formula1>Index!$A$2:$A$10</formula1>
    </dataValidation>
    <dataValidation type="list" allowBlank="1" showErrorMessage="1" sqref="J2:J1024">
      <formula1>Index!$C$2:$C$20</formula1>
    </dataValidation>
    <dataValidation type="list" allowBlank="1" showErrorMessage="1" sqref="L2:L1024">
      <formula1>Index!$G$2:$G$6</formula1>
    </dataValidation>
    <dataValidation type="list" allowBlank="1" showErrorMessage="1" sqref="D2:D1024">
      <formula1>Index!$E$2:$E$8</formula1>
    </dataValidation>
    <dataValidation type="custom" allowBlank="1" showDropDown="1" sqref="B2:B1024">
      <formula1>OR(NOT(ISERROR(DATEVALUE(B2))), AND(ISNUMBER(B2), LEFT(CELL("format", B2))="D"))</formula1>
    </dataValidation>
    <dataValidation type="list" allowBlank="1" showErrorMessage="1" sqref="G2:G1024">
      <formula1>Index!$I$2:$I$3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3.88"/>
    <col customWidth="1" min="3" max="3" width="11.75"/>
    <col customWidth="1" min="4" max="4" width="17.63"/>
    <col customWidth="1" min="5" max="5" width="18.63"/>
    <col customWidth="1" min="6" max="6" width="41.88"/>
    <col customWidth="1" min="8" max="8" width="18.63"/>
    <col customWidth="1" min="9" max="9" width="22.13"/>
    <col customWidth="1" min="10" max="10" width="20.25"/>
    <col customWidth="1" min="11" max="11" width="19.38"/>
    <col customWidth="1" min="12" max="12" width="15.5"/>
    <col customWidth="1" min="13" max="13" width="13.88"/>
    <col customWidth="1" min="14" max="14" width="34.38"/>
  </cols>
  <sheetData>
    <row r="1">
      <c r="B1" s="156" t="str">
        <f>IFERROR(__xludf.DUMMYFUNCTION("QUERY('Step 1 Data Bank'!B:P, ""SELECT * WHERE G = 'RETURN'"", 1)
"),"DATE OF RECEIPT")</f>
        <v>DATE OF RECEIPT</v>
      </c>
      <c r="C1" s="156" t="str">
        <f>IFERROR(__xludf.DUMMYFUNCTION("""COMPUTED_VALUE"""),"SEIN PIC NAME")</f>
        <v>SEIN PIC NAME</v>
      </c>
      <c r="D1" s="156" t="str">
        <f>IFERROR(__xludf.DUMMYFUNCTION("""COMPUTED_VALUE"""),"FOC TYPE")</f>
        <v>FOC TYPE</v>
      </c>
      <c r="E1" s="156" t="str">
        <f>IFERROR(__xludf.DUMMYFUNCTION("""COMPUTED_VALUE"""),"SERIAL NUMBER (IMEI/SN)")</f>
        <v>SERIAL NUMBER (IMEI/SN)</v>
      </c>
      <c r="F1" s="156" t="str">
        <f>IFERROR(__xludf.DUMMYFUNCTION("""COMPUTED_VALUE"""),"UNIT NAME")</f>
        <v>UNIT NAME</v>
      </c>
      <c r="G1" s="156" t="str">
        <f>IFERROR(__xludf.DUMMYFUNCTION("""COMPUTED_VALUE"""),"FOC STATUS")</f>
        <v>FOC STATUS</v>
      </c>
      <c r="H1" s="156" t="str">
        <f>IFERROR(__xludf.DUMMYFUNCTION("""COMPUTED_VALUE"""),"PLANNED 
RETURN DATE")</f>
        <v>PLANNED 
RETURN DATE</v>
      </c>
      <c r="I1" s="156" t="str">
        <f>IFERROR(__xludf.DUMMYFUNCTION("""COMPUTED_VALUE"""),"RECEIVED DATE 
TIME STAMP (LINK)")</f>
        <v>RECEIVED DATE 
TIME STAMP (LINK)</v>
      </c>
      <c r="J1" s="156" t="str">
        <f>IFERROR(__xludf.DUMMYFUNCTION("""COMPUTED_VALUE"""),"GOAT PIC
(PLANNER)")</f>
        <v>GOAT PIC
(PLANNER)</v>
      </c>
      <c r="K1" s="156" t="str">
        <f>IFERROR(__xludf.DUMMYFUNCTION("""COMPUTED_VALUE"""),"CAMPAIGN NAME")</f>
        <v>CAMPAIGN NAME</v>
      </c>
      <c r="L1" s="156" t="str">
        <f>IFERROR(__xludf.DUMMYFUNCTION("""COMPUTED_VALUE"""),"STATUS")</f>
        <v>STATUS</v>
      </c>
      <c r="M1" s="156" t="str">
        <f>IFERROR(__xludf.DUMMYFUNCTION("""COMPUTED_VALUE"""),"STATUS LOCATION")</f>
        <v>STATUS LOCATION</v>
      </c>
      <c r="N1" s="156" t="str">
        <f>IFERROR(__xludf.DUMMYFUNCTION("""COMPUTED_VALUE"""),"ON HOLDER")</f>
        <v>ON HOLDER</v>
      </c>
      <c r="O1" s="119" t="str">
        <f>IFERROR(__xludf.DUMMYFUNCTION("""COMPUTED_VALUE"""),"RETURN TO TCC RECEIPT (LINK)")</f>
        <v>RETURN TO TCC RECEIPT (LINK)</v>
      </c>
      <c r="P1" s="119" t="str">
        <f>IFERROR(__xludf.DUMMYFUNCTION("""COMPUTED_VALUE"""),"COMMENTS")</f>
        <v>COMMENTS</v>
      </c>
    </row>
    <row r="2">
      <c r="B2" s="157">
        <f>IFERROR(__xludf.DUMMYFUNCTION("""COMPUTED_VALUE"""),46065.0)</f>
        <v>46065</v>
      </c>
      <c r="C2" s="158" t="str">
        <f>IFERROR(__xludf.DUMMYFUNCTION("""COMPUTED_VALUE"""),"YAYA")</f>
        <v>YAYA</v>
      </c>
      <c r="D2" s="158" t="str">
        <f>IFERROR(__xludf.DUMMYFUNCTION("""COMPUTED_VALUE"""),"HANDPHONE")</f>
        <v>HANDPHONE</v>
      </c>
      <c r="E2" s="159">
        <f>IFERROR(__xludf.DUMMYFUNCTION("""COMPUTED_VALUE"""),3.51225503076083E14)</f>
        <v>351225503076083</v>
      </c>
      <c r="F2" s="160" t="str">
        <f>IFERROR(__xludf.DUMMYFUNCTION("""COMPUTED_VALUE"""),"G-A07 RAMADHAN PACKAGE")</f>
        <v>G-A07 RAMADHAN PACKAGE</v>
      </c>
      <c r="G2" s="158" t="str">
        <f>IFERROR(__xludf.DUMMYFUNCTION("""COMPUTED_VALUE"""),"RETURN")</f>
        <v>RETURN</v>
      </c>
      <c r="H2" s="161">
        <f>IFERROR(__xludf.DUMMYFUNCTION("""COMPUTED_VALUE"""),46172.0)</f>
        <v>46172</v>
      </c>
      <c r="I2" s="158"/>
      <c r="J2" s="158" t="str">
        <f>IFERROR(__xludf.DUMMYFUNCTION("""COMPUTED_VALUE"""),"TASHYA")</f>
        <v>TASHYA</v>
      </c>
      <c r="K2" s="158"/>
      <c r="L2" s="158" t="str">
        <f>IFERROR(__xludf.DUMMYFUNCTION("""COMPUTED_VALUE"""),"AVAILABLE IN AGENCY")</f>
        <v>AVAILABLE IN AGENCY</v>
      </c>
      <c r="M2" s="158" t="str">
        <f>IFERROR(__xludf.DUMMYFUNCTION("""COMPUTED_VALUE"""),"LOANED / ON KOL")</f>
        <v>LOANED / ON KOL</v>
      </c>
      <c r="N2" s="158" t="str">
        <f>IFERROR(__xludf.DUMMYFUNCTION("""COMPUTED_VALUE"""),"Mushdalifah ( Aman)")</f>
        <v>Mushdalifah ( Aman)</v>
      </c>
      <c r="O2" s="119"/>
      <c r="P2" s="119"/>
    </row>
    <row r="3">
      <c r="B3" s="157">
        <f>IFERROR(__xludf.DUMMYFUNCTION("""COMPUTED_VALUE"""),46065.0)</f>
        <v>46065</v>
      </c>
      <c r="C3" s="158" t="str">
        <f>IFERROR(__xludf.DUMMYFUNCTION("""COMPUTED_VALUE"""),"YAYA")</f>
        <v>YAYA</v>
      </c>
      <c r="D3" s="158" t="str">
        <f>IFERROR(__xludf.DUMMYFUNCTION("""COMPUTED_VALUE"""),"HANDPHONE")</f>
        <v>HANDPHONE</v>
      </c>
      <c r="E3" s="159">
        <f>IFERROR(__xludf.DUMMYFUNCTION("""COMPUTED_VALUE"""),3.51225503087627E14)</f>
        <v>351225503087627</v>
      </c>
      <c r="F3" s="160" t="str">
        <f>IFERROR(__xludf.DUMMYFUNCTION("""COMPUTED_VALUE"""),"G-A07 RAMADHAN PACKAGE")</f>
        <v>G-A07 RAMADHAN PACKAGE</v>
      </c>
      <c r="G3" s="158" t="str">
        <f>IFERROR(__xludf.DUMMYFUNCTION("""COMPUTED_VALUE"""),"RETURN")</f>
        <v>RETURN</v>
      </c>
      <c r="H3" s="161">
        <f>IFERROR(__xludf.DUMMYFUNCTION("""COMPUTED_VALUE"""),46172.0)</f>
        <v>46172</v>
      </c>
      <c r="I3" s="158"/>
      <c r="J3" s="158" t="str">
        <f>IFERROR(__xludf.DUMMYFUNCTION("""COMPUTED_VALUE"""),"TASHYA")</f>
        <v>TASHYA</v>
      </c>
      <c r="K3" s="158"/>
      <c r="L3" s="158" t="str">
        <f>IFERROR(__xludf.DUMMYFUNCTION("""COMPUTED_VALUE"""),"AVAILABLE IN AGENCY")</f>
        <v>AVAILABLE IN AGENCY</v>
      </c>
      <c r="M3" s="158" t="str">
        <f>IFERROR(__xludf.DUMMYFUNCTION("""COMPUTED_VALUE"""),"LOANED / ON KOL")</f>
        <v>LOANED / ON KOL</v>
      </c>
      <c r="N3" s="158" t="str">
        <f>IFERROR(__xludf.DUMMYFUNCTION("""COMPUTED_VALUE"""),"AMHAD FADHILLA")</f>
        <v>AMHAD FADHILLA</v>
      </c>
      <c r="O3" s="119"/>
      <c r="P3" s="119"/>
    </row>
    <row r="4">
      <c r="B4" s="157">
        <f>IFERROR(__xludf.DUMMYFUNCTION("""COMPUTED_VALUE"""),46065.0)</f>
        <v>46065</v>
      </c>
      <c r="C4" s="158" t="str">
        <f>IFERROR(__xludf.DUMMYFUNCTION("""COMPUTED_VALUE"""),"YAYA")</f>
        <v>YAYA</v>
      </c>
      <c r="D4" s="158" t="str">
        <f>IFERROR(__xludf.DUMMYFUNCTION("""COMPUTED_VALUE"""),"HANDPHONE")</f>
        <v>HANDPHONE</v>
      </c>
      <c r="E4" s="159">
        <f>IFERROR(__xludf.DUMMYFUNCTION("""COMPUTED_VALUE"""),3.51225503088054E14)</f>
        <v>351225503088054</v>
      </c>
      <c r="F4" s="160" t="str">
        <f>IFERROR(__xludf.DUMMYFUNCTION("""COMPUTED_VALUE"""),"G-A07 RAMADHAN PACKAGE")</f>
        <v>G-A07 RAMADHAN PACKAGE</v>
      </c>
      <c r="G4" s="158" t="str">
        <f>IFERROR(__xludf.DUMMYFUNCTION("""COMPUTED_VALUE"""),"RETURN")</f>
        <v>RETURN</v>
      </c>
      <c r="H4" s="161">
        <f>IFERROR(__xludf.DUMMYFUNCTION("""COMPUTED_VALUE"""),46172.0)</f>
        <v>46172</v>
      </c>
      <c r="I4" s="158"/>
      <c r="J4" s="158" t="str">
        <f>IFERROR(__xludf.DUMMYFUNCTION("""COMPUTED_VALUE"""),"TASHYA")</f>
        <v>TASHYA</v>
      </c>
      <c r="K4" s="158"/>
      <c r="L4" s="158" t="str">
        <f>IFERROR(__xludf.DUMMYFUNCTION("""COMPUTED_VALUE"""),"AVAILABLE IN AGENCY")</f>
        <v>AVAILABLE IN AGENCY</v>
      </c>
      <c r="M4" s="158" t="str">
        <f>IFERROR(__xludf.DUMMYFUNCTION("""COMPUTED_VALUE"""),"AVAILABLE")</f>
        <v>AVAILABLE</v>
      </c>
      <c r="N4" s="158" t="str">
        <f>IFERROR(__xludf.DUMMYFUNCTION("""COMPUTED_VALUE"""),"-")</f>
        <v>-</v>
      </c>
      <c r="O4" s="119"/>
      <c r="P4" s="119"/>
    </row>
    <row r="5">
      <c r="B5" s="157">
        <f>IFERROR(__xludf.DUMMYFUNCTION("""COMPUTED_VALUE"""),46065.0)</f>
        <v>46065</v>
      </c>
      <c r="C5" s="158" t="str">
        <f>IFERROR(__xludf.DUMMYFUNCTION("""COMPUTED_VALUE"""),"YAYA")</f>
        <v>YAYA</v>
      </c>
      <c r="D5" s="158" t="str">
        <f>IFERROR(__xludf.DUMMYFUNCTION("""COMPUTED_VALUE"""),"HANDPHONE")</f>
        <v>HANDPHONE</v>
      </c>
      <c r="E5" s="159">
        <f>IFERROR(__xludf.DUMMYFUNCTION("""COMPUTED_VALUE"""),3.51225503077255E14)</f>
        <v>351225503077255</v>
      </c>
      <c r="F5" s="160" t="str">
        <f>IFERROR(__xludf.DUMMYFUNCTION("""COMPUTED_VALUE"""),"G-A07 RAMADHAN PACKAGE")</f>
        <v>G-A07 RAMADHAN PACKAGE</v>
      </c>
      <c r="G5" s="158" t="str">
        <f>IFERROR(__xludf.DUMMYFUNCTION("""COMPUTED_VALUE"""),"RETURN")</f>
        <v>RETURN</v>
      </c>
      <c r="H5" s="161">
        <f>IFERROR(__xludf.DUMMYFUNCTION("""COMPUTED_VALUE"""),46172.0)</f>
        <v>46172</v>
      </c>
      <c r="I5" s="158"/>
      <c r="J5" s="158" t="str">
        <f>IFERROR(__xludf.DUMMYFUNCTION("""COMPUTED_VALUE"""),"TASHYA")</f>
        <v>TASHYA</v>
      </c>
      <c r="K5" s="158"/>
      <c r="L5" s="158" t="str">
        <f>IFERROR(__xludf.DUMMYFUNCTION("""COMPUTED_VALUE"""),"AVAILABLE IN AGENCY")</f>
        <v>AVAILABLE IN AGENCY</v>
      </c>
      <c r="M5" s="158" t="str">
        <f>IFERROR(__xludf.DUMMYFUNCTION("""COMPUTED_VALUE"""),"LOANED / ON KOL")</f>
        <v>LOANED / ON KOL</v>
      </c>
      <c r="N5" s="158" t="str">
        <f>IFERROR(__xludf.DUMMYFUNCTION("""COMPUTED_VALUE"""),"Helin Alvia")</f>
        <v>Helin Alvia</v>
      </c>
      <c r="O5" s="119"/>
      <c r="P5" s="119"/>
    </row>
    <row r="6">
      <c r="B6" s="157">
        <f>IFERROR(__xludf.DUMMYFUNCTION("""COMPUTED_VALUE"""),46065.0)</f>
        <v>46065</v>
      </c>
      <c r="C6" s="158" t="str">
        <f>IFERROR(__xludf.DUMMYFUNCTION("""COMPUTED_VALUE"""),"YAYA")</f>
        <v>YAYA</v>
      </c>
      <c r="D6" s="158" t="str">
        <f>IFERROR(__xludf.DUMMYFUNCTION("""COMPUTED_VALUE"""),"BUDS")</f>
        <v>BUDS</v>
      </c>
      <c r="E6" s="159"/>
      <c r="F6" s="160" t="str">
        <f>IFERROR(__xludf.DUMMYFUNCTION("""COMPUTED_VALUE"""),"G-BUDS4-PRO GOLD (2026)")</f>
        <v>G-BUDS4-PRO GOLD (2026)</v>
      </c>
      <c r="G6" s="158" t="str">
        <f>IFERROR(__xludf.DUMMYFUNCTION("""COMPUTED_VALUE"""),"RETURN")</f>
        <v>RETURN</v>
      </c>
      <c r="H6" s="161">
        <f>IFERROR(__xludf.DUMMYFUNCTION("""COMPUTED_VALUE"""),46203.0)</f>
        <v>46203</v>
      </c>
      <c r="I6" s="158"/>
      <c r="J6" s="158" t="str">
        <f>IFERROR(__xludf.DUMMYFUNCTION("""COMPUTED_VALUE"""),"ABIGAIL")</f>
        <v>ABIGAIL</v>
      </c>
      <c r="K6" s="158" t="str">
        <f>IFERROR(__xludf.DUMMYFUNCTION("""COMPUTED_VALUE"""),"Galaxy Buds4 Launch")</f>
        <v>Galaxy Buds4 Launch</v>
      </c>
      <c r="L6" s="158" t="str">
        <f>IFERROR(__xludf.DUMMYFUNCTION("""COMPUTED_VALUE"""),"AVAILABLE IN AGENCY")</f>
        <v>AVAILABLE IN AGENCY</v>
      </c>
      <c r="M6" s="158" t="str">
        <f>IFERROR(__xludf.DUMMYFUNCTION("""COMPUTED_VALUE"""),"LOANED / ON KOL")</f>
        <v>LOANED / ON KOL</v>
      </c>
      <c r="N6" s="158" t="str">
        <f>IFERROR(__xludf.DUMMYFUNCTION("""COMPUTED_VALUE"""),"Jeffry Reksa")</f>
        <v>Jeffry Reksa</v>
      </c>
      <c r="O6" s="119"/>
      <c r="P6" s="119"/>
    </row>
    <row r="7">
      <c r="B7" s="157">
        <f>IFERROR(__xludf.DUMMYFUNCTION("""COMPUTED_VALUE"""),46065.0)</f>
        <v>46065</v>
      </c>
      <c r="C7" s="158" t="str">
        <f>IFERROR(__xludf.DUMMYFUNCTION("""COMPUTED_VALUE"""),"YAYA")</f>
        <v>YAYA</v>
      </c>
      <c r="D7" s="158" t="str">
        <f>IFERROR(__xludf.DUMMYFUNCTION("""COMPUTED_VALUE"""),"BUDS")</f>
        <v>BUDS</v>
      </c>
      <c r="E7" s="159"/>
      <c r="F7" s="160" t="str">
        <f>IFERROR(__xludf.DUMMYFUNCTION("""COMPUTED_VALUE"""),"G-BUDS4-PRO GOLD (2026)")</f>
        <v>G-BUDS4-PRO GOLD (2026)</v>
      </c>
      <c r="G7" s="158" t="str">
        <f>IFERROR(__xludf.DUMMYFUNCTION("""COMPUTED_VALUE"""),"RETURN")</f>
        <v>RETURN</v>
      </c>
      <c r="H7" s="161">
        <f>IFERROR(__xludf.DUMMYFUNCTION("""COMPUTED_VALUE"""),46203.0)</f>
        <v>46203</v>
      </c>
      <c r="I7" s="158"/>
      <c r="J7" s="158" t="str">
        <f>IFERROR(__xludf.DUMMYFUNCTION("""COMPUTED_VALUE"""),"ABIGAIL")</f>
        <v>ABIGAIL</v>
      </c>
      <c r="K7" s="158" t="str">
        <f>IFERROR(__xludf.DUMMYFUNCTION("""COMPUTED_VALUE"""),"Galaxy Buds4 Launch")</f>
        <v>Galaxy Buds4 Launch</v>
      </c>
      <c r="L7" s="158" t="str">
        <f>IFERROR(__xludf.DUMMYFUNCTION("""COMPUTED_VALUE"""),"AVAILABLE IN AGENCY")</f>
        <v>AVAILABLE IN AGENCY</v>
      </c>
      <c r="M7" s="158" t="str">
        <f>IFERROR(__xludf.DUMMYFUNCTION("""COMPUTED_VALUE"""),"LOANED / ON KOL")</f>
        <v>LOANED / ON KOL</v>
      </c>
      <c r="N7" s="158" t="str">
        <f>IFERROR(__xludf.DUMMYFUNCTION("""COMPUTED_VALUE"""),"Maysha Juan")</f>
        <v>Maysha Juan</v>
      </c>
      <c r="O7" s="119"/>
      <c r="P7" s="119"/>
    </row>
    <row r="8">
      <c r="B8" s="157">
        <f>IFERROR(__xludf.DUMMYFUNCTION("""COMPUTED_VALUE"""),46065.0)</f>
        <v>46065</v>
      </c>
      <c r="C8" s="158" t="str">
        <f>IFERROR(__xludf.DUMMYFUNCTION("""COMPUTED_VALUE"""),"YAYA")</f>
        <v>YAYA</v>
      </c>
      <c r="D8" s="158" t="str">
        <f>IFERROR(__xludf.DUMMYFUNCTION("""COMPUTED_VALUE"""),"BUDS")</f>
        <v>BUDS</v>
      </c>
      <c r="E8" s="159"/>
      <c r="F8" s="160" t="str">
        <f>IFERROR(__xludf.DUMMYFUNCTION("""COMPUTED_VALUE"""),"G-BUDS4-PRO WHITE (2026)")</f>
        <v>G-BUDS4-PRO WHITE (2026)</v>
      </c>
      <c r="G8" s="158" t="str">
        <f>IFERROR(__xludf.DUMMYFUNCTION("""COMPUTED_VALUE"""),"RETURN")</f>
        <v>RETURN</v>
      </c>
      <c r="H8" s="161">
        <f>IFERROR(__xludf.DUMMYFUNCTION("""COMPUTED_VALUE"""),46203.0)</f>
        <v>46203</v>
      </c>
      <c r="I8" s="158"/>
      <c r="J8" s="158" t="str">
        <f>IFERROR(__xludf.DUMMYFUNCTION("""COMPUTED_VALUE"""),"ABIGAIL")</f>
        <v>ABIGAIL</v>
      </c>
      <c r="K8" s="158" t="str">
        <f>IFERROR(__xludf.DUMMYFUNCTION("""COMPUTED_VALUE"""),"Galaxy Buds4 Launch")</f>
        <v>Galaxy Buds4 Launch</v>
      </c>
      <c r="L8" s="158" t="str">
        <f>IFERROR(__xludf.DUMMYFUNCTION("""COMPUTED_VALUE"""),"AVAILABLE IN AGENCY")</f>
        <v>AVAILABLE IN AGENCY</v>
      </c>
      <c r="M8" s="158" t="str">
        <f>IFERROR(__xludf.DUMMYFUNCTION("""COMPUTED_VALUE"""),"LOANED / ON KOL")</f>
        <v>LOANED / ON KOL</v>
      </c>
      <c r="N8" s="158" t="str">
        <f>IFERROR(__xludf.DUMMYFUNCTION("""COMPUTED_VALUE"""),"Jevin Julian")</f>
        <v>Jevin Julian</v>
      </c>
      <c r="O8" s="119"/>
      <c r="P8" s="119"/>
    </row>
    <row r="9">
      <c r="B9" s="157">
        <f>IFERROR(__xludf.DUMMYFUNCTION("""COMPUTED_VALUE"""),46065.0)</f>
        <v>46065</v>
      </c>
      <c r="C9" s="158" t="str">
        <f>IFERROR(__xludf.DUMMYFUNCTION("""COMPUTED_VALUE"""),"YAYA")</f>
        <v>YAYA</v>
      </c>
      <c r="D9" s="158" t="str">
        <f>IFERROR(__xludf.DUMMYFUNCTION("""COMPUTED_VALUE"""),"BUDS")</f>
        <v>BUDS</v>
      </c>
      <c r="E9" s="159"/>
      <c r="F9" s="160" t="str">
        <f>IFERROR(__xludf.DUMMYFUNCTION("""COMPUTED_VALUE"""),"G-BUDS4-PRO WHITE (2026)")</f>
        <v>G-BUDS4-PRO WHITE (2026)</v>
      </c>
      <c r="G9" s="158" t="str">
        <f>IFERROR(__xludf.DUMMYFUNCTION("""COMPUTED_VALUE"""),"RETURN")</f>
        <v>RETURN</v>
      </c>
      <c r="H9" s="161">
        <f>IFERROR(__xludf.DUMMYFUNCTION("""COMPUTED_VALUE"""),46203.0)</f>
        <v>46203</v>
      </c>
      <c r="I9" s="158"/>
      <c r="J9" s="158" t="str">
        <f>IFERROR(__xludf.DUMMYFUNCTION("""COMPUTED_VALUE"""),"ABIGAIL")</f>
        <v>ABIGAIL</v>
      </c>
      <c r="K9" s="158" t="str">
        <f>IFERROR(__xludf.DUMMYFUNCTION("""COMPUTED_VALUE"""),"Galaxy Buds4 Launch")</f>
        <v>Galaxy Buds4 Launch</v>
      </c>
      <c r="L9" s="158" t="str">
        <f>IFERROR(__xludf.DUMMYFUNCTION("""COMPUTED_VALUE"""),"AVAILABLE IN AGENCY")</f>
        <v>AVAILABLE IN AGENCY</v>
      </c>
      <c r="M9" s="158" t="str">
        <f>IFERROR(__xludf.DUMMYFUNCTION("""COMPUTED_VALUE"""),"LOANED / ON KOL")</f>
        <v>LOANED / ON KOL</v>
      </c>
      <c r="N9" s="158" t="str">
        <f>IFERROR(__xludf.DUMMYFUNCTION("""COMPUTED_VALUE"""),"Naura Ayu")</f>
        <v>Naura Ayu</v>
      </c>
      <c r="O9" s="119"/>
      <c r="P9" s="119"/>
    </row>
    <row r="10">
      <c r="B10" s="157">
        <f>IFERROR(__xludf.DUMMYFUNCTION("""COMPUTED_VALUE"""),46065.0)</f>
        <v>46065</v>
      </c>
      <c r="C10" s="158" t="str">
        <f>IFERROR(__xludf.DUMMYFUNCTION("""COMPUTED_VALUE"""),"ANNELA")</f>
        <v>ANNELA</v>
      </c>
      <c r="D10" s="158" t="str">
        <f>IFERROR(__xludf.DUMMYFUNCTION("""COMPUTED_VALUE"""),"HANDPHONE")</f>
        <v>HANDPHONE</v>
      </c>
      <c r="E10" s="159">
        <f>IFERROR(__xludf.DUMMYFUNCTION("""COMPUTED_VALUE"""),3.54312420000854E14)</f>
        <v>354312420000854</v>
      </c>
      <c r="F10" s="160" t="str">
        <f>IFERROR(__xludf.DUMMYFUNCTION("""COMPUTED_VALUE"""),"G-Z-FLIP7 256GB BLACK (2025)")</f>
        <v>G-Z-FLIP7 256GB BLACK (2025)</v>
      </c>
      <c r="G10" s="158" t="str">
        <f>IFERROR(__xludf.DUMMYFUNCTION("""COMPUTED_VALUE"""),"RETURN")</f>
        <v>RETURN</v>
      </c>
      <c r="H10" s="161">
        <f>IFERROR(__xludf.DUMMYFUNCTION("""COMPUTED_VALUE"""),46203.0)</f>
        <v>46203</v>
      </c>
      <c r="I10" s="158"/>
      <c r="J10" s="158" t="str">
        <f>IFERROR(__xludf.DUMMYFUNCTION("""COMPUTED_VALUE"""),"KHALIDA")</f>
        <v>KHALIDA</v>
      </c>
      <c r="K10" s="158" t="str">
        <f>IFERROR(__xludf.DUMMYFUNCTION("""COMPUTED_VALUE"""),"DA CAMPAIGN")</f>
        <v>DA CAMPAIGN</v>
      </c>
      <c r="L10" s="158" t="str">
        <f>IFERROR(__xludf.DUMMYFUNCTION("""COMPUTED_VALUE"""),"AVAILABLE IN AGENCY")</f>
        <v>AVAILABLE IN AGENCY</v>
      </c>
      <c r="M10" s="158" t="str">
        <f>IFERROR(__xludf.DUMMYFUNCTION("""COMPUTED_VALUE"""),"LOANED / ON KOL")</f>
        <v>LOANED / ON KOL</v>
      </c>
      <c r="N10" s="158" t="str">
        <f>IFERROR(__xludf.DUMMYFUNCTION("""COMPUTED_VALUE"""),"Zahral Antika")</f>
        <v>Zahral Antika</v>
      </c>
      <c r="O10" s="119"/>
      <c r="P10" s="119"/>
    </row>
    <row r="11">
      <c r="B11" s="157">
        <f>IFERROR(__xludf.DUMMYFUNCTION("""COMPUTED_VALUE"""),46065.0)</f>
        <v>46065</v>
      </c>
      <c r="C11" s="158" t="str">
        <f>IFERROR(__xludf.DUMMYFUNCTION("""COMPUTED_VALUE"""),"ANNELA")</f>
        <v>ANNELA</v>
      </c>
      <c r="D11" s="158" t="str">
        <f>IFERROR(__xludf.DUMMYFUNCTION("""COMPUTED_VALUE"""),"HANDPHONE")</f>
        <v>HANDPHONE</v>
      </c>
      <c r="E11" s="159">
        <f>IFERROR(__xludf.DUMMYFUNCTION("""COMPUTED_VALUE"""),3.54312420002314E14)</f>
        <v>354312420002314</v>
      </c>
      <c r="F11" s="160" t="str">
        <f>IFERROR(__xludf.DUMMYFUNCTION("""COMPUTED_VALUE"""),"G-Z-FLIP7 256GB LIGHT GREEN (2025)")</f>
        <v>G-Z-FLIP7 256GB LIGHT GREEN (2025)</v>
      </c>
      <c r="G11" s="158" t="str">
        <f>IFERROR(__xludf.DUMMYFUNCTION("""COMPUTED_VALUE"""),"RETURN")</f>
        <v>RETURN</v>
      </c>
      <c r="H11" s="161">
        <f>IFERROR(__xludf.DUMMYFUNCTION("""COMPUTED_VALUE"""),46203.0)</f>
        <v>46203</v>
      </c>
      <c r="I11" s="158"/>
      <c r="J11" s="158" t="str">
        <f>IFERROR(__xludf.DUMMYFUNCTION("""COMPUTED_VALUE"""),"KHALIDA")</f>
        <v>KHALIDA</v>
      </c>
      <c r="K11" s="158" t="str">
        <f>IFERROR(__xludf.DUMMYFUNCTION("""COMPUTED_VALUE"""),"DA CAMPAIGN")</f>
        <v>DA CAMPAIGN</v>
      </c>
      <c r="L11" s="158" t="str">
        <f>IFERROR(__xludf.DUMMYFUNCTION("""COMPUTED_VALUE"""),"AVAILABLE IN AGENCY")</f>
        <v>AVAILABLE IN AGENCY</v>
      </c>
      <c r="M11" s="158" t="str">
        <f>IFERROR(__xludf.DUMMYFUNCTION("""COMPUTED_VALUE"""),"LOANED / ON KOL")</f>
        <v>LOANED / ON KOL</v>
      </c>
      <c r="N11" s="158" t="str">
        <f>IFERROR(__xludf.DUMMYFUNCTION("""COMPUTED_VALUE"""),"Aliya")</f>
        <v>Aliya</v>
      </c>
      <c r="O11" s="119"/>
      <c r="P11" s="119"/>
    </row>
    <row r="12">
      <c r="B12" s="157">
        <f>IFERROR(__xludf.DUMMYFUNCTION("""COMPUTED_VALUE"""),46065.0)</f>
        <v>46065</v>
      </c>
      <c r="C12" s="158" t="str">
        <f>IFERROR(__xludf.DUMMYFUNCTION("""COMPUTED_VALUE"""),"ANNELA")</f>
        <v>ANNELA</v>
      </c>
      <c r="D12" s="158" t="str">
        <f>IFERROR(__xludf.DUMMYFUNCTION("""COMPUTED_VALUE"""),"HANDPHONE")</f>
        <v>HANDPHONE</v>
      </c>
      <c r="E12" s="159">
        <f>IFERROR(__xludf.DUMMYFUNCTION("""COMPUTED_VALUE"""),3.54312420030364E14)</f>
        <v>354312420030364</v>
      </c>
      <c r="F12" s="160" t="str">
        <f>IFERROR(__xludf.DUMMYFUNCTION("""COMPUTED_VALUE"""),"G-Z-FLIP7 256GB DARK BLUE (2025)")</f>
        <v>G-Z-FLIP7 256GB DARK BLUE (2025)</v>
      </c>
      <c r="G12" s="158" t="str">
        <f>IFERROR(__xludf.DUMMYFUNCTION("""COMPUTED_VALUE"""),"RETURN")</f>
        <v>RETURN</v>
      </c>
      <c r="H12" s="161">
        <f>IFERROR(__xludf.DUMMYFUNCTION("""COMPUTED_VALUE"""),46203.0)</f>
        <v>46203</v>
      </c>
      <c r="I12" s="158"/>
      <c r="J12" s="158" t="str">
        <f>IFERROR(__xludf.DUMMYFUNCTION("""COMPUTED_VALUE"""),"KHALIDA")</f>
        <v>KHALIDA</v>
      </c>
      <c r="K12" s="158" t="str">
        <f>IFERROR(__xludf.DUMMYFUNCTION("""COMPUTED_VALUE"""),"DA CAMPAIGN")</f>
        <v>DA CAMPAIGN</v>
      </c>
      <c r="L12" s="158" t="str">
        <f>IFERROR(__xludf.DUMMYFUNCTION("""COMPUTED_VALUE"""),"AVAILABLE IN AGENCY")</f>
        <v>AVAILABLE IN AGENCY</v>
      </c>
      <c r="M12" s="158" t="str">
        <f>IFERROR(__xludf.DUMMYFUNCTION("""COMPUTED_VALUE"""),"AVAILABLE")</f>
        <v>AVAILABLE</v>
      </c>
      <c r="N12" s="158" t="str">
        <f>IFERROR(__xludf.DUMMYFUNCTION("""COMPUTED_VALUE"""),"-")</f>
        <v>-</v>
      </c>
      <c r="O12" s="119"/>
      <c r="P12" s="119"/>
    </row>
    <row r="13">
      <c r="B13" s="157">
        <f>IFERROR(__xludf.DUMMYFUNCTION("""COMPUTED_VALUE"""),46065.0)</f>
        <v>46065</v>
      </c>
      <c r="C13" s="158" t="str">
        <f>IFERROR(__xludf.DUMMYFUNCTION("""COMPUTED_VALUE"""),"ANNELA")</f>
        <v>ANNELA</v>
      </c>
      <c r="D13" s="158" t="str">
        <f>IFERROR(__xludf.DUMMYFUNCTION("""COMPUTED_VALUE"""),"HANDPHONE")</f>
        <v>HANDPHONE</v>
      </c>
      <c r="E13" s="159">
        <f>IFERROR(__xludf.DUMMYFUNCTION("""COMPUTED_VALUE"""),3.58410185002861E14)</f>
        <v>358410185002861</v>
      </c>
      <c r="F13" s="160" t="str">
        <f>IFERROR(__xludf.DUMMYFUNCTION("""COMPUTED_VALUE"""),"G-S25 256GB DARK BLUE(2025)")</f>
        <v>G-S25 256GB DARK BLUE(2025)</v>
      </c>
      <c r="G13" s="158" t="str">
        <f>IFERROR(__xludf.DUMMYFUNCTION("""COMPUTED_VALUE"""),"RETURN")</f>
        <v>RETURN</v>
      </c>
      <c r="H13" s="161">
        <f>IFERROR(__xludf.DUMMYFUNCTION("""COMPUTED_VALUE"""),46203.0)</f>
        <v>46203</v>
      </c>
      <c r="I13" s="158"/>
      <c r="J13" s="158" t="str">
        <f>IFERROR(__xludf.DUMMYFUNCTION("""COMPUTED_VALUE"""),"KHALIDA")</f>
        <v>KHALIDA</v>
      </c>
      <c r="K13" s="158" t="str">
        <f>IFERROR(__xludf.DUMMYFUNCTION("""COMPUTED_VALUE"""),"DA CAMPAIGN")</f>
        <v>DA CAMPAIGN</v>
      </c>
      <c r="L13" s="158" t="str">
        <f>IFERROR(__xludf.DUMMYFUNCTION("""COMPUTED_VALUE"""),"AVAILABLE IN AGENCY")</f>
        <v>AVAILABLE IN AGENCY</v>
      </c>
      <c r="M13" s="158" t="str">
        <f>IFERROR(__xludf.DUMMYFUNCTION("""COMPUTED_VALUE"""),"LOANED / ON KOL")</f>
        <v>LOANED / ON KOL</v>
      </c>
      <c r="N13" s="158" t="str">
        <f>IFERROR(__xludf.DUMMYFUNCTION("""COMPUTED_VALUE"""),"Adinka")</f>
        <v>Adinka</v>
      </c>
      <c r="O13" s="119"/>
      <c r="P13" s="119"/>
    </row>
    <row r="14">
      <c r="B14" s="157">
        <f>IFERROR(__xludf.DUMMYFUNCTION("""COMPUTED_VALUE"""),46065.0)</f>
        <v>46065</v>
      </c>
      <c r="C14" s="158" t="str">
        <f>IFERROR(__xludf.DUMMYFUNCTION("""COMPUTED_VALUE"""),"ANNELA")</f>
        <v>ANNELA</v>
      </c>
      <c r="D14" s="158" t="str">
        <f>IFERROR(__xludf.DUMMYFUNCTION("""COMPUTED_VALUE"""),"HANDPHONE")</f>
        <v>HANDPHONE</v>
      </c>
      <c r="E14" s="159">
        <f>IFERROR(__xludf.DUMMYFUNCTION("""COMPUTED_VALUE"""),3.58410185073425E14)</f>
        <v>358410185073425</v>
      </c>
      <c r="F14" s="160" t="str">
        <f>IFERROR(__xludf.DUMMYFUNCTION("""COMPUTED_VALUE"""),"G-S25 256GB SILVER (2025)")</f>
        <v>G-S25 256GB SILVER (2025)</v>
      </c>
      <c r="G14" s="158" t="str">
        <f>IFERROR(__xludf.DUMMYFUNCTION("""COMPUTED_VALUE"""),"RETURN")</f>
        <v>RETURN</v>
      </c>
      <c r="H14" s="161">
        <f>IFERROR(__xludf.DUMMYFUNCTION("""COMPUTED_VALUE"""),46203.0)</f>
        <v>46203</v>
      </c>
      <c r="I14" s="158"/>
      <c r="J14" s="158" t="str">
        <f>IFERROR(__xludf.DUMMYFUNCTION("""COMPUTED_VALUE"""),"KHALIDA")</f>
        <v>KHALIDA</v>
      </c>
      <c r="K14" s="158" t="str">
        <f>IFERROR(__xludf.DUMMYFUNCTION("""COMPUTED_VALUE"""),"DA CAMPAIGN")</f>
        <v>DA CAMPAIGN</v>
      </c>
      <c r="L14" s="158" t="str">
        <f>IFERROR(__xludf.DUMMYFUNCTION("""COMPUTED_VALUE"""),"AVAILABLE IN AGENCY")</f>
        <v>AVAILABLE IN AGENCY</v>
      </c>
      <c r="M14" s="160" t="str">
        <f>IFERROR(__xludf.DUMMYFUNCTION("""COMPUTED_VALUE"""),"LOANED / ON KOL")</f>
        <v>LOANED / ON KOL</v>
      </c>
      <c r="N14" s="160" t="str">
        <f>IFERROR(__xludf.DUMMYFUNCTION("""COMPUTED_VALUE"""),"Raje")</f>
        <v>Raje</v>
      </c>
      <c r="O14" s="119"/>
      <c r="P14" s="119"/>
    </row>
    <row r="15">
      <c r="B15" s="157">
        <f>IFERROR(__xludf.DUMMYFUNCTION("""COMPUTED_VALUE"""),46065.0)</f>
        <v>46065</v>
      </c>
      <c r="C15" s="158" t="str">
        <f>IFERROR(__xludf.DUMMYFUNCTION("""COMPUTED_VALUE"""),"ANNELA")</f>
        <v>ANNELA</v>
      </c>
      <c r="D15" s="158" t="str">
        <f>IFERROR(__xludf.DUMMYFUNCTION("""COMPUTED_VALUE"""),"HANDPHONE")</f>
        <v>HANDPHONE</v>
      </c>
      <c r="E15" s="159">
        <f>IFERROR(__xludf.DUMMYFUNCTION("""COMPUTED_VALUE"""),3.58410185074076E14)</f>
        <v>358410185074076</v>
      </c>
      <c r="F15" s="160" t="str">
        <f>IFERROR(__xludf.DUMMYFUNCTION("""COMPUTED_VALUE"""),"G-S25 256GB SILVER(2025)")</f>
        <v>G-S25 256GB SILVER(2025)</v>
      </c>
      <c r="G15" s="158" t="str">
        <f>IFERROR(__xludf.DUMMYFUNCTION("""COMPUTED_VALUE"""),"RETURN")</f>
        <v>RETURN</v>
      </c>
      <c r="H15" s="161">
        <f>IFERROR(__xludf.DUMMYFUNCTION("""COMPUTED_VALUE"""),46203.0)</f>
        <v>46203</v>
      </c>
      <c r="I15" s="158"/>
      <c r="J15" s="158" t="str">
        <f>IFERROR(__xludf.DUMMYFUNCTION("""COMPUTED_VALUE"""),"KHALIDA")</f>
        <v>KHALIDA</v>
      </c>
      <c r="K15" s="158" t="str">
        <f>IFERROR(__xludf.DUMMYFUNCTION("""COMPUTED_VALUE"""),"DA CAMPAIGN")</f>
        <v>DA CAMPAIGN</v>
      </c>
      <c r="L15" s="158" t="str">
        <f>IFERROR(__xludf.DUMMYFUNCTION("""COMPUTED_VALUE"""),"AVAILABLE IN AGENCY")</f>
        <v>AVAILABLE IN AGENCY</v>
      </c>
      <c r="M15" s="158" t="str">
        <f>IFERROR(__xludf.DUMMYFUNCTION("""COMPUTED_VALUE"""),"LOANED / ON KOL")</f>
        <v>LOANED / ON KOL</v>
      </c>
      <c r="N15" s="158" t="str">
        <f>IFERROR(__xludf.DUMMYFUNCTION("""COMPUTED_VALUE"""),"Satria ")</f>
        <v>Satria </v>
      </c>
      <c r="O15" s="119"/>
      <c r="P15" s="119" t="str">
        <f>IFERROR(__xludf.DUMMYFUNCTION("""COMPUTED_VALUE"""),"Layar Sudah ada baret dari penerimaan awal")</f>
        <v>Layar Sudah ada baret dari penerimaan awal</v>
      </c>
    </row>
    <row r="16">
      <c r="B16" s="157">
        <f>IFERROR(__xludf.DUMMYFUNCTION("""COMPUTED_VALUE"""),46065.0)</f>
        <v>46065</v>
      </c>
      <c r="C16" s="158" t="str">
        <f>IFERROR(__xludf.DUMMYFUNCTION("""COMPUTED_VALUE"""),"AKBARI")</f>
        <v>AKBARI</v>
      </c>
      <c r="D16" s="158" t="str">
        <f>IFERROR(__xludf.DUMMYFUNCTION("""COMPUTED_VALUE"""),"TAB")</f>
        <v>TAB</v>
      </c>
      <c r="E16" s="159"/>
      <c r="F16" s="160" t="str">
        <f>IFERROR(__xludf.DUMMYFUNCTION("""COMPUTED_VALUE"""),"G-TAB-S11 WIFI, GRAY (2025)")</f>
        <v>G-TAB-S11 WIFI, GRAY (2025)</v>
      </c>
      <c r="G16" s="158" t="str">
        <f>IFERROR(__xludf.DUMMYFUNCTION("""COMPUTED_VALUE"""),"RETURN")</f>
        <v>RETURN</v>
      </c>
      <c r="H16" s="161">
        <f>IFERROR(__xludf.DUMMYFUNCTION("""COMPUTED_VALUE"""),46203.0)</f>
        <v>46203</v>
      </c>
      <c r="I16" s="158"/>
      <c r="J16" s="158" t="str">
        <f>IFERROR(__xludf.DUMMYFUNCTION("""COMPUTED_VALUE"""),"ABIGAIL")</f>
        <v>ABIGAIL</v>
      </c>
      <c r="K16" s="158" t="str">
        <f>IFERROR(__xludf.DUMMYFUNCTION("""COMPUTED_VALUE"""),"S11 Sustence")</f>
        <v>S11 Sustence</v>
      </c>
      <c r="L16" s="158" t="str">
        <f>IFERROR(__xludf.DUMMYFUNCTION("""COMPUTED_VALUE"""),"AVAILABLE IN AGENCY")</f>
        <v>AVAILABLE IN AGENCY</v>
      </c>
      <c r="M16" s="158" t="str">
        <f>IFERROR(__xludf.DUMMYFUNCTION("""COMPUTED_VALUE"""),"AVAILABLE")</f>
        <v>AVAILABLE</v>
      </c>
      <c r="N16" s="158" t="str">
        <f>IFERROR(__xludf.DUMMYFUNCTION("""COMPUTED_VALUE"""),"-")</f>
        <v>-</v>
      </c>
      <c r="O16" s="119"/>
      <c r="P16" s="119"/>
    </row>
    <row r="17">
      <c r="B17" s="157">
        <f>IFERROR(__xludf.DUMMYFUNCTION("""COMPUTED_VALUE"""),46065.0)</f>
        <v>46065</v>
      </c>
      <c r="C17" s="158" t="str">
        <f>IFERROR(__xludf.DUMMYFUNCTION("""COMPUTED_VALUE"""),"AKBARI")</f>
        <v>AKBARI</v>
      </c>
      <c r="D17" s="158" t="str">
        <f>IFERROR(__xludf.DUMMYFUNCTION("""COMPUTED_VALUE"""),"TAB")</f>
        <v>TAB</v>
      </c>
      <c r="E17" s="159"/>
      <c r="F17" s="160" t="str">
        <f>IFERROR(__xludf.DUMMYFUNCTION("""COMPUTED_VALUE"""),"G-TAB-S11 WIFI, GRAY (2025)")</f>
        <v>G-TAB-S11 WIFI, GRAY (2025)</v>
      </c>
      <c r="G17" s="158" t="str">
        <f>IFERROR(__xludf.DUMMYFUNCTION("""COMPUTED_VALUE"""),"RETURN")</f>
        <v>RETURN</v>
      </c>
      <c r="H17" s="161">
        <f>IFERROR(__xludf.DUMMYFUNCTION("""COMPUTED_VALUE"""),46203.0)</f>
        <v>46203</v>
      </c>
      <c r="I17" s="158"/>
      <c r="J17" s="158" t="str">
        <f>IFERROR(__xludf.DUMMYFUNCTION("""COMPUTED_VALUE"""),"ABIGAIL")</f>
        <v>ABIGAIL</v>
      </c>
      <c r="K17" s="158" t="str">
        <f>IFERROR(__xludf.DUMMYFUNCTION("""COMPUTED_VALUE"""),"S11 Sustence")</f>
        <v>S11 Sustence</v>
      </c>
      <c r="L17" s="158" t="str">
        <f>IFERROR(__xludf.DUMMYFUNCTION("""COMPUTED_VALUE"""),"AVAILABLE IN AGENCY")</f>
        <v>AVAILABLE IN AGENCY</v>
      </c>
      <c r="M17" s="158" t="str">
        <f>IFERROR(__xludf.DUMMYFUNCTION("""COMPUTED_VALUE"""),"AVAILABLE")</f>
        <v>AVAILABLE</v>
      </c>
      <c r="N17" s="158" t="str">
        <f>IFERROR(__xludf.DUMMYFUNCTION("""COMPUTED_VALUE"""),"-")</f>
        <v>-</v>
      </c>
      <c r="O17" s="119"/>
      <c r="P17" s="119"/>
    </row>
    <row r="18">
      <c r="B18" s="157">
        <f>IFERROR(__xludf.DUMMYFUNCTION("""COMPUTED_VALUE"""),46065.0)</f>
        <v>46065</v>
      </c>
      <c r="C18" s="158" t="str">
        <f>IFERROR(__xludf.DUMMYFUNCTION("""COMPUTED_VALUE"""),"AKBARI")</f>
        <v>AKBARI</v>
      </c>
      <c r="D18" s="158" t="str">
        <f>IFERROR(__xludf.DUMMYFUNCTION("""COMPUTED_VALUE"""),"ACCESORIES")</f>
        <v>ACCESORIES</v>
      </c>
      <c r="E18" s="159"/>
      <c r="F18" s="160" t="str">
        <f>IFERROR(__xludf.DUMMYFUNCTION("""COMPUTED_VALUE"""),"ACC HHP, KEYBOARD TAB S11")</f>
        <v>ACC HHP, KEYBOARD TAB S11</v>
      </c>
      <c r="G18" s="158" t="str">
        <f>IFERROR(__xludf.DUMMYFUNCTION("""COMPUTED_VALUE"""),"RETURN")</f>
        <v>RETURN</v>
      </c>
      <c r="H18" s="161">
        <f>IFERROR(__xludf.DUMMYFUNCTION("""COMPUTED_VALUE"""),46203.0)</f>
        <v>46203</v>
      </c>
      <c r="I18" s="158"/>
      <c r="J18" s="158" t="str">
        <f>IFERROR(__xludf.DUMMYFUNCTION("""COMPUTED_VALUE"""),"ABIGAIL")</f>
        <v>ABIGAIL</v>
      </c>
      <c r="K18" s="158" t="str">
        <f>IFERROR(__xludf.DUMMYFUNCTION("""COMPUTED_VALUE"""),"S11 Sustence")</f>
        <v>S11 Sustence</v>
      </c>
      <c r="L18" s="158" t="str">
        <f>IFERROR(__xludf.DUMMYFUNCTION("""COMPUTED_VALUE"""),"AVAILABLE IN AGENCY")</f>
        <v>AVAILABLE IN AGENCY</v>
      </c>
      <c r="M18" s="158" t="str">
        <f>IFERROR(__xludf.DUMMYFUNCTION("""COMPUTED_VALUE"""),"AVAILABLE")</f>
        <v>AVAILABLE</v>
      </c>
      <c r="N18" s="158" t="str">
        <f>IFERROR(__xludf.DUMMYFUNCTION("""COMPUTED_VALUE"""),"-")</f>
        <v>-</v>
      </c>
      <c r="O18" s="119"/>
      <c r="P18" s="119"/>
    </row>
    <row r="19">
      <c r="B19" s="157">
        <f>IFERROR(__xludf.DUMMYFUNCTION("""COMPUTED_VALUE"""),46065.0)</f>
        <v>46065</v>
      </c>
      <c r="C19" s="158" t="str">
        <f>IFERROR(__xludf.DUMMYFUNCTION("""COMPUTED_VALUE"""),"AKBARI")</f>
        <v>AKBARI</v>
      </c>
      <c r="D19" s="158" t="str">
        <f>IFERROR(__xludf.DUMMYFUNCTION("""COMPUTED_VALUE"""),"ACCESORIES")</f>
        <v>ACCESORIES</v>
      </c>
      <c r="E19" s="159"/>
      <c r="F19" s="160" t="str">
        <f>IFERROR(__xludf.DUMMYFUNCTION("""COMPUTED_VALUE"""),"ACC HHP, KEYBOARD TAB S11")</f>
        <v>ACC HHP, KEYBOARD TAB S11</v>
      </c>
      <c r="G19" s="158" t="str">
        <f>IFERROR(__xludf.DUMMYFUNCTION("""COMPUTED_VALUE"""),"RETURN")</f>
        <v>RETURN</v>
      </c>
      <c r="H19" s="161">
        <f>IFERROR(__xludf.DUMMYFUNCTION("""COMPUTED_VALUE"""),46203.0)</f>
        <v>46203</v>
      </c>
      <c r="I19" s="158"/>
      <c r="J19" s="158" t="str">
        <f>IFERROR(__xludf.DUMMYFUNCTION("""COMPUTED_VALUE"""),"ABIGAIL")</f>
        <v>ABIGAIL</v>
      </c>
      <c r="K19" s="158" t="str">
        <f>IFERROR(__xludf.DUMMYFUNCTION("""COMPUTED_VALUE"""),"S11 Sustence")</f>
        <v>S11 Sustence</v>
      </c>
      <c r="L19" s="158" t="str">
        <f>IFERROR(__xludf.DUMMYFUNCTION("""COMPUTED_VALUE"""),"AVAILABLE IN AGENCY")</f>
        <v>AVAILABLE IN AGENCY</v>
      </c>
      <c r="M19" s="158" t="str">
        <f>IFERROR(__xludf.DUMMYFUNCTION("""COMPUTED_VALUE"""),"AVAILABLE")</f>
        <v>AVAILABLE</v>
      </c>
      <c r="N19" s="158" t="str">
        <f>IFERROR(__xludf.DUMMYFUNCTION("""COMPUTED_VALUE"""),"-")</f>
        <v>-</v>
      </c>
      <c r="O19" s="119"/>
      <c r="P19" s="119"/>
    </row>
    <row r="20">
      <c r="B20" s="157">
        <f>IFERROR(__xludf.DUMMYFUNCTION("""COMPUTED_VALUE"""),46065.0)</f>
        <v>46065</v>
      </c>
      <c r="C20" s="158" t="str">
        <f>IFERROR(__xludf.DUMMYFUNCTION("""COMPUTED_VALUE"""),"AKBARI")</f>
        <v>AKBARI</v>
      </c>
      <c r="D20" s="158" t="str">
        <f>IFERROR(__xludf.DUMMYFUNCTION("""COMPUTED_VALUE"""),"ACCESORIES")</f>
        <v>ACCESORIES</v>
      </c>
      <c r="E20" s="159"/>
      <c r="F20" s="160" t="str">
        <f>IFERROR(__xludf.DUMMYFUNCTION("""COMPUTED_VALUE"""),"ACC HHP, KEYBOARD TAB S11")</f>
        <v>ACC HHP, KEYBOARD TAB S11</v>
      </c>
      <c r="G20" s="158" t="str">
        <f>IFERROR(__xludf.DUMMYFUNCTION("""COMPUTED_VALUE"""),"RETURN")</f>
        <v>RETURN</v>
      </c>
      <c r="H20" s="161">
        <f>IFERROR(__xludf.DUMMYFUNCTION("""COMPUTED_VALUE"""),46203.0)</f>
        <v>46203</v>
      </c>
      <c r="I20" s="158"/>
      <c r="J20" s="158" t="str">
        <f>IFERROR(__xludf.DUMMYFUNCTION("""COMPUTED_VALUE"""),"ABIGAIL")</f>
        <v>ABIGAIL</v>
      </c>
      <c r="K20" s="158" t="str">
        <f>IFERROR(__xludf.DUMMYFUNCTION("""COMPUTED_VALUE"""),"S11 Sustence")</f>
        <v>S11 Sustence</v>
      </c>
      <c r="L20" s="158" t="str">
        <f>IFERROR(__xludf.DUMMYFUNCTION("""COMPUTED_VALUE"""),"AVAILABLE IN AGENCY")</f>
        <v>AVAILABLE IN AGENCY</v>
      </c>
      <c r="M20" s="158" t="str">
        <f>IFERROR(__xludf.DUMMYFUNCTION("""COMPUTED_VALUE"""),"AVAILABLE")</f>
        <v>AVAILABLE</v>
      </c>
      <c r="N20" s="158" t="str">
        <f>IFERROR(__xludf.DUMMYFUNCTION("""COMPUTED_VALUE"""),"-")</f>
        <v>-</v>
      </c>
      <c r="O20" s="119"/>
      <c r="P20" s="119"/>
    </row>
    <row r="21">
      <c r="B21" s="157">
        <f>IFERROR(__xludf.DUMMYFUNCTION("""COMPUTED_VALUE"""),46065.0)</f>
        <v>46065</v>
      </c>
      <c r="C21" s="158" t="str">
        <f>IFERROR(__xludf.DUMMYFUNCTION("""COMPUTED_VALUE"""),"AKBARI")</f>
        <v>AKBARI</v>
      </c>
      <c r="D21" s="158" t="str">
        <f>IFERROR(__xludf.DUMMYFUNCTION("""COMPUTED_VALUE"""),"TAB")</f>
        <v>TAB</v>
      </c>
      <c r="E21" s="159">
        <f>IFERROR(__xludf.DUMMYFUNCTION("""COMPUTED_VALUE"""),3.5838712001501E14)</f>
        <v>358387120015010</v>
      </c>
      <c r="F21" s="160" t="str">
        <f>IFERROR(__xludf.DUMMYFUNCTION("""COMPUTED_VALUE"""),"G-TAB-S11-ULTRA-5G GRAY (2025)")</f>
        <v>G-TAB-S11-ULTRA-5G GRAY (2025)</v>
      </c>
      <c r="G21" s="158" t="str">
        <f>IFERROR(__xludf.DUMMYFUNCTION("""COMPUTED_VALUE"""),"RETURN")</f>
        <v>RETURN</v>
      </c>
      <c r="H21" s="161">
        <f>IFERROR(__xludf.DUMMYFUNCTION("""COMPUTED_VALUE"""),46203.0)</f>
        <v>46203</v>
      </c>
      <c r="I21" s="158"/>
      <c r="J21" s="158" t="str">
        <f>IFERROR(__xludf.DUMMYFUNCTION("""COMPUTED_VALUE"""),"ABIGAIL")</f>
        <v>ABIGAIL</v>
      </c>
      <c r="K21" s="158" t="str">
        <f>IFERROR(__xludf.DUMMYFUNCTION("""COMPUTED_VALUE"""),"S11 Sustence")</f>
        <v>S11 Sustence</v>
      </c>
      <c r="L21" s="158" t="str">
        <f>IFERROR(__xludf.DUMMYFUNCTION("""COMPUTED_VALUE"""),"AVAILABLE IN AGENCY")</f>
        <v>AVAILABLE IN AGENCY</v>
      </c>
      <c r="M21" s="158" t="str">
        <f>IFERROR(__xludf.DUMMYFUNCTION("""COMPUTED_VALUE"""),"AVAILABLE")</f>
        <v>AVAILABLE</v>
      </c>
      <c r="N21" s="158" t="str">
        <f>IFERROR(__xludf.DUMMYFUNCTION("""COMPUTED_VALUE"""),"-")</f>
        <v>-</v>
      </c>
      <c r="O21" s="119"/>
      <c r="P21" s="119"/>
    </row>
    <row r="22">
      <c r="B22" s="157">
        <f>IFERROR(__xludf.DUMMYFUNCTION("""COMPUTED_VALUE"""),46065.0)</f>
        <v>46065</v>
      </c>
      <c r="C22" s="158" t="str">
        <f>IFERROR(__xludf.DUMMYFUNCTION("""COMPUTED_VALUE"""),"AKBARI")</f>
        <v>AKBARI</v>
      </c>
      <c r="D22" s="158" t="str">
        <f>IFERROR(__xludf.DUMMYFUNCTION("""COMPUTED_VALUE"""),"TAB")</f>
        <v>TAB</v>
      </c>
      <c r="E22" s="159">
        <f>IFERROR(__xludf.DUMMYFUNCTION("""COMPUTED_VALUE"""),3.58387120018311E14)</f>
        <v>358387120018311</v>
      </c>
      <c r="F22" s="160" t="str">
        <f>IFERROR(__xludf.DUMMYFUNCTION("""COMPUTED_VALUE"""),"G-TAB-S11-ULTRA-5G GRAY (2025)")</f>
        <v>G-TAB-S11-ULTRA-5G GRAY (2025)</v>
      </c>
      <c r="G22" s="158" t="str">
        <f>IFERROR(__xludf.DUMMYFUNCTION("""COMPUTED_VALUE"""),"RETURN")</f>
        <v>RETURN</v>
      </c>
      <c r="H22" s="161">
        <f>IFERROR(__xludf.DUMMYFUNCTION("""COMPUTED_VALUE"""),46203.0)</f>
        <v>46203</v>
      </c>
      <c r="I22" s="158"/>
      <c r="J22" s="158" t="str">
        <f>IFERROR(__xludf.DUMMYFUNCTION("""COMPUTED_VALUE"""),"ABIGAIL")</f>
        <v>ABIGAIL</v>
      </c>
      <c r="K22" s="158" t="str">
        <f>IFERROR(__xludf.DUMMYFUNCTION("""COMPUTED_VALUE"""),"S11 Sustence")</f>
        <v>S11 Sustence</v>
      </c>
      <c r="L22" s="158" t="str">
        <f>IFERROR(__xludf.DUMMYFUNCTION("""COMPUTED_VALUE"""),"AVAILABLE IN AGENCY")</f>
        <v>AVAILABLE IN AGENCY</v>
      </c>
      <c r="M22" s="158" t="str">
        <f>IFERROR(__xludf.DUMMYFUNCTION("""COMPUTED_VALUE"""),"AVAILABLE")</f>
        <v>AVAILABLE</v>
      </c>
      <c r="N22" s="158" t="str">
        <f>IFERROR(__xludf.DUMMYFUNCTION("""COMPUTED_VALUE"""),"-")</f>
        <v>-</v>
      </c>
      <c r="O22" s="119"/>
      <c r="P22" s="119"/>
    </row>
    <row r="23">
      <c r="B23" s="157">
        <f>IFERROR(__xludf.DUMMYFUNCTION("""COMPUTED_VALUE"""),46065.0)</f>
        <v>46065</v>
      </c>
      <c r="C23" s="158" t="str">
        <f>IFERROR(__xludf.DUMMYFUNCTION("""COMPUTED_VALUE"""),"AKBARI")</f>
        <v>AKBARI</v>
      </c>
      <c r="D23" s="158" t="str">
        <f>IFERROR(__xludf.DUMMYFUNCTION("""COMPUTED_VALUE"""),"ACCESORIES")</f>
        <v>ACCESORIES</v>
      </c>
      <c r="E23" s="159"/>
      <c r="F23" s="160" t="str">
        <f>IFERROR(__xludf.DUMMYFUNCTION("""COMPUTED_VALUE"""),"ACC HHP, KEYBOARD SLIM BLACK, TAB S11 ULTRA")</f>
        <v>ACC HHP, KEYBOARD SLIM BLACK, TAB S11 ULTRA</v>
      </c>
      <c r="G23" s="158" t="str">
        <f>IFERROR(__xludf.DUMMYFUNCTION("""COMPUTED_VALUE"""),"RETURN")</f>
        <v>RETURN</v>
      </c>
      <c r="H23" s="161">
        <f>IFERROR(__xludf.DUMMYFUNCTION("""COMPUTED_VALUE"""),46203.0)</f>
        <v>46203</v>
      </c>
      <c r="I23" s="158"/>
      <c r="J23" s="158" t="str">
        <f>IFERROR(__xludf.DUMMYFUNCTION("""COMPUTED_VALUE"""),"ABIGAIL")</f>
        <v>ABIGAIL</v>
      </c>
      <c r="K23" s="158" t="str">
        <f>IFERROR(__xludf.DUMMYFUNCTION("""COMPUTED_VALUE"""),"S11 Sustence")</f>
        <v>S11 Sustence</v>
      </c>
      <c r="L23" s="158" t="str">
        <f>IFERROR(__xludf.DUMMYFUNCTION("""COMPUTED_VALUE"""),"AVAILABLE IN AGENCY")</f>
        <v>AVAILABLE IN AGENCY</v>
      </c>
      <c r="M23" s="158" t="str">
        <f>IFERROR(__xludf.DUMMYFUNCTION("""COMPUTED_VALUE"""),"AVAILABLE")</f>
        <v>AVAILABLE</v>
      </c>
      <c r="N23" s="158" t="str">
        <f>IFERROR(__xludf.DUMMYFUNCTION("""COMPUTED_VALUE"""),"-")</f>
        <v>-</v>
      </c>
      <c r="O23" s="119"/>
      <c r="P23" s="119"/>
    </row>
    <row r="24">
      <c r="B24" s="157">
        <f>IFERROR(__xludf.DUMMYFUNCTION("""COMPUTED_VALUE"""),46065.0)</f>
        <v>46065</v>
      </c>
      <c r="C24" s="158" t="str">
        <f>IFERROR(__xludf.DUMMYFUNCTION("""COMPUTED_VALUE"""),"AKBARI")</f>
        <v>AKBARI</v>
      </c>
      <c r="D24" s="158" t="str">
        <f>IFERROR(__xludf.DUMMYFUNCTION("""COMPUTED_VALUE"""),"ACCESORIES")</f>
        <v>ACCESORIES</v>
      </c>
      <c r="E24" s="159"/>
      <c r="F24" s="160" t="str">
        <f>IFERROR(__xludf.DUMMYFUNCTION("""COMPUTED_VALUE"""),"ACC HHP, KEYBOARD SLIM BLACK, TAB S11 ULTRA")</f>
        <v>ACC HHP, KEYBOARD SLIM BLACK, TAB S11 ULTRA</v>
      </c>
      <c r="G24" s="158" t="str">
        <f>IFERROR(__xludf.DUMMYFUNCTION("""COMPUTED_VALUE"""),"RETURN")</f>
        <v>RETURN</v>
      </c>
      <c r="H24" s="161">
        <f>IFERROR(__xludf.DUMMYFUNCTION("""COMPUTED_VALUE"""),46203.0)</f>
        <v>46203</v>
      </c>
      <c r="I24" s="158"/>
      <c r="J24" s="158" t="str">
        <f>IFERROR(__xludf.DUMMYFUNCTION("""COMPUTED_VALUE"""),"ABIGAIL")</f>
        <v>ABIGAIL</v>
      </c>
      <c r="K24" s="158" t="str">
        <f>IFERROR(__xludf.DUMMYFUNCTION("""COMPUTED_VALUE"""),"S11 Sustence")</f>
        <v>S11 Sustence</v>
      </c>
      <c r="L24" s="158" t="str">
        <f>IFERROR(__xludf.DUMMYFUNCTION("""COMPUTED_VALUE"""),"AVAILABLE IN AGENCY")</f>
        <v>AVAILABLE IN AGENCY</v>
      </c>
      <c r="M24" s="158" t="str">
        <f>IFERROR(__xludf.DUMMYFUNCTION("""COMPUTED_VALUE"""),"AVAILABLE")</f>
        <v>AVAILABLE</v>
      </c>
      <c r="N24" s="158" t="str">
        <f>IFERROR(__xludf.DUMMYFUNCTION("""COMPUTED_VALUE"""),"-")</f>
        <v>-</v>
      </c>
      <c r="O24" s="119"/>
      <c r="P24" s="119"/>
    </row>
    <row r="25">
      <c r="B25" s="157">
        <f>IFERROR(__xludf.DUMMYFUNCTION("""COMPUTED_VALUE"""),46065.0)</f>
        <v>46065</v>
      </c>
      <c r="C25" s="158" t="str">
        <f>IFERROR(__xludf.DUMMYFUNCTION("""COMPUTED_VALUE"""),"YAYA")</f>
        <v>YAYA</v>
      </c>
      <c r="D25" s="158" t="str">
        <f>IFERROR(__xludf.DUMMYFUNCTION("""COMPUTED_VALUE"""),"HANDPHONE")</f>
        <v>HANDPHONE</v>
      </c>
      <c r="E25" s="159">
        <f>IFERROR(__xludf.DUMMYFUNCTION("""COMPUTED_VALUE"""),3.55649780288085E14)</f>
        <v>355649780288085</v>
      </c>
      <c r="F25" s="160" t="str">
        <f>IFERROR(__xludf.DUMMYFUNCTION("""COMPUTED_VALUE"""),"G-A07-5G 128GB LIGHT VIOLET")</f>
        <v>G-A07-5G 128GB LIGHT VIOLET</v>
      </c>
      <c r="G25" s="158" t="str">
        <f>IFERROR(__xludf.DUMMYFUNCTION("""COMPUTED_VALUE"""),"RETURN")</f>
        <v>RETURN</v>
      </c>
      <c r="H25" s="161"/>
      <c r="I25" s="158"/>
      <c r="J25" s="158" t="str">
        <f>IFERROR(__xludf.DUMMYFUNCTION("""COMPUTED_VALUE"""),"TASHYA")</f>
        <v>TASHYA</v>
      </c>
      <c r="K25" s="158"/>
      <c r="L25" s="158" t="str">
        <f>IFERROR(__xludf.DUMMYFUNCTION("""COMPUTED_VALUE"""),"AVAILABLE IN AGENCY")</f>
        <v>AVAILABLE IN AGENCY</v>
      </c>
      <c r="M25" s="158" t="str">
        <f>IFERROR(__xludf.DUMMYFUNCTION("""COMPUTED_VALUE"""),"LOANED / ON KOL")</f>
        <v>LOANED / ON KOL</v>
      </c>
      <c r="N25" s="158" t="str">
        <f>IFERROR(__xludf.DUMMYFUNCTION("""COMPUTED_VALUE"""),"VINCENT PRATAMA")</f>
        <v>VINCENT PRATAMA</v>
      </c>
      <c r="O25" s="119"/>
      <c r="P25" s="119"/>
    </row>
    <row r="26">
      <c r="B26" s="157">
        <f>IFERROR(__xludf.DUMMYFUNCTION("""COMPUTED_VALUE"""),46065.0)</f>
        <v>46065</v>
      </c>
      <c r="C26" s="158" t="str">
        <f>IFERROR(__xludf.DUMMYFUNCTION("""COMPUTED_VALUE"""),"YAYA")</f>
        <v>YAYA</v>
      </c>
      <c r="D26" s="158" t="str">
        <f>IFERROR(__xludf.DUMMYFUNCTION("""COMPUTED_VALUE"""),"HANDPHONE")</f>
        <v>HANDPHONE</v>
      </c>
      <c r="E26" s="159">
        <f>IFERROR(__xludf.DUMMYFUNCTION("""COMPUTED_VALUE"""),3.55649780142837E14)</f>
        <v>355649780142837</v>
      </c>
      <c r="F26" s="160" t="str">
        <f>IFERROR(__xludf.DUMMYFUNCTION("""COMPUTED_VALUE"""),"G-A07-5G 128GB LIGHT VIOLET")</f>
        <v>G-A07-5G 128GB LIGHT VIOLET</v>
      </c>
      <c r="G26" s="158" t="str">
        <f>IFERROR(__xludf.DUMMYFUNCTION("""COMPUTED_VALUE"""),"RETURN")</f>
        <v>RETURN</v>
      </c>
      <c r="H26" s="161"/>
      <c r="I26" s="158"/>
      <c r="J26" s="158" t="str">
        <f>IFERROR(__xludf.DUMMYFUNCTION("""COMPUTED_VALUE"""),"TASHYA")</f>
        <v>TASHYA</v>
      </c>
      <c r="K26" s="158"/>
      <c r="L26" s="158" t="str">
        <f>IFERROR(__xludf.DUMMYFUNCTION("""COMPUTED_VALUE"""),"AVAILABLE IN AGENCY")</f>
        <v>AVAILABLE IN AGENCY</v>
      </c>
      <c r="M26" s="158" t="str">
        <f>IFERROR(__xludf.DUMMYFUNCTION("""COMPUTED_VALUE"""),"LOANED / ON KOL")</f>
        <v>LOANED / ON KOL</v>
      </c>
      <c r="N26" s="158" t="str">
        <f>IFERROR(__xludf.DUMMYFUNCTION("""COMPUTED_VALUE"""),"Naqi")</f>
        <v>Naqi</v>
      </c>
      <c r="O26" s="119"/>
      <c r="P26" s="119"/>
    </row>
    <row r="27">
      <c r="B27" s="157">
        <f>IFERROR(__xludf.DUMMYFUNCTION("""COMPUTED_VALUE"""),46065.0)</f>
        <v>46065</v>
      </c>
      <c r="C27" s="158" t="str">
        <f>IFERROR(__xludf.DUMMYFUNCTION("""COMPUTED_VALUE"""),"YAYA")</f>
        <v>YAYA</v>
      </c>
      <c r="D27" s="158" t="str">
        <f>IFERROR(__xludf.DUMMYFUNCTION("""COMPUTED_VALUE"""),"HANDPHONE")</f>
        <v>HANDPHONE</v>
      </c>
      <c r="E27" s="159">
        <f>IFERROR(__xludf.DUMMYFUNCTION("""COMPUTED_VALUE"""),3.55649780287392E14)</f>
        <v>355649780287392</v>
      </c>
      <c r="F27" s="160" t="str">
        <f>IFERROR(__xludf.DUMMYFUNCTION("""COMPUTED_VALUE"""),"G-A07-5G 128GB LIGHT VIOLET")</f>
        <v>G-A07-5G 128GB LIGHT VIOLET</v>
      </c>
      <c r="G27" s="158" t="str">
        <f>IFERROR(__xludf.DUMMYFUNCTION("""COMPUTED_VALUE"""),"RETURN")</f>
        <v>RETURN</v>
      </c>
      <c r="H27" s="161"/>
      <c r="I27" s="158"/>
      <c r="J27" s="158" t="str">
        <f>IFERROR(__xludf.DUMMYFUNCTION("""COMPUTED_VALUE"""),"TASHYA")</f>
        <v>TASHYA</v>
      </c>
      <c r="K27" s="158"/>
      <c r="L27" s="158" t="str">
        <f>IFERROR(__xludf.DUMMYFUNCTION("""COMPUTED_VALUE"""),"AVAILABLE IN AGENCY")</f>
        <v>AVAILABLE IN AGENCY</v>
      </c>
      <c r="M27" s="158" t="str">
        <f>IFERROR(__xludf.DUMMYFUNCTION("""COMPUTED_VALUE"""),"LOANED / ON KOL")</f>
        <v>LOANED / ON KOL</v>
      </c>
      <c r="N27" s="158" t="str">
        <f>IFERROR(__xludf.DUMMYFUNCTION("""COMPUTED_VALUE"""),"Farhan Frisia ")</f>
        <v>Farhan Frisia </v>
      </c>
      <c r="O27" s="119"/>
      <c r="P27" s="119"/>
    </row>
    <row r="28">
      <c r="B28" s="157">
        <f>IFERROR(__xludf.DUMMYFUNCTION("""COMPUTED_VALUE"""),46066.0)</f>
        <v>46066</v>
      </c>
      <c r="C28" s="158" t="str">
        <f>IFERROR(__xludf.DUMMYFUNCTION("""COMPUTED_VALUE"""),"MANDIE")</f>
        <v>MANDIE</v>
      </c>
      <c r="D28" s="158" t="str">
        <f>IFERROR(__xludf.DUMMYFUNCTION("""COMPUTED_VALUE"""),"HANDPHONE")</f>
        <v>HANDPHONE</v>
      </c>
      <c r="E28" s="159">
        <f>IFERROR(__xludf.DUMMYFUNCTION("""COMPUTED_VALUE"""),3.52901540311464E14)</f>
        <v>352901540311464</v>
      </c>
      <c r="F28" s="160" t="str">
        <f>IFERROR(__xludf.DUMMYFUNCTION("""COMPUTED_VALUE"""),"G-S25-ULTRA WHITE SILVER")</f>
        <v>G-S25-ULTRA WHITE SILVER</v>
      </c>
      <c r="G28" s="158" t="str">
        <f>IFERROR(__xludf.DUMMYFUNCTION("""COMPUTED_VALUE"""),"RETURN")</f>
        <v>RETURN</v>
      </c>
      <c r="H28" s="161"/>
      <c r="I28" s="158"/>
      <c r="J28" s="158" t="str">
        <f>IFERROR(__xludf.DUMMYFUNCTION("""COMPUTED_VALUE"""),"OLIV")</f>
        <v>OLIV</v>
      </c>
      <c r="K28" s="158" t="str">
        <f>IFERROR(__xludf.DUMMYFUNCTION("""COMPUTED_VALUE"""),"RAMADAN CAMPAIGN")</f>
        <v>RAMADAN CAMPAIGN</v>
      </c>
      <c r="L28" s="158" t="str">
        <f>IFERROR(__xludf.DUMMYFUNCTION("""COMPUTED_VALUE"""),"AVAILABLE IN AGENCY")</f>
        <v>AVAILABLE IN AGENCY</v>
      </c>
      <c r="M28" s="158" t="str">
        <f>IFERROR(__xludf.DUMMYFUNCTION("""COMPUTED_VALUE"""),"LOANED / ON KOL")</f>
        <v>LOANED / ON KOL</v>
      </c>
      <c r="N28" s="158" t="str">
        <f>IFERROR(__xludf.DUMMYFUNCTION("""COMPUTED_VALUE"""),"Shafa Lubis")</f>
        <v>Shafa Lubis</v>
      </c>
      <c r="O28" s="119"/>
      <c r="P28" s="119"/>
    </row>
    <row r="29">
      <c r="B29" s="157">
        <f>IFERROR(__xludf.DUMMYFUNCTION("""COMPUTED_VALUE"""),46066.0)</f>
        <v>46066</v>
      </c>
      <c r="C29" s="158" t="str">
        <f>IFERROR(__xludf.DUMMYFUNCTION("""COMPUTED_VALUE"""),"MANDIE")</f>
        <v>MANDIE</v>
      </c>
      <c r="D29" s="158" t="str">
        <f>IFERROR(__xludf.DUMMYFUNCTION("""COMPUTED_VALUE"""),"HANDPHONE")</f>
        <v>HANDPHONE</v>
      </c>
      <c r="E29" s="159">
        <f>IFERROR(__xludf.DUMMYFUNCTION("""COMPUTED_VALUE"""),3.52901540313817E14)</f>
        <v>352901540313817</v>
      </c>
      <c r="F29" s="160" t="str">
        <f>IFERROR(__xludf.DUMMYFUNCTION("""COMPUTED_VALUE"""),"G-S25-ULTRA GRAY")</f>
        <v>G-S25-ULTRA GRAY</v>
      </c>
      <c r="G29" s="158" t="str">
        <f>IFERROR(__xludf.DUMMYFUNCTION("""COMPUTED_VALUE"""),"RETURN")</f>
        <v>RETURN</v>
      </c>
      <c r="H29" s="161"/>
      <c r="I29" s="158"/>
      <c r="J29" s="158" t="str">
        <f>IFERROR(__xludf.DUMMYFUNCTION("""COMPUTED_VALUE"""),"OLIV")</f>
        <v>OLIV</v>
      </c>
      <c r="K29" s="158" t="str">
        <f>IFERROR(__xludf.DUMMYFUNCTION("""COMPUTED_VALUE"""),"RAMADAN CAMPAIGN")</f>
        <v>RAMADAN CAMPAIGN</v>
      </c>
      <c r="L29" s="158" t="str">
        <f>IFERROR(__xludf.DUMMYFUNCTION("""COMPUTED_VALUE"""),"AVAILABLE IN AGENCY")</f>
        <v>AVAILABLE IN AGENCY</v>
      </c>
      <c r="M29" s="158" t="str">
        <f>IFERROR(__xludf.DUMMYFUNCTION("""COMPUTED_VALUE"""),"LOANED / ON KOL")</f>
        <v>LOANED / ON KOL</v>
      </c>
      <c r="N29" s="158" t="str">
        <f>IFERROR(__xludf.DUMMYFUNCTION("""COMPUTED_VALUE"""),"madaryanhadi")</f>
        <v>madaryanhadi</v>
      </c>
      <c r="O29" s="119"/>
      <c r="P29" s="119"/>
    </row>
    <row r="30">
      <c r="B30" s="157">
        <f>IFERROR(__xludf.DUMMYFUNCTION("""COMPUTED_VALUE"""),46066.0)</f>
        <v>46066</v>
      </c>
      <c r="C30" s="158" t="str">
        <f>IFERROR(__xludf.DUMMYFUNCTION("""COMPUTED_VALUE"""),"MANDIE")</f>
        <v>MANDIE</v>
      </c>
      <c r="D30" s="158" t="str">
        <f>IFERROR(__xludf.DUMMYFUNCTION("""COMPUTED_VALUE"""),"HANDPHONE")</f>
        <v>HANDPHONE</v>
      </c>
      <c r="E30" s="159">
        <f>IFERROR(__xludf.DUMMYFUNCTION("""COMPUTED_VALUE"""),3.55626620021892E14)</f>
        <v>355626620021892</v>
      </c>
      <c r="F30" s="160" t="str">
        <f>IFERROR(__xludf.DUMMYFUNCTION("""COMPUTED_VALUE"""),"G-Z-FOLD7 BLUE SHADOW")</f>
        <v>G-Z-FOLD7 BLUE SHADOW</v>
      </c>
      <c r="G30" s="158" t="str">
        <f>IFERROR(__xludf.DUMMYFUNCTION("""COMPUTED_VALUE"""),"RETURN")</f>
        <v>RETURN</v>
      </c>
      <c r="H30" s="161"/>
      <c r="I30" s="158"/>
      <c r="J30" s="158" t="str">
        <f>IFERROR(__xludf.DUMMYFUNCTION("""COMPUTED_VALUE"""),"OLIV")</f>
        <v>OLIV</v>
      </c>
      <c r="K30" s="158" t="str">
        <f>IFERROR(__xludf.DUMMYFUNCTION("""COMPUTED_VALUE"""),"RAMADAN CAMPAIGN")</f>
        <v>RAMADAN CAMPAIGN</v>
      </c>
      <c r="L30" s="158" t="str">
        <f>IFERROR(__xludf.DUMMYFUNCTION("""COMPUTED_VALUE"""),"AVAILABLE IN AGENCY")</f>
        <v>AVAILABLE IN AGENCY</v>
      </c>
      <c r="M30" s="158" t="str">
        <f>IFERROR(__xludf.DUMMYFUNCTION("""COMPUTED_VALUE"""),"LOANED / ON KOL")</f>
        <v>LOANED / ON KOL</v>
      </c>
      <c r="N30" s="158" t="str">
        <f>IFERROR(__xludf.DUMMYFUNCTION("""COMPUTED_VALUE"""),"Apip")</f>
        <v>Apip</v>
      </c>
      <c r="O30" s="119"/>
      <c r="P30" s="119"/>
    </row>
    <row r="31">
      <c r="B31" s="157">
        <f>IFERROR(__xludf.DUMMYFUNCTION("""COMPUTED_VALUE"""),46066.0)</f>
        <v>46066</v>
      </c>
      <c r="C31" s="158" t="str">
        <f>IFERROR(__xludf.DUMMYFUNCTION("""COMPUTED_VALUE"""),"MANDIE")</f>
        <v>MANDIE</v>
      </c>
      <c r="D31" s="158" t="str">
        <f>IFERROR(__xludf.DUMMYFUNCTION("""COMPUTED_VALUE"""),"HANDPHONE")</f>
        <v>HANDPHONE</v>
      </c>
      <c r="E31" s="159">
        <f>IFERROR(__xludf.DUMMYFUNCTION("""COMPUTED_VALUE"""),3.54312420000599E14)</f>
        <v>354312420000599</v>
      </c>
      <c r="F31" s="160" t="str">
        <f>IFERROR(__xludf.DUMMYFUNCTION("""COMPUTED_VALUE"""),"G-Z-FLIP7 JETBLACK")</f>
        <v>G-Z-FLIP7 JETBLACK</v>
      </c>
      <c r="G31" s="158" t="str">
        <f>IFERROR(__xludf.DUMMYFUNCTION("""COMPUTED_VALUE"""),"RETURN")</f>
        <v>RETURN</v>
      </c>
      <c r="H31" s="161"/>
      <c r="I31" s="158"/>
      <c r="J31" s="158" t="str">
        <f>IFERROR(__xludf.DUMMYFUNCTION("""COMPUTED_VALUE"""),"OLIV")</f>
        <v>OLIV</v>
      </c>
      <c r="K31" s="158" t="str">
        <f>IFERROR(__xludf.DUMMYFUNCTION("""COMPUTED_VALUE"""),"RAMADAN CAMPAIGN")</f>
        <v>RAMADAN CAMPAIGN</v>
      </c>
      <c r="L31" s="158" t="str">
        <f>IFERROR(__xludf.DUMMYFUNCTION("""COMPUTED_VALUE"""),"AVAILABLE IN AGENCY")</f>
        <v>AVAILABLE IN AGENCY</v>
      </c>
      <c r="M31" s="158" t="str">
        <f>IFERROR(__xludf.DUMMYFUNCTION("""COMPUTED_VALUE"""),"LOANED / ON KOL")</f>
        <v>LOANED / ON KOL</v>
      </c>
      <c r="N31" s="158" t="str">
        <f>IFERROR(__xludf.DUMMYFUNCTION("""COMPUTED_VALUE"""),"DRG Nurina")</f>
        <v>DRG Nurina</v>
      </c>
      <c r="O31" s="119"/>
      <c r="P31" s="119"/>
    </row>
    <row r="32">
      <c r="B32" s="157">
        <f>IFERROR(__xludf.DUMMYFUNCTION("""COMPUTED_VALUE"""),46066.0)</f>
        <v>46066</v>
      </c>
      <c r="C32" s="158" t="str">
        <f>IFERROR(__xludf.DUMMYFUNCTION("""COMPUTED_VALUE"""),"YAYA")</f>
        <v>YAYA</v>
      </c>
      <c r="D32" s="158" t="str">
        <f>IFERROR(__xludf.DUMMYFUNCTION("""COMPUTED_VALUE"""),"HANDPHONE")</f>
        <v>HANDPHONE</v>
      </c>
      <c r="E32" s="159">
        <f>IFERROR(__xludf.DUMMYFUNCTION("""COMPUTED_VALUE"""),3.55500722565579E14)</f>
        <v>355500722565579</v>
      </c>
      <c r="F32" s="160" t="str">
        <f>IFERROR(__xludf.DUMMYFUNCTION("""COMPUTED_VALUE"""),"G-A-175LTE LIGHT BLUE RAMADAN PACKAGE")</f>
        <v>G-A-175LTE LIGHT BLUE RAMADAN PACKAGE</v>
      </c>
      <c r="G32" s="158" t="str">
        <f>IFERROR(__xludf.DUMMYFUNCTION("""COMPUTED_VALUE"""),"RETURN")</f>
        <v>RETURN</v>
      </c>
      <c r="H32" s="161">
        <f>IFERROR(__xludf.DUMMYFUNCTION("""COMPUTED_VALUE"""),46172.0)</f>
        <v>46172</v>
      </c>
      <c r="I32" s="158"/>
      <c r="J32" s="158" t="str">
        <f>IFERROR(__xludf.DUMMYFUNCTION("""COMPUTED_VALUE"""),"TASHYA")</f>
        <v>TASHYA</v>
      </c>
      <c r="K32" s="158"/>
      <c r="L32" s="158" t="str">
        <f>IFERROR(__xludf.DUMMYFUNCTION("""COMPUTED_VALUE"""),"AVAILABLE IN AGENCY")</f>
        <v>AVAILABLE IN AGENCY</v>
      </c>
      <c r="M32" s="158" t="str">
        <f>IFERROR(__xludf.DUMMYFUNCTION("""COMPUTED_VALUE"""),"LOANED / ON KOL")</f>
        <v>LOANED / ON KOL</v>
      </c>
      <c r="N32" s="158" t="str">
        <f>IFERROR(__xludf.DUMMYFUNCTION("""COMPUTED_VALUE"""),"MEIRANI AMALIA")</f>
        <v>MEIRANI AMALIA</v>
      </c>
      <c r="O32" s="119"/>
      <c r="P32" s="119"/>
    </row>
    <row r="33">
      <c r="B33" s="157">
        <f>IFERROR(__xludf.DUMMYFUNCTION("""COMPUTED_VALUE"""),46066.0)</f>
        <v>46066</v>
      </c>
      <c r="C33" s="158" t="str">
        <f>IFERROR(__xludf.DUMMYFUNCTION("""COMPUTED_VALUE"""),"YAYA")</f>
        <v>YAYA</v>
      </c>
      <c r="D33" s="158" t="str">
        <f>IFERROR(__xludf.DUMMYFUNCTION("""COMPUTED_VALUE"""),"HANDPHONE")</f>
        <v>HANDPHONE</v>
      </c>
      <c r="E33" s="159">
        <f>IFERROR(__xludf.DUMMYFUNCTION("""COMPUTED_VALUE"""),3.55500722520517E14)</f>
        <v>355500722520517</v>
      </c>
      <c r="F33" s="160" t="str">
        <f>IFERROR(__xludf.DUMMYFUNCTION("""COMPUTED_VALUE"""),"G-A-175LTE BLACK RAMADAM PACKAGE")</f>
        <v>G-A-175LTE BLACK RAMADAM PACKAGE</v>
      </c>
      <c r="G33" s="158" t="str">
        <f>IFERROR(__xludf.DUMMYFUNCTION("""COMPUTED_VALUE"""),"RETURN")</f>
        <v>RETURN</v>
      </c>
      <c r="H33" s="161">
        <f>IFERROR(__xludf.DUMMYFUNCTION("""COMPUTED_VALUE"""),46172.0)</f>
        <v>46172</v>
      </c>
      <c r="I33" s="158"/>
      <c r="J33" s="158" t="str">
        <f>IFERROR(__xludf.DUMMYFUNCTION("""COMPUTED_VALUE"""),"TASHYA")</f>
        <v>TASHYA</v>
      </c>
      <c r="K33" s="158"/>
      <c r="L33" s="158" t="str">
        <f>IFERROR(__xludf.DUMMYFUNCTION("""COMPUTED_VALUE"""),"AVAILABLE IN AGENCY")</f>
        <v>AVAILABLE IN AGENCY</v>
      </c>
      <c r="M33" s="158" t="str">
        <f>IFERROR(__xludf.DUMMYFUNCTION("""COMPUTED_VALUE"""),"LOANED / ON KOL")</f>
        <v>LOANED / ON KOL</v>
      </c>
      <c r="N33" s="158" t="str">
        <f>IFERROR(__xludf.DUMMYFUNCTION("""COMPUTED_VALUE"""),"Cex Daniel")</f>
        <v>Cex Daniel</v>
      </c>
      <c r="O33" s="119"/>
      <c r="P33" s="119"/>
    </row>
    <row r="34">
      <c r="B34" s="157">
        <f>IFERROR(__xludf.DUMMYFUNCTION("""COMPUTED_VALUE"""),46066.0)</f>
        <v>46066</v>
      </c>
      <c r="C34" s="158" t="str">
        <f>IFERROR(__xludf.DUMMYFUNCTION("""COMPUTED_VALUE"""),"YAYA")</f>
        <v>YAYA</v>
      </c>
      <c r="D34" s="158" t="str">
        <f>IFERROR(__xludf.DUMMYFUNCTION("""COMPUTED_VALUE"""),"HANDPHONE")</f>
        <v>HANDPHONE</v>
      </c>
      <c r="E34" s="159">
        <f>IFERROR(__xludf.DUMMYFUNCTION("""COMPUTED_VALUE"""),3.55500722567443E14)</f>
        <v>355500722567443</v>
      </c>
      <c r="F34" s="160" t="str">
        <f>IFERROR(__xludf.DUMMYFUNCTION("""COMPUTED_VALUE"""),"G-A-175LTE LIGHT BLUE PACKAGE")</f>
        <v>G-A-175LTE LIGHT BLUE PACKAGE</v>
      </c>
      <c r="G34" s="158" t="str">
        <f>IFERROR(__xludf.DUMMYFUNCTION("""COMPUTED_VALUE"""),"RETURN")</f>
        <v>RETURN</v>
      </c>
      <c r="H34" s="161">
        <f>IFERROR(__xludf.DUMMYFUNCTION("""COMPUTED_VALUE"""),46172.0)</f>
        <v>46172</v>
      </c>
      <c r="I34" s="158"/>
      <c r="J34" s="158" t="str">
        <f>IFERROR(__xludf.DUMMYFUNCTION("""COMPUTED_VALUE"""),"TASHYA")</f>
        <v>TASHYA</v>
      </c>
      <c r="K34" s="158"/>
      <c r="L34" s="158" t="str">
        <f>IFERROR(__xludf.DUMMYFUNCTION("""COMPUTED_VALUE"""),"AVAILABLE IN AGENCY")</f>
        <v>AVAILABLE IN AGENCY</v>
      </c>
      <c r="M34" s="158" t="str">
        <f>IFERROR(__xludf.DUMMYFUNCTION("""COMPUTED_VALUE"""),"LOANED / ON KOL")</f>
        <v>LOANED / ON KOL</v>
      </c>
      <c r="N34" s="158" t="str">
        <f>IFERROR(__xludf.DUMMYFUNCTION("""COMPUTED_VALUE"""),"RAUDAH")</f>
        <v>RAUDAH</v>
      </c>
      <c r="O34" s="119"/>
      <c r="P34" s="119"/>
    </row>
    <row r="35">
      <c r="B35" s="157">
        <f>IFERROR(__xludf.DUMMYFUNCTION("""COMPUTED_VALUE"""),46071.0)</f>
        <v>46071</v>
      </c>
      <c r="C35" s="158"/>
      <c r="D35" s="158" t="str">
        <f>IFERROR(__xludf.DUMMYFUNCTION("""COMPUTED_VALUE"""),"HANDPHONE")</f>
        <v>HANDPHONE</v>
      </c>
      <c r="E35" s="159">
        <f>IFERROR(__xludf.DUMMYFUNCTION("""COMPUTED_VALUE"""),3.50009210074339E14)</f>
        <v>350009210074339</v>
      </c>
      <c r="F35" s="160" t="str">
        <f>IFERROR(__xludf.DUMMYFUNCTION("""COMPUTED_VALUE"""),"G-S24-FE 256GB GRAPHITE")</f>
        <v>G-S24-FE 256GB GRAPHITE</v>
      </c>
      <c r="G35" s="158" t="str">
        <f>IFERROR(__xludf.DUMMYFUNCTION("""COMPUTED_VALUE"""),"RETURN")</f>
        <v>RETURN</v>
      </c>
      <c r="H35" s="161"/>
      <c r="I35" s="158"/>
      <c r="J35" s="158" t="str">
        <f>IFERROR(__xludf.DUMMYFUNCTION("""COMPUTED_VALUE"""),"SALMA")</f>
        <v>SALMA</v>
      </c>
      <c r="K35" s="158"/>
      <c r="L35" s="158" t="str">
        <f>IFERROR(__xludf.DUMMYFUNCTION("""COMPUTED_VALUE"""),"AVAILABLE IN AGENCY")</f>
        <v>AVAILABLE IN AGENCY</v>
      </c>
      <c r="M35" s="158" t="str">
        <f>IFERROR(__xludf.DUMMYFUNCTION("""COMPUTED_VALUE"""),"AVAILABLE")</f>
        <v>AVAILABLE</v>
      </c>
      <c r="N35" s="158" t="str">
        <f>IFERROR(__xludf.DUMMYFUNCTION("""COMPUTED_VALUE"""),"-")</f>
        <v>-</v>
      </c>
      <c r="O35" s="119"/>
      <c r="P35" s="119"/>
    </row>
    <row r="36">
      <c r="B36" s="157">
        <f>IFERROR(__xludf.DUMMYFUNCTION("""COMPUTED_VALUE"""),46071.0)</f>
        <v>46071</v>
      </c>
      <c r="C36" s="158"/>
      <c r="D36" s="158" t="str">
        <f>IFERROR(__xludf.DUMMYFUNCTION("""COMPUTED_VALUE"""),"HANDPHONE")</f>
        <v>HANDPHONE</v>
      </c>
      <c r="E36" s="159">
        <f>IFERROR(__xludf.DUMMYFUNCTION("""COMPUTED_VALUE"""),3.54922130008466E14)</f>
        <v>354922130008466</v>
      </c>
      <c r="F36" s="160" t="str">
        <f>IFERROR(__xludf.DUMMYFUNCTION("""COMPUTED_VALUE"""),"G-S25-EDGE 256GB SILVER")</f>
        <v>G-S25-EDGE 256GB SILVER</v>
      </c>
      <c r="G36" s="158" t="str">
        <f>IFERROR(__xludf.DUMMYFUNCTION("""COMPUTED_VALUE"""),"RETURN")</f>
        <v>RETURN</v>
      </c>
      <c r="H36" s="161"/>
      <c r="I36" s="158"/>
      <c r="J36" s="158" t="str">
        <f>IFERROR(__xludf.DUMMYFUNCTION("""COMPUTED_VALUE"""),"CHRISYE")</f>
        <v>CHRISYE</v>
      </c>
      <c r="K36" s="158"/>
      <c r="L36" s="158" t="str">
        <f>IFERROR(__xludf.DUMMYFUNCTION("""COMPUTED_VALUE"""),"AVAILABLE IN AGENCY")</f>
        <v>AVAILABLE IN AGENCY</v>
      </c>
      <c r="M36" s="158" t="str">
        <f>IFERROR(__xludf.DUMMYFUNCTION("""COMPUTED_VALUE"""),"AVAILABLE")</f>
        <v>AVAILABLE</v>
      </c>
      <c r="N36" s="158" t="str">
        <f>IFERROR(__xludf.DUMMYFUNCTION("""COMPUTED_VALUE"""),"-")</f>
        <v>-</v>
      </c>
      <c r="O36" s="119"/>
      <c r="P36" s="119"/>
    </row>
    <row r="37">
      <c r="B37" s="157">
        <f>IFERROR(__xludf.DUMMYFUNCTION("""COMPUTED_VALUE"""),46071.0)</f>
        <v>46071</v>
      </c>
      <c r="C37" s="158"/>
      <c r="D37" s="158" t="str">
        <f>IFERROR(__xludf.DUMMYFUNCTION("""COMPUTED_VALUE"""),"HANDPHONE")</f>
        <v>HANDPHONE</v>
      </c>
      <c r="E37" s="159">
        <f>IFERROR(__xludf.DUMMYFUNCTION("""COMPUTED_VALUE"""),3.58410185006722E14)</f>
        <v>358410185006722</v>
      </c>
      <c r="F37" s="160" t="str">
        <f>IFERROR(__xludf.DUMMYFUNCTION("""COMPUTED_VALUE"""),"G-S25 256GB SILVER SHADOW")</f>
        <v>G-S25 256GB SILVER SHADOW</v>
      </c>
      <c r="G37" s="158" t="str">
        <f>IFERROR(__xludf.DUMMYFUNCTION("""COMPUTED_VALUE"""),"RETURN")</f>
        <v>RETURN</v>
      </c>
      <c r="H37" s="161"/>
      <c r="I37" s="158"/>
      <c r="J37" s="158"/>
      <c r="K37" s="158"/>
      <c r="L37" s="158" t="str">
        <f>IFERROR(__xludf.DUMMYFUNCTION("""COMPUTED_VALUE"""),"AVAILABLE IN AGENCY")</f>
        <v>AVAILABLE IN AGENCY</v>
      </c>
      <c r="M37" s="158" t="str">
        <f>IFERROR(__xludf.DUMMYFUNCTION("""COMPUTED_VALUE"""),"AVAILABLE")</f>
        <v>AVAILABLE</v>
      </c>
      <c r="N37" s="158" t="str">
        <f>IFERROR(__xludf.DUMMYFUNCTION("""COMPUTED_VALUE"""),"-")</f>
        <v>-</v>
      </c>
      <c r="O37" s="119"/>
      <c r="P37" s="119"/>
    </row>
    <row r="38">
      <c r="B38" s="157">
        <f>IFERROR(__xludf.DUMMYFUNCTION("""COMPUTED_VALUE"""),46071.0)</f>
        <v>46071</v>
      </c>
      <c r="C38" s="158"/>
      <c r="D38" s="158" t="str">
        <f>IFERROR(__xludf.DUMMYFUNCTION("""COMPUTED_VALUE"""),"HANDPHONE")</f>
        <v>HANDPHONE</v>
      </c>
      <c r="E38" s="159">
        <f>IFERROR(__xludf.DUMMYFUNCTION("""COMPUTED_VALUE"""),3.58833525003762E14)</f>
        <v>358833525003762</v>
      </c>
      <c r="F38" s="160" t="str">
        <f>IFERROR(__xludf.DUMMYFUNCTION("""COMPUTED_VALUE"""),"G-S25 512GB BLUE BLACK")</f>
        <v>G-S25 512GB BLUE BLACK</v>
      </c>
      <c r="G38" s="158" t="str">
        <f>IFERROR(__xludf.DUMMYFUNCTION("""COMPUTED_VALUE"""),"RETURN")</f>
        <v>RETURN</v>
      </c>
      <c r="H38" s="161"/>
      <c r="I38" s="158"/>
      <c r="J38" s="158"/>
      <c r="K38" s="158"/>
      <c r="L38" s="158" t="str">
        <f>IFERROR(__xludf.DUMMYFUNCTION("""COMPUTED_VALUE"""),"AVAILABLE IN AGENCY")</f>
        <v>AVAILABLE IN AGENCY</v>
      </c>
      <c r="M38" s="158" t="str">
        <f>IFERROR(__xludf.DUMMYFUNCTION("""COMPUTED_VALUE"""),"AVAILABLE")</f>
        <v>AVAILABLE</v>
      </c>
      <c r="N38" s="158" t="str">
        <f>IFERROR(__xludf.DUMMYFUNCTION("""COMPUTED_VALUE"""),"-")</f>
        <v>-</v>
      </c>
      <c r="O38" s="119"/>
      <c r="P38" s="119"/>
    </row>
    <row r="39">
      <c r="B39" s="157">
        <f>IFERROR(__xludf.DUMMYFUNCTION("""COMPUTED_VALUE"""),46071.0)</f>
        <v>46071</v>
      </c>
      <c r="C39" s="158"/>
      <c r="D39" s="158" t="str">
        <f>IFERROR(__xludf.DUMMYFUNCTION("""COMPUTED_VALUE"""),"HANDPHONE")</f>
        <v>HANDPHONE</v>
      </c>
      <c r="E39" s="159">
        <f>IFERROR(__xludf.DUMMYFUNCTION("""COMPUTED_VALUE"""),3.58410185008793E14)</f>
        <v>358410185008793</v>
      </c>
      <c r="F39" s="160" t="str">
        <f>IFERROR(__xludf.DUMMYFUNCTION("""COMPUTED_VALUE"""),"G-S25 256GB ICYBLUE")</f>
        <v>G-S25 256GB ICYBLUE</v>
      </c>
      <c r="G39" s="158" t="str">
        <f>IFERROR(__xludf.DUMMYFUNCTION("""COMPUTED_VALUE"""),"RETURN")</f>
        <v>RETURN</v>
      </c>
      <c r="H39" s="161"/>
      <c r="I39" s="158"/>
      <c r="J39" s="158"/>
      <c r="K39" s="158"/>
      <c r="L39" s="158" t="str">
        <f>IFERROR(__xludf.DUMMYFUNCTION("""COMPUTED_VALUE"""),"AVAILABLE IN AGENCY")</f>
        <v>AVAILABLE IN AGENCY</v>
      </c>
      <c r="M39" s="158" t="str">
        <f>IFERROR(__xludf.DUMMYFUNCTION("""COMPUTED_VALUE"""),"AVAILABLE")</f>
        <v>AVAILABLE</v>
      </c>
      <c r="N39" s="158" t="str">
        <f>IFERROR(__xludf.DUMMYFUNCTION("""COMPUTED_VALUE"""),"-")</f>
        <v>-</v>
      </c>
      <c r="O39" s="119"/>
      <c r="P39" s="119" t="str">
        <f>IFERROR(__xludf.DUMMYFUNCTION("""COMPUTED_VALUE"""),"BOX ONLY")</f>
        <v>BOX ONLY</v>
      </c>
    </row>
    <row r="40">
      <c r="B40" s="157">
        <f>IFERROR(__xludf.DUMMYFUNCTION("""COMPUTED_VALUE"""),46071.0)</f>
        <v>46071</v>
      </c>
      <c r="C40" s="158"/>
      <c r="D40" s="158" t="str">
        <f>IFERROR(__xludf.DUMMYFUNCTION("""COMPUTED_VALUE"""),"HANDPHONE")</f>
        <v>HANDPHONE</v>
      </c>
      <c r="E40" s="159">
        <f>IFERROR(__xludf.DUMMYFUNCTION("""COMPUTED_VALUE"""),3.54166470002651E14)</f>
        <v>354166470002651</v>
      </c>
      <c r="F40" s="160" t="str">
        <f>IFERROR(__xludf.DUMMYFUNCTION("""COMPUTED_VALUE"""),"G-S25-PLUS 256GB ICYBLUE")</f>
        <v>G-S25-PLUS 256GB ICYBLUE</v>
      </c>
      <c r="G40" s="158" t="str">
        <f>IFERROR(__xludf.DUMMYFUNCTION("""COMPUTED_VALUE"""),"RETURN")</f>
        <v>RETURN</v>
      </c>
      <c r="H40" s="161"/>
      <c r="I40" s="158"/>
      <c r="J40" s="158" t="str">
        <f>IFERROR(__xludf.DUMMYFUNCTION("""COMPUTED_VALUE"""),"MARTIN")</f>
        <v>MARTIN</v>
      </c>
      <c r="K40" s="158"/>
      <c r="L40" s="158" t="str">
        <f>IFERROR(__xludf.DUMMYFUNCTION("""COMPUTED_VALUE"""),"AVAILABLE IN AGENCY")</f>
        <v>AVAILABLE IN AGENCY</v>
      </c>
      <c r="M40" s="158" t="str">
        <f>IFERROR(__xludf.DUMMYFUNCTION("""COMPUTED_VALUE"""),"AVAILABLE")</f>
        <v>AVAILABLE</v>
      </c>
      <c r="N40" s="158" t="str">
        <f>IFERROR(__xludf.DUMMYFUNCTION("""COMPUTED_VALUE"""),"-")</f>
        <v>-</v>
      </c>
      <c r="O40" s="119"/>
      <c r="P40" s="119" t="str">
        <f>IFERROR(__xludf.DUMMYFUNCTION("""COMPUTED_VALUE"""),"BOX ONLY")</f>
        <v>BOX ONLY</v>
      </c>
    </row>
    <row r="41">
      <c r="B41" s="157">
        <f>IFERROR(__xludf.DUMMYFUNCTION("""COMPUTED_VALUE"""),46071.0)</f>
        <v>46071</v>
      </c>
      <c r="C41" s="158"/>
      <c r="D41" s="158" t="str">
        <f>IFERROR(__xludf.DUMMYFUNCTION("""COMPUTED_VALUE"""),"HANDPHONE")</f>
        <v>HANDPHONE</v>
      </c>
      <c r="E41" s="159">
        <f>IFERROR(__xludf.DUMMYFUNCTION("""COMPUTED_VALUE"""),3.54166470023624E14)</f>
        <v>354166470023624</v>
      </c>
      <c r="F41" s="160" t="str">
        <f>IFERROR(__xludf.DUMMYFUNCTION("""COMPUTED_VALUE"""),"G-S25-PLUS 256GB NAVY")</f>
        <v>G-S25-PLUS 256GB NAVY</v>
      </c>
      <c r="G41" s="158" t="str">
        <f>IFERROR(__xludf.DUMMYFUNCTION("""COMPUTED_VALUE"""),"RETURN")</f>
        <v>RETURN</v>
      </c>
      <c r="H41" s="161"/>
      <c r="I41" s="158"/>
      <c r="J41" s="158"/>
      <c r="K41" s="158"/>
      <c r="L41" s="158" t="str">
        <f>IFERROR(__xludf.DUMMYFUNCTION("""COMPUTED_VALUE"""),"AVAILABLE IN AGENCY")</f>
        <v>AVAILABLE IN AGENCY</v>
      </c>
      <c r="M41" s="158" t="str">
        <f>IFERROR(__xludf.DUMMYFUNCTION("""COMPUTED_VALUE"""),"AVAILABLE")</f>
        <v>AVAILABLE</v>
      </c>
      <c r="N41" s="158" t="str">
        <f>IFERROR(__xludf.DUMMYFUNCTION("""COMPUTED_VALUE"""),"-")</f>
        <v>-</v>
      </c>
      <c r="O41" s="119"/>
      <c r="P41" s="119"/>
    </row>
    <row r="42">
      <c r="B42" s="157">
        <f>IFERROR(__xludf.DUMMYFUNCTION("""COMPUTED_VALUE"""),46071.0)</f>
        <v>46071</v>
      </c>
      <c r="C42" s="158"/>
      <c r="D42" s="158" t="str">
        <f>IFERROR(__xludf.DUMMYFUNCTION("""COMPUTED_VALUE"""),"HANDPHONE")</f>
        <v>HANDPHONE</v>
      </c>
      <c r="E42" s="159">
        <f>IFERROR(__xludf.DUMMYFUNCTION("""COMPUTED_VALUE"""),3.5492213001603E14)</f>
        <v>354922130016030</v>
      </c>
      <c r="F42" s="160" t="str">
        <f>IFERROR(__xludf.DUMMYFUNCTION("""COMPUTED_VALUE"""),"G-S25-EDGE 256GB SILVER")</f>
        <v>G-S25-EDGE 256GB SILVER</v>
      </c>
      <c r="G42" s="158" t="str">
        <f>IFERROR(__xludf.DUMMYFUNCTION("""COMPUTED_VALUE"""),"RETURN")</f>
        <v>RETURN</v>
      </c>
      <c r="H42" s="161"/>
      <c r="I42" s="158"/>
      <c r="J42" s="158" t="str">
        <f>IFERROR(__xludf.DUMMYFUNCTION("""COMPUTED_VALUE"""),"TASHYA")</f>
        <v>TASHYA</v>
      </c>
      <c r="K42" s="158"/>
      <c r="L42" s="158" t="str">
        <f>IFERROR(__xludf.DUMMYFUNCTION("""COMPUTED_VALUE"""),"AVAILABLE IN AGENCY")</f>
        <v>AVAILABLE IN AGENCY</v>
      </c>
      <c r="M42" s="158" t="str">
        <f>IFERROR(__xludf.DUMMYFUNCTION("""COMPUTED_VALUE"""),"AVAILABLE")</f>
        <v>AVAILABLE</v>
      </c>
      <c r="N42" s="158" t="str">
        <f>IFERROR(__xludf.DUMMYFUNCTION("""COMPUTED_VALUE"""),"-")</f>
        <v>-</v>
      </c>
      <c r="O42" s="119"/>
      <c r="P42" s="119" t="str">
        <f>IFERROR(__xludf.DUMMYFUNCTION("""COMPUTED_VALUE"""),"UNIT ONLY")</f>
        <v>UNIT ONLY</v>
      </c>
    </row>
    <row r="43">
      <c r="B43" s="157">
        <f>IFERROR(__xludf.DUMMYFUNCTION("""COMPUTED_VALUE"""),46071.0)</f>
        <v>46071</v>
      </c>
      <c r="C43" s="158"/>
      <c r="D43" s="158" t="str">
        <f>IFERROR(__xludf.DUMMYFUNCTION("""COMPUTED_VALUE"""),"HANDPHONE")</f>
        <v>HANDPHONE</v>
      </c>
      <c r="E43" s="159">
        <f>IFERROR(__xludf.DUMMYFUNCTION("""COMPUTED_VALUE"""),3.54922130002469E14)</f>
        <v>354922130002469</v>
      </c>
      <c r="F43" s="160" t="str">
        <f>IFERROR(__xludf.DUMMYFUNCTION("""COMPUTED_VALUE"""),"G-S25-EDGE 256GB JETBLACK")</f>
        <v>G-S25-EDGE 256GB JETBLACK</v>
      </c>
      <c r="G43" s="158" t="str">
        <f>IFERROR(__xludf.DUMMYFUNCTION("""COMPUTED_VALUE"""),"RETURN")</f>
        <v>RETURN</v>
      </c>
      <c r="H43" s="161"/>
      <c r="I43" s="158"/>
      <c r="J43" s="158" t="str">
        <f>IFERROR(__xludf.DUMMYFUNCTION("""COMPUTED_VALUE"""),"CHRISYE")</f>
        <v>CHRISYE</v>
      </c>
      <c r="K43" s="158"/>
      <c r="L43" s="158" t="str">
        <f>IFERROR(__xludf.DUMMYFUNCTION("""COMPUTED_VALUE"""),"AVAILABLE IN AGENCY")</f>
        <v>AVAILABLE IN AGENCY</v>
      </c>
      <c r="M43" s="158" t="str">
        <f>IFERROR(__xludf.DUMMYFUNCTION("""COMPUTED_VALUE"""),"AVAILABLE")</f>
        <v>AVAILABLE</v>
      </c>
      <c r="N43" s="158" t="str">
        <f>IFERROR(__xludf.DUMMYFUNCTION("""COMPUTED_VALUE"""),"-")</f>
        <v>-</v>
      </c>
      <c r="O43" s="119"/>
      <c r="P43" s="119" t="str">
        <f>IFERROR(__xludf.DUMMYFUNCTION("""COMPUTED_VALUE"""),"BOX ONLY")</f>
        <v>BOX ONLY</v>
      </c>
    </row>
    <row r="44">
      <c r="B44" s="157">
        <f>IFERROR(__xludf.DUMMYFUNCTION("""COMPUTED_VALUE"""),46071.0)</f>
        <v>46071</v>
      </c>
      <c r="C44" s="158"/>
      <c r="D44" s="158" t="str">
        <f>IFERROR(__xludf.DUMMYFUNCTION("""COMPUTED_VALUE"""),"HANDPHONE")</f>
        <v>HANDPHONE</v>
      </c>
      <c r="E44" s="159">
        <f>IFERROR(__xludf.DUMMYFUNCTION("""COMPUTED_VALUE"""),3.52901540005314E14)</f>
        <v>352901540005314</v>
      </c>
      <c r="F44" s="160" t="str">
        <f>IFERROR(__xludf.DUMMYFUNCTION("""COMPUTED_VALUE"""),"G-S25-ULTRA 256GB SILVER")</f>
        <v>G-S25-ULTRA 256GB SILVER</v>
      </c>
      <c r="G44" s="158" t="str">
        <f>IFERROR(__xludf.DUMMYFUNCTION("""COMPUTED_VALUE"""),"RETURN")</f>
        <v>RETURN</v>
      </c>
      <c r="H44" s="161"/>
      <c r="I44" s="158"/>
      <c r="J44" s="158"/>
      <c r="K44" s="158"/>
      <c r="L44" s="158" t="str">
        <f>IFERROR(__xludf.DUMMYFUNCTION("""COMPUTED_VALUE"""),"AVAILABLE IN AGENCY")</f>
        <v>AVAILABLE IN AGENCY</v>
      </c>
      <c r="M44" s="158" t="str">
        <f>IFERROR(__xludf.DUMMYFUNCTION("""COMPUTED_VALUE"""),"LOANED / ON KOL")</f>
        <v>LOANED / ON KOL</v>
      </c>
      <c r="N44" s="158" t="str">
        <f>IFERROR(__xludf.DUMMYFUNCTION("""COMPUTED_VALUE"""),"Luddy")</f>
        <v>Luddy</v>
      </c>
      <c r="O44" s="119"/>
      <c r="P44" s="119"/>
    </row>
    <row r="45">
      <c r="B45" s="157">
        <f>IFERROR(__xludf.DUMMYFUNCTION("""COMPUTED_VALUE"""),46071.0)</f>
        <v>46071</v>
      </c>
      <c r="C45" s="158"/>
      <c r="D45" s="158" t="str">
        <f>IFERROR(__xludf.DUMMYFUNCTION("""COMPUTED_VALUE"""),"TAB")</f>
        <v>TAB</v>
      </c>
      <c r="E45" s="159"/>
      <c r="F45" s="160" t="str">
        <f>IFERROR(__xludf.DUMMYFUNCTION("""COMPUTED_VALUE"""),"G-TAB-S6-LITE 128GB GRAY")</f>
        <v>G-TAB-S6-LITE 128GB GRAY</v>
      </c>
      <c r="G45" s="158" t="str">
        <f>IFERROR(__xludf.DUMMYFUNCTION("""COMPUTED_VALUE"""),"RETURN")</f>
        <v>RETURN</v>
      </c>
      <c r="H45" s="161"/>
      <c r="I45" s="158"/>
      <c r="J45" s="158"/>
      <c r="K45" s="158"/>
      <c r="L45" s="158" t="str">
        <f>IFERROR(__xludf.DUMMYFUNCTION("""COMPUTED_VALUE"""),"AVAILABLE IN AGENCY")</f>
        <v>AVAILABLE IN AGENCY</v>
      </c>
      <c r="M45" s="158" t="str">
        <f>IFERROR(__xludf.DUMMYFUNCTION("""COMPUTED_VALUE"""),"AVAILABLE")</f>
        <v>AVAILABLE</v>
      </c>
      <c r="N45" s="158" t="str">
        <f>IFERROR(__xludf.DUMMYFUNCTION("""COMPUTED_VALUE"""),"-")</f>
        <v>-</v>
      </c>
      <c r="O45" s="119"/>
      <c r="P45" s="119" t="str">
        <f>IFERROR(__xludf.DUMMYFUNCTION("""COMPUTED_VALUE"""),"BOX ONLY")</f>
        <v>BOX ONLY</v>
      </c>
    </row>
    <row r="46">
      <c r="B46" s="157">
        <f>IFERROR(__xludf.DUMMYFUNCTION("""COMPUTED_VALUE"""),46071.0)</f>
        <v>46071</v>
      </c>
      <c r="C46" s="158"/>
      <c r="D46" s="158" t="str">
        <f>IFERROR(__xludf.DUMMYFUNCTION("""COMPUTED_VALUE"""),"HANDPHONE")</f>
        <v>HANDPHONE</v>
      </c>
      <c r="E46" s="159">
        <f>IFERROR(__xludf.DUMMYFUNCTION("""COMPUTED_VALUE"""),3.5841018500545E14)</f>
        <v>358410185005450</v>
      </c>
      <c r="F46" s="160" t="str">
        <f>IFERROR(__xludf.DUMMYFUNCTION("""COMPUTED_VALUE"""),"G-S25 256GB MINT")</f>
        <v>G-S25 256GB MINT</v>
      </c>
      <c r="G46" s="158" t="str">
        <f>IFERROR(__xludf.DUMMYFUNCTION("""COMPUTED_VALUE"""),"RETURN")</f>
        <v>RETURN</v>
      </c>
      <c r="H46" s="161"/>
      <c r="I46" s="158"/>
      <c r="J46" s="158"/>
      <c r="K46" s="158"/>
      <c r="L46" s="158" t="str">
        <f>IFERROR(__xludf.DUMMYFUNCTION("""COMPUTED_VALUE"""),"AVAILABLE IN AGENCY")</f>
        <v>AVAILABLE IN AGENCY</v>
      </c>
      <c r="M46" s="158" t="str">
        <f>IFERROR(__xludf.DUMMYFUNCTION("""COMPUTED_VALUE"""),"AVAILABLE")</f>
        <v>AVAILABLE</v>
      </c>
      <c r="N46" s="158" t="str">
        <f>IFERROR(__xludf.DUMMYFUNCTION("""COMPUTED_VALUE"""),"-")</f>
        <v>-</v>
      </c>
      <c r="O46" s="119"/>
      <c r="P46" s="119"/>
    </row>
    <row r="47">
      <c r="B47" s="157">
        <f>IFERROR(__xludf.DUMMYFUNCTION("""COMPUTED_VALUE"""),46071.0)</f>
        <v>46071</v>
      </c>
      <c r="C47" s="158"/>
      <c r="D47" s="158" t="str">
        <f>IFERROR(__xludf.DUMMYFUNCTION("""COMPUTED_VALUE"""),"HANDPHONE")</f>
        <v>HANDPHONE</v>
      </c>
      <c r="E47" s="159">
        <f>IFERROR(__xludf.DUMMYFUNCTION("""COMPUTED_VALUE"""),3.50009210024854E14)</f>
        <v>350009210024854</v>
      </c>
      <c r="F47" s="160" t="str">
        <f>IFERROR(__xludf.DUMMYFUNCTION("""COMPUTED_VALUE"""),"G-S24-FE 256GB GRAY")</f>
        <v>G-S24-FE 256GB GRAY</v>
      </c>
      <c r="G47" s="158" t="str">
        <f>IFERROR(__xludf.DUMMYFUNCTION("""COMPUTED_VALUE"""),"RETURN")</f>
        <v>RETURN</v>
      </c>
      <c r="H47" s="161"/>
      <c r="I47" s="158"/>
      <c r="J47" s="158" t="str">
        <f>IFERROR(__xludf.DUMMYFUNCTION("""COMPUTED_VALUE"""),"LIA")</f>
        <v>LIA</v>
      </c>
      <c r="K47" s="158"/>
      <c r="L47" s="158" t="str">
        <f>IFERROR(__xludf.DUMMYFUNCTION("""COMPUTED_VALUE"""),"AVAILABLE IN AGENCY")</f>
        <v>AVAILABLE IN AGENCY</v>
      </c>
      <c r="M47" s="158" t="str">
        <f>IFERROR(__xludf.DUMMYFUNCTION("""COMPUTED_VALUE"""),"AVAILABLE")</f>
        <v>AVAILABLE</v>
      </c>
      <c r="N47" s="158" t="str">
        <f>IFERROR(__xludf.DUMMYFUNCTION("""COMPUTED_VALUE"""),"-")</f>
        <v>-</v>
      </c>
      <c r="O47" s="119"/>
      <c r="P47" s="119"/>
    </row>
    <row r="48">
      <c r="B48" s="157">
        <f>IFERROR(__xludf.DUMMYFUNCTION("""COMPUTED_VALUE"""),46071.0)</f>
        <v>46071</v>
      </c>
      <c r="C48" s="158"/>
      <c r="D48" s="158" t="str">
        <f>IFERROR(__xludf.DUMMYFUNCTION("""COMPUTED_VALUE"""),"HANDPHONE")</f>
        <v>HANDPHONE</v>
      </c>
      <c r="E48" s="159">
        <f>IFERROR(__xludf.DUMMYFUNCTION("""COMPUTED_VALUE"""),3.5272266502485E14)</f>
        <v>352722665024850</v>
      </c>
      <c r="F48" s="160" t="str">
        <f>IFERROR(__xludf.DUMMYFUNCTION("""COMPUTED_VALUE"""),"G-S24-ULTRA 256GB GRAY")</f>
        <v>G-S24-ULTRA 256GB GRAY</v>
      </c>
      <c r="G48" s="158" t="str">
        <f>IFERROR(__xludf.DUMMYFUNCTION("""COMPUTED_VALUE"""),"RETURN")</f>
        <v>RETURN</v>
      </c>
      <c r="H48" s="161"/>
      <c r="I48" s="158"/>
      <c r="J48" s="158" t="str">
        <f>IFERROR(__xludf.DUMMYFUNCTION("""COMPUTED_VALUE"""),"RIZAL")</f>
        <v>RIZAL</v>
      </c>
      <c r="K48" s="158"/>
      <c r="L48" s="158" t="str">
        <f>IFERROR(__xludf.DUMMYFUNCTION("""COMPUTED_VALUE"""),"AVAILABLE IN AGENCY")</f>
        <v>AVAILABLE IN AGENCY</v>
      </c>
      <c r="M48" s="158" t="str">
        <f>IFERROR(__xludf.DUMMYFUNCTION("""COMPUTED_VALUE"""),"AVAILABLE")</f>
        <v>AVAILABLE</v>
      </c>
      <c r="N48" s="158" t="str">
        <f>IFERROR(__xludf.DUMMYFUNCTION("""COMPUTED_VALUE"""),"-")</f>
        <v>-</v>
      </c>
      <c r="O48" s="119"/>
      <c r="P48" s="119"/>
    </row>
    <row r="49">
      <c r="B49" s="157">
        <f>IFERROR(__xludf.DUMMYFUNCTION("""COMPUTED_VALUE"""),46071.0)</f>
        <v>46071</v>
      </c>
      <c r="C49" s="158"/>
      <c r="D49" s="158" t="str">
        <f>IFERROR(__xludf.DUMMYFUNCTION("""COMPUTED_VALUE"""),"HANDPHONE")</f>
        <v>HANDPHONE</v>
      </c>
      <c r="E49" s="159">
        <f>IFERROR(__xludf.DUMMYFUNCTION("""COMPUTED_VALUE"""),3.54166470027385E14)</f>
        <v>354166470027385</v>
      </c>
      <c r="F49" s="160" t="str">
        <f>IFERROR(__xludf.DUMMYFUNCTION("""COMPUTED_VALUE"""),"G-S25-PLUS 256GB SILVER SHADOW")</f>
        <v>G-S25-PLUS 256GB SILVER SHADOW</v>
      </c>
      <c r="G49" s="158" t="str">
        <f>IFERROR(__xludf.DUMMYFUNCTION("""COMPUTED_VALUE"""),"RETURN")</f>
        <v>RETURN</v>
      </c>
      <c r="H49" s="161"/>
      <c r="I49" s="158"/>
      <c r="J49" s="158"/>
      <c r="K49" s="158"/>
      <c r="L49" s="158" t="str">
        <f>IFERROR(__xludf.DUMMYFUNCTION("""COMPUTED_VALUE"""),"AVAILABLE IN AGENCY")</f>
        <v>AVAILABLE IN AGENCY</v>
      </c>
      <c r="M49" s="158" t="str">
        <f>IFERROR(__xludf.DUMMYFUNCTION("""COMPUTED_VALUE"""),"AVAILABLE")</f>
        <v>AVAILABLE</v>
      </c>
      <c r="N49" s="158" t="str">
        <f>IFERROR(__xludf.DUMMYFUNCTION("""COMPUTED_VALUE"""),"-")</f>
        <v>-</v>
      </c>
      <c r="O49" s="119"/>
      <c r="P49" s="119"/>
    </row>
    <row r="50">
      <c r="B50" s="157">
        <f>IFERROR(__xludf.DUMMYFUNCTION("""COMPUTED_VALUE"""),46071.0)</f>
        <v>46071</v>
      </c>
      <c r="C50" s="158"/>
      <c r="D50" s="158" t="str">
        <f>IFERROR(__xludf.DUMMYFUNCTION("""COMPUTED_VALUE"""),"TAB")</f>
        <v>TAB</v>
      </c>
      <c r="E50" s="159"/>
      <c r="F50" s="160" t="str">
        <f>IFERROR(__xludf.DUMMYFUNCTION("""COMPUTED_VALUE"""),"G-TAB-A11-KIDS")</f>
        <v>G-TAB-A11-KIDS</v>
      </c>
      <c r="G50" s="158" t="str">
        <f>IFERROR(__xludf.DUMMYFUNCTION("""COMPUTED_VALUE"""),"RETURN")</f>
        <v>RETURN</v>
      </c>
      <c r="H50" s="161"/>
      <c r="I50" s="158"/>
      <c r="J50" s="158"/>
      <c r="K50" s="158"/>
      <c r="L50" s="158" t="str">
        <f>IFERROR(__xludf.DUMMYFUNCTION("""COMPUTED_VALUE"""),"AVAILABLE IN AGENCY")</f>
        <v>AVAILABLE IN AGENCY</v>
      </c>
      <c r="M50" s="158" t="str">
        <f>IFERROR(__xludf.DUMMYFUNCTION("""COMPUTED_VALUE"""),"AVAILABLE")</f>
        <v>AVAILABLE</v>
      </c>
      <c r="N50" s="158" t="str">
        <f>IFERROR(__xludf.DUMMYFUNCTION("""COMPUTED_VALUE"""),"-")</f>
        <v>-</v>
      </c>
      <c r="O50" s="119"/>
      <c r="P50" s="119"/>
    </row>
    <row r="51">
      <c r="B51" s="157">
        <f>IFERROR(__xludf.DUMMYFUNCTION("""COMPUTED_VALUE"""),46071.0)</f>
        <v>46071</v>
      </c>
      <c r="C51" s="158"/>
      <c r="D51" s="158" t="str">
        <f>IFERROR(__xludf.DUMMYFUNCTION("""COMPUTED_VALUE"""),"TAB")</f>
        <v>TAB</v>
      </c>
      <c r="E51" s="159"/>
      <c r="F51" s="160" t="str">
        <f>IFERROR(__xludf.DUMMYFUNCTION("""COMPUTED_VALUE"""),"G-TAB-A11-KIDS")</f>
        <v>G-TAB-A11-KIDS</v>
      </c>
      <c r="G51" s="158" t="str">
        <f>IFERROR(__xludf.DUMMYFUNCTION("""COMPUTED_VALUE"""),"RETURN")</f>
        <v>RETURN</v>
      </c>
      <c r="H51" s="161"/>
      <c r="I51" s="158"/>
      <c r="J51" s="158"/>
      <c r="K51" s="158"/>
      <c r="L51" s="158" t="str">
        <f>IFERROR(__xludf.DUMMYFUNCTION("""COMPUTED_VALUE"""),"AVAILABLE IN AGENCY")</f>
        <v>AVAILABLE IN AGENCY</v>
      </c>
      <c r="M51" s="158" t="str">
        <f>IFERROR(__xludf.DUMMYFUNCTION("""COMPUTED_VALUE"""),"AVAILABLE")</f>
        <v>AVAILABLE</v>
      </c>
      <c r="N51" s="158" t="str">
        <f>IFERROR(__xludf.DUMMYFUNCTION("""COMPUTED_VALUE"""),"-")</f>
        <v>-</v>
      </c>
      <c r="O51" s="119"/>
      <c r="P51" s="119"/>
    </row>
    <row r="52">
      <c r="B52" s="157">
        <f>IFERROR(__xludf.DUMMYFUNCTION("""COMPUTED_VALUE"""),46071.0)</f>
        <v>46071</v>
      </c>
      <c r="C52" s="158"/>
      <c r="D52" s="158" t="str">
        <f>IFERROR(__xludf.DUMMYFUNCTION("""COMPUTED_VALUE"""),"TAB")</f>
        <v>TAB</v>
      </c>
      <c r="E52" s="159"/>
      <c r="F52" s="160" t="str">
        <f>IFERROR(__xludf.DUMMYFUNCTION("""COMPUTED_VALUE"""),"G-TAB-A11-KIDS")</f>
        <v>G-TAB-A11-KIDS</v>
      </c>
      <c r="G52" s="158" t="str">
        <f>IFERROR(__xludf.DUMMYFUNCTION("""COMPUTED_VALUE"""),"RETURN")</f>
        <v>RETURN</v>
      </c>
      <c r="H52" s="161"/>
      <c r="I52" s="158"/>
      <c r="J52" s="158"/>
      <c r="K52" s="158"/>
      <c r="L52" s="158" t="str">
        <f>IFERROR(__xludf.DUMMYFUNCTION("""COMPUTED_VALUE"""),"AVAILABLE IN AGENCY")</f>
        <v>AVAILABLE IN AGENCY</v>
      </c>
      <c r="M52" s="158" t="str">
        <f>IFERROR(__xludf.DUMMYFUNCTION("""COMPUTED_VALUE"""),"AVAILABLE")</f>
        <v>AVAILABLE</v>
      </c>
      <c r="N52" s="158" t="str">
        <f>IFERROR(__xludf.DUMMYFUNCTION("""COMPUTED_VALUE"""),"-")</f>
        <v>-</v>
      </c>
      <c r="O52" s="119"/>
      <c r="P52" s="119"/>
    </row>
    <row r="53">
      <c r="B53" s="157">
        <f>IFERROR(__xludf.DUMMYFUNCTION("""COMPUTED_VALUE"""),46071.0)</f>
        <v>46071</v>
      </c>
      <c r="C53" s="158"/>
      <c r="D53" s="158" t="str">
        <f>IFERROR(__xludf.DUMMYFUNCTION("""COMPUTED_VALUE"""),"TAB")</f>
        <v>TAB</v>
      </c>
      <c r="E53" s="159"/>
      <c r="F53" s="160" t="str">
        <f>IFERROR(__xludf.DUMMYFUNCTION("""COMPUTED_VALUE"""),"G-TAB-A11-KIDS")</f>
        <v>G-TAB-A11-KIDS</v>
      </c>
      <c r="G53" s="158" t="str">
        <f>IFERROR(__xludf.DUMMYFUNCTION("""COMPUTED_VALUE"""),"RETURN")</f>
        <v>RETURN</v>
      </c>
      <c r="H53" s="161"/>
      <c r="I53" s="158"/>
      <c r="J53" s="158"/>
      <c r="K53" s="158"/>
      <c r="L53" s="158" t="str">
        <f>IFERROR(__xludf.DUMMYFUNCTION("""COMPUTED_VALUE"""),"AVAILABLE IN AGENCY")</f>
        <v>AVAILABLE IN AGENCY</v>
      </c>
      <c r="M53" s="158" t="str">
        <f>IFERROR(__xludf.DUMMYFUNCTION("""COMPUTED_VALUE"""),"AVAILABLE")</f>
        <v>AVAILABLE</v>
      </c>
      <c r="N53" s="158" t="str">
        <f>IFERROR(__xludf.DUMMYFUNCTION("""COMPUTED_VALUE"""),"-")</f>
        <v>-</v>
      </c>
      <c r="O53" s="119"/>
      <c r="P53" s="119"/>
    </row>
    <row r="54">
      <c r="B54" s="157">
        <f>IFERROR(__xludf.DUMMYFUNCTION("""COMPUTED_VALUE"""),46071.0)</f>
        <v>46071</v>
      </c>
      <c r="C54" s="158" t="str">
        <f>IFERROR(__xludf.DUMMYFUNCTION("""COMPUTED_VALUE"""),"RHEINHARD")</f>
        <v>RHEINHARD</v>
      </c>
      <c r="D54" s="158" t="str">
        <f>IFERROR(__xludf.DUMMYFUNCTION("""COMPUTED_VALUE"""),"HANDPHONE")</f>
        <v>HANDPHONE</v>
      </c>
      <c r="E54" s="159">
        <f>IFERROR(__xludf.DUMMYFUNCTION("""COMPUTED_VALUE"""),3.53456152000151E14)</f>
        <v>353456152000151</v>
      </c>
      <c r="F54" s="160" t="str">
        <f>IFERROR(__xludf.DUMMYFUNCTION("""COMPUTED_VALUE"""),"G-A36-5G 128GB LIGHT GREEN")</f>
        <v>G-A36-5G 128GB LIGHT GREEN</v>
      </c>
      <c r="G54" s="158" t="str">
        <f>IFERROR(__xludf.DUMMYFUNCTION("""COMPUTED_VALUE"""),"RETURN")</f>
        <v>RETURN</v>
      </c>
      <c r="H54" s="161"/>
      <c r="I54" s="158"/>
      <c r="J54" s="158" t="str">
        <f>IFERROR(__xludf.DUMMYFUNCTION("""COMPUTED_VALUE"""),"OLIV")</f>
        <v>OLIV</v>
      </c>
      <c r="K54" s="158"/>
      <c r="L54" s="158" t="str">
        <f>IFERROR(__xludf.DUMMYFUNCTION("""COMPUTED_VALUE"""),"RETURNED TO TCC")</f>
        <v>RETURNED TO TCC</v>
      </c>
      <c r="M54" s="158" t="str">
        <f>IFERROR(__xludf.DUMMYFUNCTION("""COMPUTED_VALUE"""),"AVAILABLE")</f>
        <v>AVAILABLE</v>
      </c>
      <c r="N54" s="158" t="str">
        <f>IFERROR(__xludf.DUMMYFUNCTION("""COMPUTED_VALUE"""),"-")</f>
        <v>-</v>
      </c>
      <c r="O54" s="119"/>
      <c r="P54" s="119"/>
    </row>
    <row r="55">
      <c r="B55" s="157">
        <f>IFERROR(__xludf.DUMMYFUNCTION("""COMPUTED_VALUE"""),46071.0)</f>
        <v>46071</v>
      </c>
      <c r="C55" s="158"/>
      <c r="D55" s="158" t="str">
        <f>IFERROR(__xludf.DUMMYFUNCTION("""COMPUTED_VALUE"""),"WEARABLES")</f>
        <v>WEARABLES</v>
      </c>
      <c r="E55" s="159"/>
      <c r="F55" s="160" t="str">
        <f>IFERROR(__xludf.DUMMYFUNCTION("""COMPUTED_VALUE"""),"G-RING 8 SILVER")</f>
        <v>G-RING 8 SILVER</v>
      </c>
      <c r="G55" s="158" t="str">
        <f>IFERROR(__xludf.DUMMYFUNCTION("""COMPUTED_VALUE"""),"RETURN")</f>
        <v>RETURN</v>
      </c>
      <c r="H55" s="161"/>
      <c r="I55" s="158"/>
      <c r="J55" s="158" t="str">
        <f>IFERROR(__xludf.DUMMYFUNCTION("""COMPUTED_VALUE"""),"REZA")</f>
        <v>REZA</v>
      </c>
      <c r="K55" s="158"/>
      <c r="L55" s="158" t="str">
        <f>IFERROR(__xludf.DUMMYFUNCTION("""COMPUTED_VALUE"""),"RETURNED TO TCC")</f>
        <v>RETURNED TO TCC</v>
      </c>
      <c r="M55" s="158" t="str">
        <f>IFERROR(__xludf.DUMMYFUNCTION("""COMPUTED_VALUE"""),"AVAILABLE")</f>
        <v>AVAILABLE</v>
      </c>
      <c r="N55" s="158" t="str">
        <f>IFERROR(__xludf.DUMMYFUNCTION("""COMPUTED_VALUE"""),"-")</f>
        <v>-</v>
      </c>
      <c r="O55" s="119"/>
      <c r="P55" s="119"/>
    </row>
    <row r="56">
      <c r="B56" s="157">
        <f>IFERROR(__xludf.DUMMYFUNCTION("""COMPUTED_VALUE"""),46071.0)</f>
        <v>46071</v>
      </c>
      <c r="C56" s="158" t="str">
        <f>IFERROR(__xludf.DUMMYFUNCTION("""COMPUTED_VALUE"""),"YAYA")</f>
        <v>YAYA</v>
      </c>
      <c r="D56" s="158" t="str">
        <f>IFERROR(__xludf.DUMMYFUNCTION("""COMPUTED_VALUE"""),"HANDPHONE")</f>
        <v>HANDPHONE</v>
      </c>
      <c r="E56" s="159">
        <f>IFERROR(__xludf.DUMMYFUNCTION("""COMPUTED_VALUE"""),3.54312420025166E14)</f>
        <v>354312420025166</v>
      </c>
      <c r="F56" s="160" t="str">
        <f>IFERROR(__xludf.DUMMYFUNCTION("""COMPUTED_VALUE"""),"G-Z-FLIP7 256GB DARK BLUE (2025)")</f>
        <v>G-Z-FLIP7 256GB DARK BLUE (2025)</v>
      </c>
      <c r="G56" s="158" t="str">
        <f>IFERROR(__xludf.DUMMYFUNCTION("""COMPUTED_VALUE"""),"RETURN")</f>
        <v>RETURN</v>
      </c>
      <c r="H56" s="161"/>
      <c r="I56" s="158"/>
      <c r="J56" s="158" t="str">
        <f>IFERROR(__xludf.DUMMYFUNCTION("""COMPUTED_VALUE"""),"VENNI")</f>
        <v>VENNI</v>
      </c>
      <c r="K56" s="158"/>
      <c r="L56" s="158" t="str">
        <f>IFERROR(__xludf.DUMMYFUNCTION("""COMPUTED_VALUE"""),"RETURNED TO TCC")</f>
        <v>RETURNED TO TCC</v>
      </c>
      <c r="M56" s="158" t="str">
        <f>IFERROR(__xludf.DUMMYFUNCTION("""COMPUTED_VALUE"""),"AVAILABLE")</f>
        <v>AVAILABLE</v>
      </c>
      <c r="N56" s="158" t="str">
        <f>IFERROR(__xludf.DUMMYFUNCTION("""COMPUTED_VALUE"""),"-")</f>
        <v>-</v>
      </c>
      <c r="O56" s="119"/>
      <c r="P56" s="119"/>
    </row>
    <row r="57">
      <c r="B57" s="157">
        <f>IFERROR(__xludf.DUMMYFUNCTION("""COMPUTED_VALUE"""),46071.0)</f>
        <v>46071</v>
      </c>
      <c r="C57" s="158" t="str">
        <f>IFERROR(__xludf.DUMMYFUNCTION("""COMPUTED_VALUE"""),"YAYA")</f>
        <v>YAYA</v>
      </c>
      <c r="D57" s="158" t="str">
        <f>IFERROR(__xludf.DUMMYFUNCTION("""COMPUTED_VALUE"""),"HANDPHONE")</f>
        <v>HANDPHONE</v>
      </c>
      <c r="E57" s="159">
        <f>IFERROR(__xludf.DUMMYFUNCTION("""COMPUTED_VALUE"""),3.54312420005721E14)</f>
        <v>354312420005721</v>
      </c>
      <c r="F57" s="160" t="str">
        <f>IFERROR(__xludf.DUMMYFUNCTION("""COMPUTED_VALUE"""),"G-Z-FLIP7 256GB RED (2025)")</f>
        <v>G-Z-FLIP7 256GB RED (2025)</v>
      </c>
      <c r="G57" s="158" t="str">
        <f>IFERROR(__xludf.DUMMYFUNCTION("""COMPUTED_VALUE"""),"RETURN")</f>
        <v>RETURN</v>
      </c>
      <c r="H57" s="161"/>
      <c r="I57" s="158"/>
      <c r="J57" s="158" t="str">
        <f>IFERROR(__xludf.DUMMYFUNCTION("""COMPUTED_VALUE"""),"VENNI")</f>
        <v>VENNI</v>
      </c>
      <c r="K57" s="158"/>
      <c r="L57" s="158" t="str">
        <f>IFERROR(__xludf.DUMMYFUNCTION("""COMPUTED_VALUE"""),"RETURNED TO TCC")</f>
        <v>RETURNED TO TCC</v>
      </c>
      <c r="M57" s="158" t="str">
        <f>IFERROR(__xludf.DUMMYFUNCTION("""COMPUTED_VALUE"""),"AVAILABLE")</f>
        <v>AVAILABLE</v>
      </c>
      <c r="N57" s="158" t="str">
        <f>IFERROR(__xludf.DUMMYFUNCTION("""COMPUTED_VALUE"""),"-")</f>
        <v>-</v>
      </c>
      <c r="O57" s="119"/>
      <c r="P57" s="119"/>
    </row>
    <row r="58">
      <c r="B58" s="157">
        <f>IFERROR(__xludf.DUMMYFUNCTION("""COMPUTED_VALUE"""),46071.0)</f>
        <v>46071</v>
      </c>
      <c r="C58" s="158" t="str">
        <f>IFERROR(__xludf.DUMMYFUNCTION("""COMPUTED_VALUE"""),"YAYA")</f>
        <v>YAYA</v>
      </c>
      <c r="D58" s="158" t="str">
        <f>IFERROR(__xludf.DUMMYFUNCTION("""COMPUTED_VALUE"""),"HANDPHONE")</f>
        <v>HANDPHONE</v>
      </c>
      <c r="E58" s="159">
        <f>IFERROR(__xludf.DUMMYFUNCTION("""COMPUTED_VALUE"""),3.54312420002629E14)</f>
        <v>354312420002629</v>
      </c>
      <c r="F58" s="160" t="str">
        <f>IFERROR(__xludf.DUMMYFUNCTION("""COMPUTED_VALUE"""),"G-Z-FLIP7 256GB LIGHT GREEN (2025)")</f>
        <v>G-Z-FLIP7 256GB LIGHT GREEN (2025)</v>
      </c>
      <c r="G58" s="158" t="str">
        <f>IFERROR(__xludf.DUMMYFUNCTION("""COMPUTED_VALUE"""),"RETURN")</f>
        <v>RETURN</v>
      </c>
      <c r="H58" s="161"/>
      <c r="I58" s="158"/>
      <c r="J58" s="158" t="str">
        <f>IFERROR(__xludf.DUMMYFUNCTION("""COMPUTED_VALUE"""),"VENNI")</f>
        <v>VENNI</v>
      </c>
      <c r="K58" s="158"/>
      <c r="L58" s="158" t="str">
        <f>IFERROR(__xludf.DUMMYFUNCTION("""COMPUTED_VALUE"""),"RETURNED TO TCC")</f>
        <v>RETURNED TO TCC</v>
      </c>
      <c r="M58" s="158" t="str">
        <f>IFERROR(__xludf.DUMMYFUNCTION("""COMPUTED_VALUE"""),"AVAILABLE")</f>
        <v>AVAILABLE</v>
      </c>
      <c r="N58" s="158" t="str">
        <f>IFERROR(__xludf.DUMMYFUNCTION("""COMPUTED_VALUE"""),"-")</f>
        <v>-</v>
      </c>
      <c r="O58" s="119"/>
      <c r="P58" s="119"/>
    </row>
    <row r="59">
      <c r="B59" s="157">
        <f>IFERROR(__xludf.DUMMYFUNCTION("""COMPUTED_VALUE"""),46071.0)</f>
        <v>46071</v>
      </c>
      <c r="C59" s="158" t="str">
        <f>IFERROR(__xludf.DUMMYFUNCTION("""COMPUTED_VALUE"""),"YAYA")</f>
        <v>YAYA</v>
      </c>
      <c r="D59" s="158" t="str">
        <f>IFERROR(__xludf.DUMMYFUNCTION("""COMPUTED_VALUE"""),"HANDPHONE")</f>
        <v>HANDPHONE</v>
      </c>
      <c r="E59" s="159">
        <f>IFERROR(__xludf.DUMMYFUNCTION("""COMPUTED_VALUE"""),3.507980222138E14)</f>
        <v>350798022213800</v>
      </c>
      <c r="F59" s="160" t="str">
        <f>IFERROR(__xludf.DUMMYFUNCTION("""COMPUTED_VALUE"""),"G-Z-FLIP7 256GB BLUE (2025)")</f>
        <v>G-Z-FLIP7 256GB BLUE (2025)</v>
      </c>
      <c r="G59" s="158" t="str">
        <f>IFERROR(__xludf.DUMMYFUNCTION("""COMPUTED_VALUE"""),"RETURN")</f>
        <v>RETURN</v>
      </c>
      <c r="H59" s="161"/>
      <c r="I59" s="158"/>
      <c r="J59" s="158" t="str">
        <f>IFERROR(__xludf.DUMMYFUNCTION("""COMPUTED_VALUE"""),"VENNI")</f>
        <v>VENNI</v>
      </c>
      <c r="K59" s="158"/>
      <c r="L59" s="158" t="str">
        <f>IFERROR(__xludf.DUMMYFUNCTION("""COMPUTED_VALUE"""),"RETURNED TO TCC")</f>
        <v>RETURNED TO TCC</v>
      </c>
      <c r="M59" s="158" t="str">
        <f>IFERROR(__xludf.DUMMYFUNCTION("""COMPUTED_VALUE"""),"AVAILABLE")</f>
        <v>AVAILABLE</v>
      </c>
      <c r="N59" s="158" t="str">
        <f>IFERROR(__xludf.DUMMYFUNCTION("""COMPUTED_VALUE"""),"-")</f>
        <v>-</v>
      </c>
      <c r="O59" s="119"/>
      <c r="P59" s="119"/>
    </row>
    <row r="60">
      <c r="B60" s="157">
        <f>IFERROR(__xludf.DUMMYFUNCTION("""COMPUTED_VALUE"""),46071.0)</f>
        <v>46071</v>
      </c>
      <c r="C60" s="158"/>
      <c r="D60" s="158" t="str">
        <f>IFERROR(__xludf.DUMMYFUNCTION("""COMPUTED_VALUE"""),"TAB")</f>
        <v>TAB</v>
      </c>
      <c r="E60" s="159"/>
      <c r="F60" s="160" t="str">
        <f>IFERROR(__xludf.DUMMYFUNCTION("""COMPUTED_VALUE"""),"G-TAB-A11-KIDS")</f>
        <v>G-TAB-A11-KIDS</v>
      </c>
      <c r="G60" s="158" t="str">
        <f>IFERROR(__xludf.DUMMYFUNCTION("""COMPUTED_VALUE"""),"RETURN")</f>
        <v>RETURN</v>
      </c>
      <c r="H60" s="161"/>
      <c r="I60" s="158"/>
      <c r="J60" s="158"/>
      <c r="K60" s="158"/>
      <c r="L60" s="158" t="str">
        <f>IFERROR(__xludf.DUMMYFUNCTION("""COMPUTED_VALUE"""),"AVAILABLE IN AGENCY")</f>
        <v>AVAILABLE IN AGENCY</v>
      </c>
      <c r="M60" s="158" t="str">
        <f>IFERROR(__xludf.DUMMYFUNCTION("""COMPUTED_VALUE"""),"LOANED / ON KOL")</f>
        <v>LOANED / ON KOL</v>
      </c>
      <c r="N60" s="158" t="str">
        <f>IFERROR(__xludf.DUMMYFUNCTION("""COMPUTED_VALUE"""),"amorita lukprina")</f>
        <v>amorita lukprina</v>
      </c>
      <c r="O60" s="119"/>
      <c r="P60" s="119"/>
    </row>
    <row r="61">
      <c r="B61" s="157">
        <f>IFERROR(__xludf.DUMMYFUNCTION("""COMPUTED_VALUE"""),46071.0)</f>
        <v>46071</v>
      </c>
      <c r="C61" s="158"/>
      <c r="D61" s="158" t="str">
        <f>IFERROR(__xludf.DUMMYFUNCTION("""COMPUTED_VALUE"""),"TAB")</f>
        <v>TAB</v>
      </c>
      <c r="E61" s="159"/>
      <c r="F61" s="160" t="str">
        <f>IFERROR(__xludf.DUMMYFUNCTION("""COMPUTED_VALUE"""),"G-TAB-A11-KIDS")</f>
        <v>G-TAB-A11-KIDS</v>
      </c>
      <c r="G61" s="158" t="str">
        <f>IFERROR(__xludf.DUMMYFUNCTION("""COMPUTED_VALUE"""),"RETURN")</f>
        <v>RETURN</v>
      </c>
      <c r="H61" s="161"/>
      <c r="I61" s="158"/>
      <c r="J61" s="158"/>
      <c r="K61" s="158"/>
      <c r="L61" s="158" t="str">
        <f>IFERROR(__xludf.DUMMYFUNCTION("""COMPUTED_VALUE"""),"AVAILABLE IN AGENCY")</f>
        <v>AVAILABLE IN AGENCY</v>
      </c>
      <c r="M61" s="158" t="str">
        <f>IFERROR(__xludf.DUMMYFUNCTION("""COMPUTED_VALUE"""),"LOANED / ON KOL")</f>
        <v>LOANED / ON KOL</v>
      </c>
      <c r="N61" s="158" t="str">
        <f>IFERROR(__xludf.DUMMYFUNCTION("""COMPUTED_VALUE"""),"melinda aristya")</f>
        <v>melinda aristya</v>
      </c>
      <c r="O61" s="119"/>
      <c r="P61" s="119"/>
    </row>
    <row r="62">
      <c r="B62" s="157">
        <f>IFERROR(__xludf.DUMMYFUNCTION("""COMPUTED_VALUE"""),46071.0)</f>
        <v>46071</v>
      </c>
      <c r="C62" s="158"/>
      <c r="D62" s="158" t="str">
        <f>IFERROR(__xludf.DUMMYFUNCTION("""COMPUTED_VALUE"""),"TAB")</f>
        <v>TAB</v>
      </c>
      <c r="E62" s="159"/>
      <c r="F62" s="160" t="str">
        <f>IFERROR(__xludf.DUMMYFUNCTION("""COMPUTED_VALUE"""),"G-TAB-A11-KIDS")</f>
        <v>G-TAB-A11-KIDS</v>
      </c>
      <c r="G62" s="158" t="str">
        <f>IFERROR(__xludf.DUMMYFUNCTION("""COMPUTED_VALUE"""),"RETURN")</f>
        <v>RETURN</v>
      </c>
      <c r="H62" s="161"/>
      <c r="I62" s="158"/>
      <c r="J62" s="158"/>
      <c r="K62" s="158"/>
      <c r="L62" s="158" t="str">
        <f>IFERROR(__xludf.DUMMYFUNCTION("""COMPUTED_VALUE"""),"AVAILABLE IN AGENCY")</f>
        <v>AVAILABLE IN AGENCY</v>
      </c>
      <c r="M62" s="158" t="str">
        <f>IFERROR(__xludf.DUMMYFUNCTION("""COMPUTED_VALUE"""),"AVAILABLE")</f>
        <v>AVAILABLE</v>
      </c>
      <c r="N62" s="158" t="str">
        <f>IFERROR(__xludf.DUMMYFUNCTION("""COMPUTED_VALUE"""),"-")</f>
        <v>-</v>
      </c>
      <c r="O62" s="119"/>
      <c r="P62" s="119"/>
    </row>
    <row r="63">
      <c r="B63" s="157">
        <f>IFERROR(__xludf.DUMMYFUNCTION("""COMPUTED_VALUE"""),46071.0)</f>
        <v>46071</v>
      </c>
      <c r="C63" s="158"/>
      <c r="D63" s="158" t="str">
        <f>IFERROR(__xludf.DUMMYFUNCTION("""COMPUTED_VALUE"""),"TAB")</f>
        <v>TAB</v>
      </c>
      <c r="E63" s="159"/>
      <c r="F63" s="160" t="str">
        <f>IFERROR(__xludf.DUMMYFUNCTION("""COMPUTED_VALUE"""),"G-TAB-A11-KIDS")</f>
        <v>G-TAB-A11-KIDS</v>
      </c>
      <c r="G63" s="158" t="str">
        <f>IFERROR(__xludf.DUMMYFUNCTION("""COMPUTED_VALUE"""),"RETURN")</f>
        <v>RETURN</v>
      </c>
      <c r="H63" s="161"/>
      <c r="I63" s="158"/>
      <c r="J63" s="158"/>
      <c r="K63" s="158"/>
      <c r="L63" s="158" t="str">
        <f>IFERROR(__xludf.DUMMYFUNCTION("""COMPUTED_VALUE"""),"AVAILABLE IN AGENCY")</f>
        <v>AVAILABLE IN AGENCY</v>
      </c>
      <c r="M63" s="158" t="str">
        <f>IFERROR(__xludf.DUMMYFUNCTION("""COMPUTED_VALUE"""),"LOANED / ON KOL")</f>
        <v>LOANED / ON KOL</v>
      </c>
      <c r="N63" s="158" t="str">
        <f>IFERROR(__xludf.DUMMYFUNCTION("""COMPUTED_VALUE"""),"Joseph Sebastian")</f>
        <v>Joseph Sebastian</v>
      </c>
      <c r="O63" s="119"/>
      <c r="P63" s="119"/>
    </row>
    <row r="64">
      <c r="B64" s="157">
        <f>IFERROR(__xludf.DUMMYFUNCTION("""COMPUTED_VALUE"""),46073.0)</f>
        <v>46073</v>
      </c>
      <c r="C64" s="158"/>
      <c r="D64" s="158" t="str">
        <f>IFERROR(__xludf.DUMMYFUNCTION("""COMPUTED_VALUE"""),"HANDPHONE")</f>
        <v>HANDPHONE</v>
      </c>
      <c r="E64" s="159">
        <f>IFERROR(__xludf.DUMMYFUNCTION("""COMPUTED_VALUE"""),3.54922130011429E14)</f>
        <v>354922130011429</v>
      </c>
      <c r="F64" s="160" t="str">
        <f>IFERROR(__xludf.DUMMYFUNCTION("""COMPUTED_VALUE"""),"G-S25-EDGE 256GB SILVER")</f>
        <v>G-S25-EDGE 256GB SILVER</v>
      </c>
      <c r="G64" s="158" t="str">
        <f>IFERROR(__xludf.DUMMYFUNCTION("""COMPUTED_VALUE"""),"RETURN")</f>
        <v>RETURN</v>
      </c>
      <c r="H64" s="161"/>
      <c r="I64" s="158"/>
      <c r="J64" s="158"/>
      <c r="K64" s="158"/>
      <c r="L64" s="158" t="str">
        <f>IFERROR(__xludf.DUMMYFUNCTION("""COMPUTED_VALUE"""),"AVAILABLE IN AGENCY")</f>
        <v>AVAILABLE IN AGENCY</v>
      </c>
      <c r="M64" s="158" t="str">
        <f>IFERROR(__xludf.DUMMYFUNCTION("""COMPUTED_VALUE"""),"AVAILABLE")</f>
        <v>AVAILABLE</v>
      </c>
      <c r="N64" s="158" t="str">
        <f>IFERROR(__xludf.DUMMYFUNCTION("""COMPUTED_VALUE"""),"-")</f>
        <v>-</v>
      </c>
      <c r="O64" s="119"/>
      <c r="P64" s="119"/>
    </row>
    <row r="65">
      <c r="B65" s="157">
        <f>IFERROR(__xludf.DUMMYFUNCTION("""COMPUTED_VALUE"""),46073.0)</f>
        <v>46073</v>
      </c>
      <c r="C65" s="158"/>
      <c r="D65" s="158" t="str">
        <f>IFERROR(__xludf.DUMMYFUNCTION("""COMPUTED_VALUE"""),"HANDPHONE")</f>
        <v>HANDPHONE</v>
      </c>
      <c r="E65" s="159">
        <f>IFERROR(__xludf.DUMMYFUNCTION("""COMPUTED_VALUE"""),3.52901540005744E14)</f>
        <v>352901540005744</v>
      </c>
      <c r="F65" s="160" t="str">
        <f>IFERROR(__xludf.DUMMYFUNCTION("""COMPUTED_VALUE"""),"G-S25-ULTRA 256GB SILVER")</f>
        <v>G-S25-ULTRA 256GB SILVER</v>
      </c>
      <c r="G65" s="158" t="str">
        <f>IFERROR(__xludf.DUMMYFUNCTION("""COMPUTED_VALUE"""),"RETURN")</f>
        <v>RETURN</v>
      </c>
      <c r="H65" s="161"/>
      <c r="I65" s="158"/>
      <c r="J65" s="158" t="str">
        <f>IFERROR(__xludf.DUMMYFUNCTION("""COMPUTED_VALUE"""),"VENNI")</f>
        <v>VENNI</v>
      </c>
      <c r="K65" s="158"/>
      <c r="L65" s="158" t="str">
        <f>IFERROR(__xludf.DUMMYFUNCTION("""COMPUTED_VALUE"""),"AVAILABLE IN AGENCY")</f>
        <v>AVAILABLE IN AGENCY</v>
      </c>
      <c r="M65" s="158" t="str">
        <f>IFERROR(__xludf.DUMMYFUNCTION("""COMPUTED_VALUE"""),"LOANED / ON KOL")</f>
        <v>LOANED / ON KOL</v>
      </c>
      <c r="N65" s="158" t="str">
        <f>IFERROR(__xludf.DUMMYFUNCTION("""COMPUTED_VALUE"""),"Rere Regita")</f>
        <v>Rere Regita</v>
      </c>
      <c r="O65" s="119"/>
      <c r="P65" s="119"/>
    </row>
    <row r="66">
      <c r="B66" s="157">
        <f>IFERROR(__xludf.DUMMYFUNCTION("""COMPUTED_VALUE"""),46073.0)</f>
        <v>46073</v>
      </c>
      <c r="C66" s="158"/>
      <c r="D66" s="158" t="str">
        <f>IFERROR(__xludf.DUMMYFUNCTION("""COMPUTED_VALUE"""),"HANDPHONE")</f>
        <v>HANDPHONE</v>
      </c>
      <c r="E66" s="159">
        <f>IFERROR(__xludf.DUMMYFUNCTION("""COMPUTED_VALUE"""),3.5431242000558E14)</f>
        <v>354312420005580</v>
      </c>
      <c r="F66" s="160" t="str">
        <f>IFERROR(__xludf.DUMMYFUNCTION("""COMPUTED_VALUE"""),"G-Z-FLIP7 256GB CORALRED")</f>
        <v>G-Z-FLIP7 256GB CORALRED</v>
      </c>
      <c r="G66" s="158" t="str">
        <f>IFERROR(__xludf.DUMMYFUNCTION("""COMPUTED_VALUE"""),"RETURN")</f>
        <v>RETURN</v>
      </c>
      <c r="H66" s="161"/>
      <c r="I66" s="158"/>
      <c r="J66" s="158" t="str">
        <f>IFERROR(__xludf.DUMMYFUNCTION("""COMPUTED_VALUE"""),"VENNI")</f>
        <v>VENNI</v>
      </c>
      <c r="K66" s="158"/>
      <c r="L66" s="158" t="str">
        <f>IFERROR(__xludf.DUMMYFUNCTION("""COMPUTED_VALUE"""),"AVAILABLE IN AGENCY")</f>
        <v>AVAILABLE IN AGENCY</v>
      </c>
      <c r="M66" s="158" t="str">
        <f>IFERROR(__xludf.DUMMYFUNCTION("""COMPUTED_VALUE"""),"AVAILABLE")</f>
        <v>AVAILABLE</v>
      </c>
      <c r="N66" s="158" t="str">
        <f>IFERROR(__xludf.DUMMYFUNCTION("""COMPUTED_VALUE"""),"-")</f>
        <v>-</v>
      </c>
      <c r="O66" s="119"/>
      <c r="P66" s="119" t="str">
        <f>IFERROR(__xludf.DUMMYFUNCTION("""COMPUTED_VALUE"""),"UNIT ONLY")</f>
        <v>UNIT ONLY</v>
      </c>
    </row>
    <row r="67">
      <c r="B67" s="157">
        <f>IFERROR(__xludf.DUMMYFUNCTION("""COMPUTED_VALUE"""),46073.0)</f>
        <v>46073</v>
      </c>
      <c r="C67" s="158"/>
      <c r="D67" s="158" t="str">
        <f>IFERROR(__xludf.DUMMYFUNCTION("""COMPUTED_VALUE"""),"HANDPHONE")</f>
        <v>HANDPHONE</v>
      </c>
      <c r="E67" s="159">
        <f>IFERROR(__xludf.DUMMYFUNCTION("""COMPUTED_VALUE"""),3.57703230001024E14)</f>
        <v>357703230001024</v>
      </c>
      <c r="F67" s="160" t="str">
        <f>IFERROR(__xludf.DUMMYFUNCTION("""COMPUTED_VALUE"""),"G-A56-5G 128GB SILVER")</f>
        <v>G-A56-5G 128GB SILVER</v>
      </c>
      <c r="G67" s="158" t="str">
        <f>IFERROR(__xludf.DUMMYFUNCTION("""COMPUTED_VALUE"""),"RETURN")</f>
        <v>RETURN</v>
      </c>
      <c r="H67" s="161"/>
      <c r="I67" s="158"/>
      <c r="J67" s="158" t="str">
        <f>IFERROR(__xludf.DUMMYFUNCTION("""COMPUTED_VALUE"""),"ISNAINI")</f>
        <v>ISNAINI</v>
      </c>
      <c r="K67" s="158"/>
      <c r="L67" s="158" t="str">
        <f>IFERROR(__xludf.DUMMYFUNCTION("""COMPUTED_VALUE"""),"AVAILABLE IN AGENCY")</f>
        <v>AVAILABLE IN AGENCY</v>
      </c>
      <c r="M67" s="158" t="str">
        <f>IFERROR(__xludf.DUMMYFUNCTION("""COMPUTED_VALUE"""),"AVAILABLE")</f>
        <v>AVAILABLE</v>
      </c>
      <c r="N67" s="158" t="str">
        <f>IFERROR(__xludf.DUMMYFUNCTION("""COMPUTED_VALUE"""),"-")</f>
        <v>-</v>
      </c>
      <c r="O67" s="119"/>
      <c r="P67" s="119" t="str">
        <f>IFERROR(__xludf.DUMMYFUNCTION("""COMPUTED_VALUE"""),"UNIT ONLY")</f>
        <v>UNIT ONLY</v>
      </c>
    </row>
    <row r="68">
      <c r="B68" s="157">
        <f>IFERROR(__xludf.DUMMYFUNCTION("""COMPUTED_VALUE"""),46073.0)</f>
        <v>46073</v>
      </c>
      <c r="C68" s="158"/>
      <c r="D68" s="158" t="str">
        <f>IFERROR(__xludf.DUMMYFUNCTION("""COMPUTED_VALUE"""),"HANDPHONE")</f>
        <v>HANDPHONE</v>
      </c>
      <c r="E68" s="159">
        <f>IFERROR(__xludf.DUMMYFUNCTION("""COMPUTED_VALUE"""),3.57703230036582E14)</f>
        <v>357703230036582</v>
      </c>
      <c r="F68" s="160" t="str">
        <f>IFERROR(__xludf.DUMMYFUNCTION("""COMPUTED_VALUE"""),"G-A56-5G 128GB GRAPHITE")</f>
        <v>G-A56-5G 128GB GRAPHITE</v>
      </c>
      <c r="G68" s="158" t="str">
        <f>IFERROR(__xludf.DUMMYFUNCTION("""COMPUTED_VALUE"""),"RETURN")</f>
        <v>RETURN</v>
      </c>
      <c r="H68" s="161"/>
      <c r="I68" s="158"/>
      <c r="J68" s="158" t="str">
        <f>IFERROR(__xludf.DUMMYFUNCTION("""COMPUTED_VALUE"""),"ISNAINI")</f>
        <v>ISNAINI</v>
      </c>
      <c r="K68" s="158"/>
      <c r="L68" s="158" t="str">
        <f>IFERROR(__xludf.DUMMYFUNCTION("""COMPUTED_VALUE"""),"AVAILABLE IN AGENCY")</f>
        <v>AVAILABLE IN AGENCY</v>
      </c>
      <c r="M68" s="158" t="str">
        <f>IFERROR(__xludf.DUMMYFUNCTION("""COMPUTED_VALUE"""),"AVAILABLE")</f>
        <v>AVAILABLE</v>
      </c>
      <c r="N68" s="158" t="str">
        <f>IFERROR(__xludf.DUMMYFUNCTION("""COMPUTED_VALUE"""),"-")</f>
        <v>-</v>
      </c>
      <c r="O68" s="119"/>
      <c r="P68" s="119"/>
    </row>
    <row r="69">
      <c r="B69" s="157">
        <f>IFERROR(__xludf.DUMMYFUNCTION("""COMPUTED_VALUE"""),46076.0)</f>
        <v>46076</v>
      </c>
      <c r="C69" s="158"/>
      <c r="D69" s="158" t="str">
        <f>IFERROR(__xludf.DUMMYFUNCTION("""COMPUTED_VALUE"""),"HANDPHONE")</f>
        <v>HANDPHONE</v>
      </c>
      <c r="E69" s="159">
        <f>IFERROR(__xludf.DUMMYFUNCTION("""COMPUTED_VALUE"""),3.5129832009778E14)</f>
        <v>351298320097780</v>
      </c>
      <c r="F69" s="160" t="str">
        <f>IFERROR(__xludf.DUMMYFUNCTION("""COMPUTED_VALUE"""),"G-S25-FE 256GB ICYBLUE")</f>
        <v>G-S25-FE 256GB ICYBLUE</v>
      </c>
      <c r="G69" s="158" t="str">
        <f>IFERROR(__xludf.DUMMYFUNCTION("""COMPUTED_VALUE"""),"RETURN")</f>
        <v>RETURN</v>
      </c>
      <c r="H69" s="161"/>
      <c r="I69" s="158"/>
      <c r="J69" s="158" t="str">
        <f>IFERROR(__xludf.DUMMYFUNCTION("""COMPUTED_VALUE"""),"MARTIN")</f>
        <v>MARTIN</v>
      </c>
      <c r="K69" s="158"/>
      <c r="L69" s="158" t="str">
        <f>IFERROR(__xludf.DUMMYFUNCTION("""COMPUTED_VALUE"""),"AVAILABLE IN AGENCY")</f>
        <v>AVAILABLE IN AGENCY</v>
      </c>
      <c r="M69" s="158" t="str">
        <f>IFERROR(__xludf.DUMMYFUNCTION("""COMPUTED_VALUE"""),"AVAILABLE")</f>
        <v>AVAILABLE</v>
      </c>
      <c r="N69" s="158" t="str">
        <f>IFERROR(__xludf.DUMMYFUNCTION("""COMPUTED_VALUE"""),"-")</f>
        <v>-</v>
      </c>
      <c r="O69" s="119"/>
      <c r="P69" s="119"/>
    </row>
    <row r="70">
      <c r="B70" s="157">
        <f>IFERROR(__xludf.DUMMYFUNCTION("""COMPUTED_VALUE"""),46076.0)</f>
        <v>46076</v>
      </c>
      <c r="C70" s="158"/>
      <c r="D70" s="158" t="str">
        <f>IFERROR(__xludf.DUMMYFUNCTION("""COMPUTED_VALUE"""),"HANDPHONE")</f>
        <v>HANDPHONE</v>
      </c>
      <c r="E70" s="159">
        <f>IFERROR(__xludf.DUMMYFUNCTION("""COMPUTED_VALUE"""),3.56284530004126E14)</f>
        <v>356284530004126</v>
      </c>
      <c r="F70" s="160" t="str">
        <f>IFERROR(__xludf.DUMMYFUNCTION("""COMPUTED_VALUE"""),"G-S25-ULTRA 512GB PINKGOLD")</f>
        <v>G-S25-ULTRA 512GB PINKGOLD</v>
      </c>
      <c r="G70" s="158" t="str">
        <f>IFERROR(__xludf.DUMMYFUNCTION("""COMPUTED_VALUE"""),"RETURN")</f>
        <v>RETURN</v>
      </c>
      <c r="H70" s="161"/>
      <c r="I70" s="158"/>
      <c r="J70" s="158" t="str">
        <f>IFERROR(__xludf.DUMMYFUNCTION("""COMPUTED_VALUE"""),"MARTIN")</f>
        <v>MARTIN</v>
      </c>
      <c r="K70" s="158"/>
      <c r="L70" s="158" t="str">
        <f>IFERROR(__xludf.DUMMYFUNCTION("""COMPUTED_VALUE"""),"AVAILABLE IN AGENCY")</f>
        <v>AVAILABLE IN AGENCY</v>
      </c>
      <c r="M70" s="158" t="str">
        <f>IFERROR(__xludf.DUMMYFUNCTION("""COMPUTED_VALUE"""),"LOANED / ON KOL")</f>
        <v>LOANED / ON KOL</v>
      </c>
      <c r="N70" s="158" t="str">
        <f>IFERROR(__xludf.DUMMYFUNCTION("""COMPUTED_VALUE"""),"Fery")</f>
        <v>Fery</v>
      </c>
      <c r="O70" s="119"/>
      <c r="P70" s="119"/>
    </row>
    <row r="71">
      <c r="B71" s="157">
        <f>IFERROR(__xludf.DUMMYFUNCTION("""COMPUTED_VALUE"""),46076.0)</f>
        <v>46076</v>
      </c>
      <c r="C71" s="158" t="str">
        <f>IFERROR(__xludf.DUMMYFUNCTION("""COMPUTED_VALUE"""),"YAYA")</f>
        <v>YAYA</v>
      </c>
      <c r="D71" s="158" t="str">
        <f>IFERROR(__xludf.DUMMYFUNCTION("""COMPUTED_VALUE"""),"BUDS")</f>
        <v>BUDS</v>
      </c>
      <c r="E71" s="159"/>
      <c r="F71" s="160" t="str">
        <f>IFERROR(__xludf.DUMMYFUNCTION("""COMPUTED_VALUE"""),"G-BUDS4-PRO BLACK (2026)")</f>
        <v>G-BUDS4-PRO BLACK (2026)</v>
      </c>
      <c r="G71" s="158" t="str">
        <f>IFERROR(__xludf.DUMMYFUNCTION("""COMPUTED_VALUE"""),"RETURN")</f>
        <v>RETURN</v>
      </c>
      <c r="H71" s="161">
        <f>IFERROR(__xludf.DUMMYFUNCTION("""COMPUTED_VALUE"""),46203.0)</f>
        <v>46203</v>
      </c>
      <c r="I71" s="158"/>
      <c r="J71" s="158" t="str">
        <f>IFERROR(__xludf.DUMMYFUNCTION("""COMPUTED_VALUE"""),"ABIGAIL")</f>
        <v>ABIGAIL</v>
      </c>
      <c r="K71" s="158" t="str">
        <f>IFERROR(__xludf.DUMMYFUNCTION("""COMPUTED_VALUE"""),"Galaxy Buds4 Launch")</f>
        <v>Galaxy Buds4 Launch</v>
      </c>
      <c r="L71" s="158" t="str">
        <f>IFERROR(__xludf.DUMMYFUNCTION("""COMPUTED_VALUE"""),"AVAILABLE IN AGENCY")</f>
        <v>AVAILABLE IN AGENCY</v>
      </c>
      <c r="M71" s="158" t="str">
        <f>IFERROR(__xludf.DUMMYFUNCTION("""COMPUTED_VALUE"""),"LOANED / ON KOL")</f>
        <v>LOANED / ON KOL</v>
      </c>
      <c r="N71" s="158" t="str">
        <f>IFERROR(__xludf.DUMMYFUNCTION("""COMPUTED_VALUE"""),"Adikara")</f>
        <v>Adikara</v>
      </c>
      <c r="O71" s="119"/>
      <c r="P71" s="119"/>
    </row>
    <row r="72">
      <c r="B72" s="157">
        <f>IFERROR(__xludf.DUMMYFUNCTION("""COMPUTED_VALUE"""),46076.0)</f>
        <v>46076</v>
      </c>
      <c r="C72" s="158" t="str">
        <f>IFERROR(__xludf.DUMMYFUNCTION("""COMPUTED_VALUE"""),"YAYA")</f>
        <v>YAYA</v>
      </c>
      <c r="D72" s="158" t="str">
        <f>IFERROR(__xludf.DUMMYFUNCTION("""COMPUTED_VALUE"""),"BUDS")</f>
        <v>BUDS</v>
      </c>
      <c r="E72" s="159"/>
      <c r="F72" s="160" t="str">
        <f>IFERROR(__xludf.DUMMYFUNCTION("""COMPUTED_VALUE"""),"G-BUDS4-PRO BLACK (2026)")</f>
        <v>G-BUDS4-PRO BLACK (2026)</v>
      </c>
      <c r="G72" s="158" t="str">
        <f>IFERROR(__xludf.DUMMYFUNCTION("""COMPUTED_VALUE"""),"RETURN")</f>
        <v>RETURN</v>
      </c>
      <c r="H72" s="161">
        <f>IFERROR(__xludf.DUMMYFUNCTION("""COMPUTED_VALUE"""),46203.0)</f>
        <v>46203</v>
      </c>
      <c r="I72" s="158"/>
      <c r="J72" s="158" t="str">
        <f>IFERROR(__xludf.DUMMYFUNCTION("""COMPUTED_VALUE"""),"ABIGAIL")</f>
        <v>ABIGAIL</v>
      </c>
      <c r="K72" s="158" t="str">
        <f>IFERROR(__xludf.DUMMYFUNCTION("""COMPUTED_VALUE"""),"Galaxy Buds4 Launch")</f>
        <v>Galaxy Buds4 Launch</v>
      </c>
      <c r="L72" s="158" t="str">
        <f>IFERROR(__xludf.DUMMYFUNCTION("""COMPUTED_VALUE"""),"AVAILABLE IN AGENCY")</f>
        <v>AVAILABLE IN AGENCY</v>
      </c>
      <c r="M72" s="158" t="str">
        <f>IFERROR(__xludf.DUMMYFUNCTION("""COMPUTED_VALUE"""),"AVAILABLE")</f>
        <v>AVAILABLE</v>
      </c>
      <c r="N72" s="158" t="str">
        <f>IFERROR(__xludf.DUMMYFUNCTION("""COMPUTED_VALUE"""),"-")</f>
        <v>-</v>
      </c>
      <c r="O72" s="119"/>
      <c r="P72" s="119"/>
    </row>
    <row r="73">
      <c r="B73" s="157">
        <f>IFERROR(__xludf.DUMMYFUNCTION("""COMPUTED_VALUE"""),46076.0)</f>
        <v>46076</v>
      </c>
      <c r="C73" s="158" t="str">
        <f>IFERROR(__xludf.DUMMYFUNCTION("""COMPUTED_VALUE"""),"YAYA")</f>
        <v>YAYA</v>
      </c>
      <c r="D73" s="158" t="str">
        <f>IFERROR(__xludf.DUMMYFUNCTION("""COMPUTED_VALUE"""),"BUDS")</f>
        <v>BUDS</v>
      </c>
      <c r="E73" s="159"/>
      <c r="F73" s="160" t="str">
        <f>IFERROR(__xludf.DUMMYFUNCTION("""COMPUTED_VALUE"""),"G-BUDS4-PRO BLACK (2026)")</f>
        <v>G-BUDS4-PRO BLACK (2026)</v>
      </c>
      <c r="G73" s="158" t="str">
        <f>IFERROR(__xludf.DUMMYFUNCTION("""COMPUTED_VALUE"""),"RETURN")</f>
        <v>RETURN</v>
      </c>
      <c r="H73" s="161">
        <f>IFERROR(__xludf.DUMMYFUNCTION("""COMPUTED_VALUE"""),46203.0)</f>
        <v>46203</v>
      </c>
      <c r="I73" s="158"/>
      <c r="J73" s="158" t="str">
        <f>IFERROR(__xludf.DUMMYFUNCTION("""COMPUTED_VALUE"""),"ABIGAIL")</f>
        <v>ABIGAIL</v>
      </c>
      <c r="K73" s="158" t="str">
        <f>IFERROR(__xludf.DUMMYFUNCTION("""COMPUTED_VALUE"""),"Galaxy Buds4 Launch")</f>
        <v>Galaxy Buds4 Launch</v>
      </c>
      <c r="L73" s="158" t="str">
        <f>IFERROR(__xludf.DUMMYFUNCTION("""COMPUTED_VALUE"""),"AVAILABLE IN AGENCY")</f>
        <v>AVAILABLE IN AGENCY</v>
      </c>
      <c r="M73" s="158" t="str">
        <f>IFERROR(__xludf.DUMMYFUNCTION("""COMPUTED_VALUE"""),"LOANED / ON KOL")</f>
        <v>LOANED / ON KOL</v>
      </c>
      <c r="N73" s="158" t="str">
        <f>IFERROR(__xludf.DUMMYFUNCTION("""COMPUTED_VALUE"""),"Ahmad Tito")</f>
        <v>Ahmad Tito</v>
      </c>
      <c r="O73" s="119"/>
      <c r="P73" s="119"/>
    </row>
    <row r="74">
      <c r="B74" s="157">
        <f>IFERROR(__xludf.DUMMYFUNCTION("""COMPUTED_VALUE"""),46076.0)</f>
        <v>46076</v>
      </c>
      <c r="C74" s="158" t="str">
        <f>IFERROR(__xludf.DUMMYFUNCTION("""COMPUTED_VALUE"""),"YAYA")</f>
        <v>YAYA</v>
      </c>
      <c r="D74" s="158" t="str">
        <f>IFERROR(__xludf.DUMMYFUNCTION("""COMPUTED_VALUE"""),"BUDS")</f>
        <v>BUDS</v>
      </c>
      <c r="E74" s="159"/>
      <c r="F74" s="160" t="str">
        <f>IFERROR(__xludf.DUMMYFUNCTION("""COMPUTED_VALUE"""),"G-BUDS4-PRO BLACK (2026)")</f>
        <v>G-BUDS4-PRO BLACK (2026)</v>
      </c>
      <c r="G74" s="158" t="str">
        <f>IFERROR(__xludf.DUMMYFUNCTION("""COMPUTED_VALUE"""),"RETURN")</f>
        <v>RETURN</v>
      </c>
      <c r="H74" s="161">
        <f>IFERROR(__xludf.DUMMYFUNCTION("""COMPUTED_VALUE"""),46203.0)</f>
        <v>46203</v>
      </c>
      <c r="I74" s="158"/>
      <c r="J74" s="158" t="str">
        <f>IFERROR(__xludf.DUMMYFUNCTION("""COMPUTED_VALUE"""),"ABIGAIL")</f>
        <v>ABIGAIL</v>
      </c>
      <c r="K74" s="158" t="str">
        <f>IFERROR(__xludf.DUMMYFUNCTION("""COMPUTED_VALUE"""),"Galaxy Buds4 Launch")</f>
        <v>Galaxy Buds4 Launch</v>
      </c>
      <c r="L74" s="158" t="str">
        <f>IFERROR(__xludf.DUMMYFUNCTION("""COMPUTED_VALUE"""),"AVAILABLE IN AGENCY")</f>
        <v>AVAILABLE IN AGENCY</v>
      </c>
      <c r="M74" s="158" t="str">
        <f>IFERROR(__xludf.DUMMYFUNCTION("""COMPUTED_VALUE"""),"AVAILABLE")</f>
        <v>AVAILABLE</v>
      </c>
      <c r="N74" s="158" t="str">
        <f>IFERROR(__xludf.DUMMYFUNCTION("""COMPUTED_VALUE"""),"-")</f>
        <v>-</v>
      </c>
      <c r="O74" s="119"/>
      <c r="P74" s="119"/>
    </row>
    <row r="75">
      <c r="B75" s="157">
        <f>IFERROR(__xludf.DUMMYFUNCTION("""COMPUTED_VALUE"""),46076.0)</f>
        <v>46076</v>
      </c>
      <c r="C75" s="158" t="str">
        <f>IFERROR(__xludf.DUMMYFUNCTION("""COMPUTED_VALUE"""),"YAYA")</f>
        <v>YAYA</v>
      </c>
      <c r="D75" s="158" t="str">
        <f>IFERROR(__xludf.DUMMYFUNCTION("""COMPUTED_VALUE"""),"BUDS")</f>
        <v>BUDS</v>
      </c>
      <c r="E75" s="159"/>
      <c r="F75" s="160" t="str">
        <f>IFERROR(__xludf.DUMMYFUNCTION("""COMPUTED_VALUE"""),"G-BUDS4 WHITE (2026)")</f>
        <v>G-BUDS4 WHITE (2026)</v>
      </c>
      <c r="G75" s="158" t="str">
        <f>IFERROR(__xludf.DUMMYFUNCTION("""COMPUTED_VALUE"""),"RETURN")</f>
        <v>RETURN</v>
      </c>
      <c r="H75" s="161">
        <f>IFERROR(__xludf.DUMMYFUNCTION("""COMPUTED_VALUE"""),46203.0)</f>
        <v>46203</v>
      </c>
      <c r="I75" s="158"/>
      <c r="J75" s="158" t="str">
        <f>IFERROR(__xludf.DUMMYFUNCTION("""COMPUTED_VALUE"""),"ABIGAIL")</f>
        <v>ABIGAIL</v>
      </c>
      <c r="K75" s="158" t="str">
        <f>IFERROR(__xludf.DUMMYFUNCTION("""COMPUTED_VALUE"""),"Galaxy Buds4 Launch")</f>
        <v>Galaxy Buds4 Launch</v>
      </c>
      <c r="L75" s="158" t="str">
        <f>IFERROR(__xludf.DUMMYFUNCTION("""COMPUTED_VALUE"""),"AVAILABLE IN AGENCY")</f>
        <v>AVAILABLE IN AGENCY</v>
      </c>
      <c r="M75" s="158" t="str">
        <f>IFERROR(__xludf.DUMMYFUNCTION("""COMPUTED_VALUE"""),"LOANED / ON KOL")</f>
        <v>LOANED / ON KOL</v>
      </c>
      <c r="N75" s="158" t="str">
        <f>IFERROR(__xludf.DUMMYFUNCTION("""COMPUTED_VALUE"""),"Jesica Veranda")</f>
        <v>Jesica Veranda</v>
      </c>
      <c r="O75" s="119"/>
      <c r="P75" s="119"/>
    </row>
    <row r="76">
      <c r="B76" s="157">
        <f>IFERROR(__xludf.DUMMYFUNCTION("""COMPUTED_VALUE"""),46076.0)</f>
        <v>46076</v>
      </c>
      <c r="C76" s="158" t="str">
        <f>IFERROR(__xludf.DUMMYFUNCTION("""COMPUTED_VALUE"""),"YAYA")</f>
        <v>YAYA</v>
      </c>
      <c r="D76" s="158" t="str">
        <f>IFERROR(__xludf.DUMMYFUNCTION("""COMPUTED_VALUE"""),"BUDS")</f>
        <v>BUDS</v>
      </c>
      <c r="E76" s="159"/>
      <c r="F76" s="160" t="str">
        <f>IFERROR(__xludf.DUMMYFUNCTION("""COMPUTED_VALUE"""),"G-BUDS4 WHITE (2026)")</f>
        <v>G-BUDS4 WHITE (2026)</v>
      </c>
      <c r="G76" s="158" t="str">
        <f>IFERROR(__xludf.DUMMYFUNCTION("""COMPUTED_VALUE"""),"RETURN")</f>
        <v>RETURN</v>
      </c>
      <c r="H76" s="161">
        <f>IFERROR(__xludf.DUMMYFUNCTION("""COMPUTED_VALUE"""),46203.0)</f>
        <v>46203</v>
      </c>
      <c r="I76" s="158"/>
      <c r="J76" s="158" t="str">
        <f>IFERROR(__xludf.DUMMYFUNCTION("""COMPUTED_VALUE"""),"ABIGAIL")</f>
        <v>ABIGAIL</v>
      </c>
      <c r="K76" s="158" t="str">
        <f>IFERROR(__xludf.DUMMYFUNCTION("""COMPUTED_VALUE"""),"Galaxy Buds4 Launch")</f>
        <v>Galaxy Buds4 Launch</v>
      </c>
      <c r="L76" s="158" t="str">
        <f>IFERROR(__xludf.DUMMYFUNCTION("""COMPUTED_VALUE"""),"AVAILABLE IN AGENCY")</f>
        <v>AVAILABLE IN AGENCY</v>
      </c>
      <c r="M76" s="158" t="str">
        <f>IFERROR(__xludf.DUMMYFUNCTION("""COMPUTED_VALUE"""),"LOANED / ON KOL")</f>
        <v>LOANED / ON KOL</v>
      </c>
      <c r="N76" s="158" t="str">
        <f>IFERROR(__xludf.DUMMYFUNCTION("""COMPUTED_VALUE"""),"gaby saputra")</f>
        <v>gaby saputra</v>
      </c>
      <c r="O76" s="119"/>
      <c r="P76" s="119"/>
    </row>
    <row r="77">
      <c r="B77" s="157">
        <f>IFERROR(__xludf.DUMMYFUNCTION("""COMPUTED_VALUE"""),46076.0)</f>
        <v>46076</v>
      </c>
      <c r="C77" s="158" t="str">
        <f>IFERROR(__xludf.DUMMYFUNCTION("""COMPUTED_VALUE"""),"YAYA")</f>
        <v>YAYA</v>
      </c>
      <c r="D77" s="158" t="str">
        <f>IFERROR(__xludf.DUMMYFUNCTION("""COMPUTED_VALUE"""),"BUDS")</f>
        <v>BUDS</v>
      </c>
      <c r="E77" s="159"/>
      <c r="F77" s="160" t="str">
        <f>IFERROR(__xludf.DUMMYFUNCTION("""COMPUTED_VALUE"""),"G-BUDS4 BLACK (2026)")</f>
        <v>G-BUDS4 BLACK (2026)</v>
      </c>
      <c r="G77" s="158" t="str">
        <f>IFERROR(__xludf.DUMMYFUNCTION("""COMPUTED_VALUE"""),"RETURN")</f>
        <v>RETURN</v>
      </c>
      <c r="H77" s="161">
        <f>IFERROR(__xludf.DUMMYFUNCTION("""COMPUTED_VALUE"""),46203.0)</f>
        <v>46203</v>
      </c>
      <c r="I77" s="158"/>
      <c r="J77" s="158" t="str">
        <f>IFERROR(__xludf.DUMMYFUNCTION("""COMPUTED_VALUE"""),"ABIGAIL")</f>
        <v>ABIGAIL</v>
      </c>
      <c r="K77" s="158" t="str">
        <f>IFERROR(__xludf.DUMMYFUNCTION("""COMPUTED_VALUE"""),"Galaxy Buds4 Launch")</f>
        <v>Galaxy Buds4 Launch</v>
      </c>
      <c r="L77" s="158" t="str">
        <f>IFERROR(__xludf.DUMMYFUNCTION("""COMPUTED_VALUE"""),"AVAILABLE IN AGENCY")</f>
        <v>AVAILABLE IN AGENCY</v>
      </c>
      <c r="M77" s="158" t="str">
        <f>IFERROR(__xludf.DUMMYFUNCTION("""COMPUTED_VALUE"""),"LOANED / ON KOL")</f>
        <v>LOANED / ON KOL</v>
      </c>
      <c r="N77" s="158" t="str">
        <f>IFERROR(__xludf.DUMMYFUNCTION("""COMPUTED_VALUE"""),"sadam / irma")</f>
        <v>sadam / irma</v>
      </c>
      <c r="O77" s="119"/>
      <c r="P77" s="119"/>
    </row>
    <row r="78">
      <c r="B78" s="157">
        <f>IFERROR(__xludf.DUMMYFUNCTION("""COMPUTED_VALUE"""),46076.0)</f>
        <v>46076</v>
      </c>
      <c r="C78" s="158" t="str">
        <f>IFERROR(__xludf.DUMMYFUNCTION("""COMPUTED_VALUE"""),"YAYA")</f>
        <v>YAYA</v>
      </c>
      <c r="D78" s="158" t="str">
        <f>IFERROR(__xludf.DUMMYFUNCTION("""COMPUTED_VALUE"""),"BUDS")</f>
        <v>BUDS</v>
      </c>
      <c r="E78" s="159"/>
      <c r="F78" s="160" t="str">
        <f>IFERROR(__xludf.DUMMYFUNCTION("""COMPUTED_VALUE"""),"G-BUDS4 BLACK (2026)")</f>
        <v>G-BUDS4 BLACK (2026)</v>
      </c>
      <c r="G78" s="158" t="str">
        <f>IFERROR(__xludf.DUMMYFUNCTION("""COMPUTED_VALUE"""),"RETURN")</f>
        <v>RETURN</v>
      </c>
      <c r="H78" s="161">
        <f>IFERROR(__xludf.DUMMYFUNCTION("""COMPUTED_VALUE"""),46203.0)</f>
        <v>46203</v>
      </c>
      <c r="I78" s="158"/>
      <c r="J78" s="158" t="str">
        <f>IFERROR(__xludf.DUMMYFUNCTION("""COMPUTED_VALUE"""),"ABIGAIL")</f>
        <v>ABIGAIL</v>
      </c>
      <c r="K78" s="158" t="str">
        <f>IFERROR(__xludf.DUMMYFUNCTION("""COMPUTED_VALUE"""),"Galaxy Buds4 Launch")</f>
        <v>Galaxy Buds4 Launch</v>
      </c>
      <c r="L78" s="158" t="str">
        <f>IFERROR(__xludf.DUMMYFUNCTION("""COMPUTED_VALUE"""),"AVAILABLE IN AGENCY")</f>
        <v>AVAILABLE IN AGENCY</v>
      </c>
      <c r="M78" s="158" t="str">
        <f>IFERROR(__xludf.DUMMYFUNCTION("""COMPUTED_VALUE"""),"LOANED / ON KOL")</f>
        <v>LOANED / ON KOL</v>
      </c>
      <c r="N78" s="158" t="str">
        <f>IFERROR(__xludf.DUMMYFUNCTION("""COMPUTED_VALUE"""),"Acipa")</f>
        <v>Acipa</v>
      </c>
      <c r="O78" s="119"/>
      <c r="P78" s="119"/>
    </row>
    <row r="79">
      <c r="B79" s="157">
        <f>IFERROR(__xludf.DUMMYFUNCTION("""COMPUTED_VALUE"""),46076.0)</f>
        <v>46076</v>
      </c>
      <c r="C79" s="158" t="str">
        <f>IFERROR(__xludf.DUMMYFUNCTION("""COMPUTED_VALUE"""),"MANDIE")</f>
        <v>MANDIE</v>
      </c>
      <c r="D79" s="158" t="str">
        <f>IFERROR(__xludf.DUMMYFUNCTION("""COMPUTED_VALUE"""),"HANDPHONE")</f>
        <v>HANDPHONE</v>
      </c>
      <c r="E79" s="159">
        <f>IFERROR(__xludf.DUMMYFUNCTION("""COMPUTED_VALUE"""),3.50576859133328E14)</f>
        <v>350576859133328</v>
      </c>
      <c r="F79" s="160" t="str">
        <f>IFERROR(__xludf.DUMMYFUNCTION("""COMPUTED_VALUE"""),"G-A07 64GB GREEN (2025)")</f>
        <v>G-A07 64GB GREEN (2025)</v>
      </c>
      <c r="G79" s="158" t="str">
        <f>IFERROR(__xludf.DUMMYFUNCTION("""COMPUTED_VALUE"""),"RETURN")</f>
        <v>RETURN</v>
      </c>
      <c r="H79" s="161">
        <f>IFERROR(__xludf.DUMMYFUNCTION("""COMPUTED_VALUE"""),46142.0)</f>
        <v>46142</v>
      </c>
      <c r="I79" s="158"/>
      <c r="J79" s="158" t="str">
        <f>IFERROR(__xludf.DUMMYFUNCTION("""COMPUTED_VALUE"""),"OLIV")</f>
        <v>OLIV</v>
      </c>
      <c r="K79" s="158" t="str">
        <f>IFERROR(__xludf.DUMMYFUNCTION("""COMPUTED_VALUE"""),"RAMADAN CAMPAIGN")</f>
        <v>RAMADAN CAMPAIGN</v>
      </c>
      <c r="L79" s="158" t="str">
        <f>IFERROR(__xludf.DUMMYFUNCTION("""COMPUTED_VALUE"""),"AVAILABLE IN AGENCY")</f>
        <v>AVAILABLE IN AGENCY</v>
      </c>
      <c r="M79" s="158" t="str">
        <f>IFERROR(__xludf.DUMMYFUNCTION("""COMPUTED_VALUE"""),"AVAILABLE")</f>
        <v>AVAILABLE</v>
      </c>
      <c r="N79" s="158" t="str">
        <f>IFERROR(__xludf.DUMMYFUNCTION("""COMPUTED_VALUE"""),"-")</f>
        <v>-</v>
      </c>
      <c r="O79" s="119"/>
      <c r="P79" s="119"/>
    </row>
    <row r="80">
      <c r="B80" s="157">
        <f>IFERROR(__xludf.DUMMYFUNCTION("""COMPUTED_VALUE"""),46076.0)</f>
        <v>46076</v>
      </c>
      <c r="C80" s="158" t="str">
        <f>IFERROR(__xludf.DUMMYFUNCTION("""COMPUTED_VALUE"""),"MANDIE")</f>
        <v>MANDIE</v>
      </c>
      <c r="D80" s="158" t="str">
        <f>IFERROR(__xludf.DUMMYFUNCTION("""COMPUTED_VALUE"""),"HANDPHONE")</f>
        <v>HANDPHONE</v>
      </c>
      <c r="E80" s="159">
        <f>IFERROR(__xludf.DUMMYFUNCTION("""COMPUTED_VALUE"""),3.5585115031023E14)</f>
        <v>355851150310230</v>
      </c>
      <c r="F80" s="160" t="str">
        <f>IFERROR(__xludf.DUMMYFUNCTION("""COMPUTED_VALUE"""),"G-A17-5G 256GB BLACK (2025)")</f>
        <v>G-A17-5G 256GB BLACK (2025)</v>
      </c>
      <c r="G80" s="158" t="str">
        <f>IFERROR(__xludf.DUMMYFUNCTION("""COMPUTED_VALUE"""),"RETURN")</f>
        <v>RETURN</v>
      </c>
      <c r="H80" s="161">
        <f>IFERROR(__xludf.DUMMYFUNCTION("""COMPUTED_VALUE"""),46142.0)</f>
        <v>46142</v>
      </c>
      <c r="I80" s="158"/>
      <c r="J80" s="158" t="str">
        <f>IFERROR(__xludf.DUMMYFUNCTION("""COMPUTED_VALUE"""),"OLIV")</f>
        <v>OLIV</v>
      </c>
      <c r="K80" s="158" t="str">
        <f>IFERROR(__xludf.DUMMYFUNCTION("""COMPUTED_VALUE"""),"RAMADAN CAMPAIGN")</f>
        <v>RAMADAN CAMPAIGN</v>
      </c>
      <c r="L80" s="158" t="str">
        <f>IFERROR(__xludf.DUMMYFUNCTION("""COMPUTED_VALUE"""),"AVAILABLE IN AGENCY")</f>
        <v>AVAILABLE IN AGENCY</v>
      </c>
      <c r="M80" s="158" t="str">
        <f>IFERROR(__xludf.DUMMYFUNCTION("""COMPUTED_VALUE"""),"LOANED / ON KOL")</f>
        <v>LOANED / ON KOL</v>
      </c>
      <c r="N80" s="158" t="str">
        <f>IFERROR(__xludf.DUMMYFUNCTION("""COMPUTED_VALUE"""),"Davrizojol")</f>
        <v>Davrizojol</v>
      </c>
      <c r="O80" s="119"/>
      <c r="P80" s="119"/>
    </row>
    <row r="81">
      <c r="B81" s="157">
        <f>IFERROR(__xludf.DUMMYFUNCTION("""COMPUTED_VALUE"""),46076.0)</f>
        <v>46076</v>
      </c>
      <c r="C81" s="158" t="str">
        <f>IFERROR(__xludf.DUMMYFUNCTION("""COMPUTED_VALUE"""),"MANDIE")</f>
        <v>MANDIE</v>
      </c>
      <c r="D81" s="158" t="str">
        <f>IFERROR(__xludf.DUMMYFUNCTION("""COMPUTED_VALUE"""),"HANDPHONE")</f>
        <v>HANDPHONE</v>
      </c>
      <c r="E81" s="159">
        <f>IFERROR(__xludf.DUMMYFUNCTION("""COMPUTED_VALUE"""),3.57703230036798E14)</f>
        <v>357703230036798</v>
      </c>
      <c r="F81" s="160" t="str">
        <f>IFERROR(__xludf.DUMMYFUNCTION("""COMPUTED_VALUE"""),"G-A56-5G 128GB BLACK (2025)")</f>
        <v>G-A56-5G 128GB BLACK (2025)</v>
      </c>
      <c r="G81" s="158" t="str">
        <f>IFERROR(__xludf.DUMMYFUNCTION("""COMPUTED_VALUE"""),"RETURN")</f>
        <v>RETURN</v>
      </c>
      <c r="H81" s="161">
        <f>IFERROR(__xludf.DUMMYFUNCTION("""COMPUTED_VALUE"""),46142.0)</f>
        <v>46142</v>
      </c>
      <c r="I81" s="158"/>
      <c r="J81" s="158" t="str">
        <f>IFERROR(__xludf.DUMMYFUNCTION("""COMPUTED_VALUE"""),"OLIV")</f>
        <v>OLIV</v>
      </c>
      <c r="K81" s="158" t="str">
        <f>IFERROR(__xludf.DUMMYFUNCTION("""COMPUTED_VALUE"""),"RAMADAN CAMPAIGN")</f>
        <v>RAMADAN CAMPAIGN</v>
      </c>
      <c r="L81" s="158" t="str">
        <f>IFERROR(__xludf.DUMMYFUNCTION("""COMPUTED_VALUE"""),"AVAILABLE IN AGENCY")</f>
        <v>AVAILABLE IN AGENCY</v>
      </c>
      <c r="M81" s="158" t="str">
        <f>IFERROR(__xludf.DUMMYFUNCTION("""COMPUTED_VALUE"""),"AVAILABLE")</f>
        <v>AVAILABLE</v>
      </c>
      <c r="N81" s="158" t="str">
        <f>IFERROR(__xludf.DUMMYFUNCTION("""COMPUTED_VALUE"""),"-")</f>
        <v>-</v>
      </c>
      <c r="O81" s="119"/>
      <c r="P81" s="119"/>
    </row>
    <row r="82">
      <c r="B82" s="157">
        <f>IFERROR(__xludf.DUMMYFUNCTION("""COMPUTED_VALUE"""),46076.0)</f>
        <v>46076</v>
      </c>
      <c r="C82" s="158" t="str">
        <f>IFERROR(__xludf.DUMMYFUNCTION("""COMPUTED_VALUE"""),"MANDIE")</f>
        <v>MANDIE</v>
      </c>
      <c r="D82" s="158" t="str">
        <f>IFERROR(__xludf.DUMMYFUNCTION("""COMPUTED_VALUE"""),"HANDPHONE")</f>
        <v>HANDPHONE</v>
      </c>
      <c r="E82" s="159">
        <f>IFERROR(__xludf.DUMMYFUNCTION("""COMPUTED_VALUE"""),3.54312420022502E14)</f>
        <v>354312420022502</v>
      </c>
      <c r="F82" s="160" t="str">
        <f>IFERROR(__xludf.DUMMYFUNCTION("""COMPUTED_VALUE"""),"G-Z-FLIP7 256GB DARK BLUE (2025)")</f>
        <v>G-Z-FLIP7 256GB DARK BLUE (2025)</v>
      </c>
      <c r="G82" s="158" t="str">
        <f>IFERROR(__xludf.DUMMYFUNCTION("""COMPUTED_VALUE"""),"RETURN")</f>
        <v>RETURN</v>
      </c>
      <c r="H82" s="161">
        <f>IFERROR(__xludf.DUMMYFUNCTION("""COMPUTED_VALUE"""),46142.0)</f>
        <v>46142</v>
      </c>
      <c r="I82" s="158"/>
      <c r="J82" s="158" t="str">
        <f>IFERROR(__xludf.DUMMYFUNCTION("""COMPUTED_VALUE"""),"OLIV")</f>
        <v>OLIV</v>
      </c>
      <c r="K82" s="158" t="str">
        <f>IFERROR(__xludf.DUMMYFUNCTION("""COMPUTED_VALUE"""),"RAMADAN CAMPAIGN")</f>
        <v>RAMADAN CAMPAIGN</v>
      </c>
      <c r="L82" s="158" t="str">
        <f>IFERROR(__xludf.DUMMYFUNCTION("""COMPUTED_VALUE"""),"AVAILABLE IN AGENCY")</f>
        <v>AVAILABLE IN AGENCY</v>
      </c>
      <c r="M82" s="158" t="str">
        <f>IFERROR(__xludf.DUMMYFUNCTION("""COMPUTED_VALUE"""),"LOANED / ON KOL")</f>
        <v>LOANED / ON KOL</v>
      </c>
      <c r="N82" s="158" t="str">
        <f>IFERROR(__xludf.DUMMYFUNCTION("""COMPUTED_VALUE"""),"Zahral  Antika")</f>
        <v>Zahral  Antika</v>
      </c>
      <c r="O82" s="119"/>
      <c r="P82" s="119"/>
    </row>
    <row r="83">
      <c r="B83" s="157">
        <f>IFERROR(__xludf.DUMMYFUNCTION("""COMPUTED_VALUE"""),46076.0)</f>
        <v>46076</v>
      </c>
      <c r="C83" s="158" t="str">
        <f>IFERROR(__xludf.DUMMYFUNCTION("""COMPUTED_VALUE"""),"MANDIE")</f>
        <v>MANDIE</v>
      </c>
      <c r="D83" s="158" t="str">
        <f>IFERROR(__xludf.DUMMYFUNCTION("""COMPUTED_VALUE"""),"WEARABLES")</f>
        <v>WEARABLES</v>
      </c>
      <c r="E83" s="159"/>
      <c r="F83" s="160" t="str">
        <f>IFERROR(__xludf.DUMMYFUNCTION("""COMPUTED_VALUE"""),"G-WATCH8 40MM DARK GRAY")</f>
        <v>G-WATCH8 40MM DARK GRAY</v>
      </c>
      <c r="G83" s="158" t="str">
        <f>IFERROR(__xludf.DUMMYFUNCTION("""COMPUTED_VALUE"""),"RETURN")</f>
        <v>RETURN</v>
      </c>
      <c r="H83" s="161">
        <f>IFERROR(__xludf.DUMMYFUNCTION("""COMPUTED_VALUE"""),46142.0)</f>
        <v>46142</v>
      </c>
      <c r="I83" s="158"/>
      <c r="J83" s="158" t="str">
        <f>IFERROR(__xludf.DUMMYFUNCTION("""COMPUTED_VALUE"""),"OLIV")</f>
        <v>OLIV</v>
      </c>
      <c r="K83" s="158" t="str">
        <f>IFERROR(__xludf.DUMMYFUNCTION("""COMPUTED_VALUE"""),"RAMADAN CAMPAIGN")</f>
        <v>RAMADAN CAMPAIGN</v>
      </c>
      <c r="L83" s="158" t="str">
        <f>IFERROR(__xludf.DUMMYFUNCTION("""COMPUTED_VALUE"""),"AVAILABLE IN AGENCY")</f>
        <v>AVAILABLE IN AGENCY</v>
      </c>
      <c r="M83" s="158" t="str">
        <f>IFERROR(__xludf.DUMMYFUNCTION("""COMPUTED_VALUE"""),"LOANED / ON KOL")</f>
        <v>LOANED / ON KOL</v>
      </c>
      <c r="N83" s="158" t="str">
        <f>IFERROR(__xludf.DUMMYFUNCTION("""COMPUTED_VALUE"""),"Zuhair")</f>
        <v>Zuhair</v>
      </c>
      <c r="O83" s="119"/>
      <c r="P83" s="119"/>
    </row>
    <row r="84">
      <c r="B84" s="157">
        <f>IFERROR(__xludf.DUMMYFUNCTION("""COMPUTED_VALUE"""),46076.0)</f>
        <v>46076</v>
      </c>
      <c r="C84" s="158" t="str">
        <f>IFERROR(__xludf.DUMMYFUNCTION("""COMPUTED_VALUE"""),"MANDIE")</f>
        <v>MANDIE</v>
      </c>
      <c r="D84" s="158" t="str">
        <f>IFERROR(__xludf.DUMMYFUNCTION("""COMPUTED_VALUE"""),"WEARABLES")</f>
        <v>WEARABLES</v>
      </c>
      <c r="E84" s="159"/>
      <c r="F84" s="160" t="str">
        <f>IFERROR(__xludf.DUMMYFUNCTION("""COMPUTED_VALUE"""),"G-WATCH8 40MM SILVER (2025)")</f>
        <v>G-WATCH8 40MM SILVER (2025)</v>
      </c>
      <c r="G84" s="158" t="str">
        <f>IFERROR(__xludf.DUMMYFUNCTION("""COMPUTED_VALUE"""),"RETURN")</f>
        <v>RETURN</v>
      </c>
      <c r="H84" s="161">
        <f>IFERROR(__xludf.DUMMYFUNCTION("""COMPUTED_VALUE"""),46142.0)</f>
        <v>46142</v>
      </c>
      <c r="I84" s="158"/>
      <c r="J84" s="158" t="str">
        <f>IFERROR(__xludf.DUMMYFUNCTION("""COMPUTED_VALUE"""),"OLIV")</f>
        <v>OLIV</v>
      </c>
      <c r="K84" s="158" t="str">
        <f>IFERROR(__xludf.DUMMYFUNCTION("""COMPUTED_VALUE"""),"RAMADAN CAMPAIGN")</f>
        <v>RAMADAN CAMPAIGN</v>
      </c>
      <c r="L84" s="158" t="str">
        <f>IFERROR(__xludf.DUMMYFUNCTION("""COMPUTED_VALUE"""),"AVAILABLE IN AGENCY")</f>
        <v>AVAILABLE IN AGENCY</v>
      </c>
      <c r="M84" s="158" t="str">
        <f>IFERROR(__xludf.DUMMYFUNCTION("""COMPUTED_VALUE"""),"LOANED / ON KOL")</f>
        <v>LOANED / ON KOL</v>
      </c>
      <c r="N84" s="158" t="str">
        <f>IFERROR(__xludf.DUMMYFUNCTION("""COMPUTED_VALUE"""),"Shafa Lubis")</f>
        <v>Shafa Lubis</v>
      </c>
      <c r="O84" s="119"/>
      <c r="P84" s="119"/>
    </row>
    <row r="85">
      <c r="B85" s="157">
        <f>IFERROR(__xludf.DUMMYFUNCTION("""COMPUTED_VALUE"""),46076.0)</f>
        <v>46076</v>
      </c>
      <c r="C85" s="158" t="str">
        <f>IFERROR(__xludf.DUMMYFUNCTION("""COMPUTED_VALUE"""),"MANDIE")</f>
        <v>MANDIE</v>
      </c>
      <c r="D85" s="158" t="str">
        <f>IFERROR(__xludf.DUMMYFUNCTION("""COMPUTED_VALUE"""),"BUDS")</f>
        <v>BUDS</v>
      </c>
      <c r="E85" s="159"/>
      <c r="F85" s="160" t="str">
        <f>IFERROR(__xludf.DUMMYFUNCTION("""COMPUTED_VALUE"""),"G-BUDS3-FE GRAY (2025)")</f>
        <v>G-BUDS3-FE GRAY (2025)</v>
      </c>
      <c r="G85" s="158" t="str">
        <f>IFERROR(__xludf.DUMMYFUNCTION("""COMPUTED_VALUE"""),"RETURN")</f>
        <v>RETURN</v>
      </c>
      <c r="H85" s="161">
        <f>IFERROR(__xludf.DUMMYFUNCTION("""COMPUTED_VALUE"""),46142.0)</f>
        <v>46142</v>
      </c>
      <c r="I85" s="158"/>
      <c r="J85" s="158" t="str">
        <f>IFERROR(__xludf.DUMMYFUNCTION("""COMPUTED_VALUE"""),"OLIV")</f>
        <v>OLIV</v>
      </c>
      <c r="K85" s="158" t="str">
        <f>IFERROR(__xludf.DUMMYFUNCTION("""COMPUTED_VALUE"""),"RAMADAN CAMPAIGN")</f>
        <v>RAMADAN CAMPAIGN</v>
      </c>
      <c r="L85" s="158" t="str">
        <f>IFERROR(__xludf.DUMMYFUNCTION("""COMPUTED_VALUE"""),"AVAILABLE IN AGENCY")</f>
        <v>AVAILABLE IN AGENCY</v>
      </c>
      <c r="M85" s="158" t="str">
        <f>IFERROR(__xludf.DUMMYFUNCTION("""COMPUTED_VALUE"""),"LOANED / ON KOL")</f>
        <v>LOANED / ON KOL</v>
      </c>
      <c r="N85" s="158" t="str">
        <f>IFERROR(__xludf.DUMMYFUNCTION("""COMPUTED_VALUE"""),"Zuhair")</f>
        <v>Zuhair</v>
      </c>
      <c r="O85" s="119"/>
      <c r="P85" s="119"/>
    </row>
    <row r="86">
      <c r="B86" s="157">
        <f>IFERROR(__xludf.DUMMYFUNCTION("""COMPUTED_VALUE"""),46076.0)</f>
        <v>46076</v>
      </c>
      <c r="C86" s="158" t="str">
        <f>IFERROR(__xludf.DUMMYFUNCTION("""COMPUTED_VALUE"""),"MANDIE")</f>
        <v>MANDIE</v>
      </c>
      <c r="D86" s="158" t="str">
        <f>IFERROR(__xludf.DUMMYFUNCTION("""COMPUTED_VALUE"""),"HANDPHONE")</f>
        <v>HANDPHONE</v>
      </c>
      <c r="E86" s="159">
        <f>IFERROR(__xludf.DUMMYFUNCTION("""COMPUTED_VALUE"""),3.51298320043586E14)</f>
        <v>351298320043586</v>
      </c>
      <c r="F86" s="160" t="str">
        <f>IFERROR(__xludf.DUMMYFUNCTION("""COMPUTED_VALUE"""),"G-S25-FE 256GB BLACK (2025)")</f>
        <v>G-S25-FE 256GB BLACK (2025)</v>
      </c>
      <c r="G86" s="158" t="str">
        <f>IFERROR(__xludf.DUMMYFUNCTION("""COMPUTED_VALUE"""),"RETURN")</f>
        <v>RETURN</v>
      </c>
      <c r="H86" s="161">
        <f>IFERROR(__xludf.DUMMYFUNCTION("""COMPUTED_VALUE"""),46142.0)</f>
        <v>46142</v>
      </c>
      <c r="I86" s="158"/>
      <c r="J86" s="158" t="str">
        <f>IFERROR(__xludf.DUMMYFUNCTION("""COMPUTED_VALUE"""),"OLIV")</f>
        <v>OLIV</v>
      </c>
      <c r="K86" s="158" t="str">
        <f>IFERROR(__xludf.DUMMYFUNCTION("""COMPUTED_VALUE"""),"RAMADAN CAMPAIGN")</f>
        <v>RAMADAN CAMPAIGN</v>
      </c>
      <c r="L86" s="158" t="str">
        <f>IFERROR(__xludf.DUMMYFUNCTION("""COMPUTED_VALUE"""),"AVAILABLE IN AGENCY")</f>
        <v>AVAILABLE IN AGENCY</v>
      </c>
      <c r="M86" s="158" t="str">
        <f>IFERROR(__xludf.DUMMYFUNCTION("""COMPUTED_VALUE"""),"LOANED / ON KOL")</f>
        <v>LOANED / ON KOL</v>
      </c>
      <c r="N86" s="158" t="str">
        <f>IFERROR(__xludf.DUMMYFUNCTION("""COMPUTED_VALUE"""),"Azzura Bisyir")</f>
        <v>Azzura Bisyir</v>
      </c>
      <c r="O86" s="119"/>
      <c r="P86" s="119"/>
    </row>
    <row r="87">
      <c r="B87" s="157">
        <f>IFERROR(__xludf.DUMMYFUNCTION("""COMPUTED_VALUE"""),46076.0)</f>
        <v>46076</v>
      </c>
      <c r="C87" s="158" t="str">
        <f>IFERROR(__xludf.DUMMYFUNCTION("""COMPUTED_VALUE"""),"MANDIE")</f>
        <v>MANDIE</v>
      </c>
      <c r="D87" s="158" t="str">
        <f>IFERROR(__xludf.DUMMYFUNCTION("""COMPUTED_VALUE"""),"HANDPHONE")</f>
        <v>HANDPHONE</v>
      </c>
      <c r="E87" s="159">
        <f>IFERROR(__xludf.DUMMYFUNCTION("""COMPUTED_VALUE"""),3.54922130015404E14)</f>
        <v>354922130015404</v>
      </c>
      <c r="F87" s="160" t="str">
        <f>IFERROR(__xludf.DUMMYFUNCTION("""COMPUTED_VALUE"""),"G-S25-EDGE 256GB SILVER (2025)")</f>
        <v>G-S25-EDGE 256GB SILVER (2025)</v>
      </c>
      <c r="G87" s="158" t="str">
        <f>IFERROR(__xludf.DUMMYFUNCTION("""COMPUTED_VALUE"""),"RETURN")</f>
        <v>RETURN</v>
      </c>
      <c r="H87" s="161">
        <f>IFERROR(__xludf.DUMMYFUNCTION("""COMPUTED_VALUE"""),46142.0)</f>
        <v>46142</v>
      </c>
      <c r="I87" s="158"/>
      <c r="J87" s="158" t="str">
        <f>IFERROR(__xludf.DUMMYFUNCTION("""COMPUTED_VALUE"""),"OLIV")</f>
        <v>OLIV</v>
      </c>
      <c r="K87" s="158" t="str">
        <f>IFERROR(__xludf.DUMMYFUNCTION("""COMPUTED_VALUE"""),"RAMADAN CAMPAIGN")</f>
        <v>RAMADAN CAMPAIGN</v>
      </c>
      <c r="L87" s="158" t="str">
        <f>IFERROR(__xludf.DUMMYFUNCTION("""COMPUTED_VALUE"""),"AVAILABLE IN AGENCY")</f>
        <v>AVAILABLE IN AGENCY</v>
      </c>
      <c r="M87" s="158" t="str">
        <f>IFERROR(__xludf.DUMMYFUNCTION("""COMPUTED_VALUE"""),"AVAILABLE")</f>
        <v>AVAILABLE</v>
      </c>
      <c r="N87" s="158" t="str">
        <f>IFERROR(__xludf.DUMMYFUNCTION("""COMPUTED_VALUE"""),"-")</f>
        <v>-</v>
      </c>
      <c r="O87" s="119"/>
      <c r="P87" s="119"/>
    </row>
    <row r="88">
      <c r="B88" s="157">
        <f>IFERROR(__xludf.DUMMYFUNCTION("""COMPUTED_VALUE"""),46076.0)</f>
        <v>46076</v>
      </c>
      <c r="C88" s="158" t="str">
        <f>IFERROR(__xludf.DUMMYFUNCTION("""COMPUTED_VALUE"""),"MANDIE")</f>
        <v>MANDIE</v>
      </c>
      <c r="D88" s="158" t="str">
        <f>IFERROR(__xludf.DUMMYFUNCTION("""COMPUTED_VALUE"""),"TAB")</f>
        <v>TAB</v>
      </c>
      <c r="E88" s="159">
        <f>IFERROR(__xludf.DUMMYFUNCTION("""COMPUTED_VALUE"""),3.58387120010078E14)</f>
        <v>358387120010078</v>
      </c>
      <c r="F88" s="160" t="str">
        <f>IFERROR(__xludf.DUMMYFUNCTION("""COMPUTED_VALUE"""),"G-TAB--S11-ULTRA-5G GRAY (2025)")</f>
        <v>G-TAB--S11-ULTRA-5G GRAY (2025)</v>
      </c>
      <c r="G88" s="158" t="str">
        <f>IFERROR(__xludf.DUMMYFUNCTION("""COMPUTED_VALUE"""),"RETURN")</f>
        <v>RETURN</v>
      </c>
      <c r="H88" s="161">
        <f>IFERROR(__xludf.DUMMYFUNCTION("""COMPUTED_VALUE"""),46142.0)</f>
        <v>46142</v>
      </c>
      <c r="I88" s="158"/>
      <c r="J88" s="158" t="str">
        <f>IFERROR(__xludf.DUMMYFUNCTION("""COMPUTED_VALUE"""),"OLIV")</f>
        <v>OLIV</v>
      </c>
      <c r="K88" s="158" t="str">
        <f>IFERROR(__xludf.DUMMYFUNCTION("""COMPUTED_VALUE"""),"RAMADAN CAMPAIGN")</f>
        <v>RAMADAN CAMPAIGN</v>
      </c>
      <c r="L88" s="158" t="str">
        <f>IFERROR(__xludf.DUMMYFUNCTION("""COMPUTED_VALUE"""),"AVAILABLE IN AGENCY")</f>
        <v>AVAILABLE IN AGENCY</v>
      </c>
      <c r="M88" s="158" t="str">
        <f>IFERROR(__xludf.DUMMYFUNCTION("""COMPUTED_VALUE"""),"LOANED / ON KOL")</f>
        <v>LOANED / ON KOL</v>
      </c>
      <c r="N88" s="158" t="str">
        <f>IFERROR(__xludf.DUMMYFUNCTION("""COMPUTED_VALUE"""),"Taufanoz")</f>
        <v>Taufanoz</v>
      </c>
      <c r="O88" s="119"/>
      <c r="P88" s="119"/>
    </row>
    <row r="89">
      <c r="B89" s="157">
        <f>IFERROR(__xludf.DUMMYFUNCTION("""COMPUTED_VALUE"""),46076.0)</f>
        <v>46076</v>
      </c>
      <c r="C89" s="158"/>
      <c r="D89" s="158" t="str">
        <f>IFERROR(__xludf.DUMMYFUNCTION("""COMPUTED_VALUE"""),"HANDPHONE")</f>
        <v>HANDPHONE</v>
      </c>
      <c r="E89" s="159">
        <f>IFERROR(__xludf.DUMMYFUNCTION("""COMPUTED_VALUE"""),3.54922130009894E14)</f>
        <v>354922130009894</v>
      </c>
      <c r="F89" s="160" t="str">
        <f>IFERROR(__xludf.DUMMYFUNCTION("""COMPUTED_VALUE"""),"G-S25-EDGE 256GB SILVER")</f>
        <v>G-S25-EDGE 256GB SILVER</v>
      </c>
      <c r="G89" s="158" t="str">
        <f>IFERROR(__xludf.DUMMYFUNCTION("""COMPUTED_VALUE"""),"RETURN")</f>
        <v>RETURN</v>
      </c>
      <c r="H89" s="161"/>
      <c r="I89" s="158"/>
      <c r="J89" s="158" t="str">
        <f>IFERROR(__xludf.DUMMYFUNCTION("""COMPUTED_VALUE"""),"TASHYA")</f>
        <v>TASHYA</v>
      </c>
      <c r="K89" s="158"/>
      <c r="L89" s="158" t="str">
        <f>IFERROR(__xludf.DUMMYFUNCTION("""COMPUTED_VALUE"""),"AVAILABLE IN AGENCY")</f>
        <v>AVAILABLE IN AGENCY</v>
      </c>
      <c r="M89" s="158" t="str">
        <f>IFERROR(__xludf.DUMMYFUNCTION("""COMPUTED_VALUE"""),"AVAILABLE")</f>
        <v>AVAILABLE</v>
      </c>
      <c r="N89" s="158" t="str">
        <f>IFERROR(__xludf.DUMMYFUNCTION("""COMPUTED_VALUE"""),"-")</f>
        <v>-</v>
      </c>
      <c r="O89" s="119"/>
      <c r="P89" s="119" t="str">
        <f>IFERROR(__xludf.DUMMYFUNCTION("""COMPUTED_VALUE"""),"Pinnya belum tau")</f>
        <v>Pinnya belum tau</v>
      </c>
    </row>
    <row r="90">
      <c r="B90" s="157">
        <f>IFERROR(__xludf.DUMMYFUNCTION("""COMPUTED_VALUE"""),46076.0)</f>
        <v>46076</v>
      </c>
      <c r="C90" s="158"/>
      <c r="D90" s="158" t="str">
        <f>IFERROR(__xludf.DUMMYFUNCTION("""COMPUTED_VALUE"""),"WEARABLES")</f>
        <v>WEARABLES</v>
      </c>
      <c r="E90" s="159"/>
      <c r="F90" s="160" t="str">
        <f>IFERROR(__xludf.DUMMYFUNCTION("""COMPUTED_VALUE"""),"G-WATCH8 40MM SILVER (2025)")</f>
        <v>G-WATCH8 40MM SILVER (2025)</v>
      </c>
      <c r="G90" s="158" t="str">
        <f>IFERROR(__xludf.DUMMYFUNCTION("""COMPUTED_VALUE"""),"RETURN")</f>
        <v>RETURN</v>
      </c>
      <c r="H90" s="161"/>
      <c r="I90" s="158"/>
      <c r="J90" s="158" t="str">
        <f>IFERROR(__xludf.DUMMYFUNCTION("""COMPUTED_VALUE"""),"ABIGAIL")</f>
        <v>ABIGAIL</v>
      </c>
      <c r="K90" s="158"/>
      <c r="L90" s="158" t="str">
        <f>IFERROR(__xludf.DUMMYFUNCTION("""COMPUTED_VALUE"""),"AVAILABLE IN AGENCY")</f>
        <v>AVAILABLE IN AGENCY</v>
      </c>
      <c r="M90" s="158" t="str">
        <f>IFERROR(__xludf.DUMMYFUNCTION("""COMPUTED_VALUE"""),"LOANED / ON KOL")</f>
        <v>LOANED / ON KOL</v>
      </c>
      <c r="N90" s="158" t="str">
        <f>IFERROR(__xludf.DUMMYFUNCTION("""COMPUTED_VALUE"""),"Don (Ambil Hati Agency_")</f>
        <v>Don (Ambil Hati Agency_</v>
      </c>
      <c r="O90" s="119"/>
      <c r="P90" s="119"/>
    </row>
    <row r="91">
      <c r="B91" s="157">
        <f>IFERROR(__xludf.DUMMYFUNCTION("""COMPUTED_VALUE"""),46076.0)</f>
        <v>46076</v>
      </c>
      <c r="C91" s="158"/>
      <c r="D91" s="158" t="str">
        <f>IFERROR(__xludf.DUMMYFUNCTION("""COMPUTED_VALUE"""),"BUDS")</f>
        <v>BUDS</v>
      </c>
      <c r="E91" s="159"/>
      <c r="F91" s="160" t="str">
        <f>IFERROR(__xludf.DUMMYFUNCTION("""COMPUTED_VALUE"""),"G-BUDS3-FE WHITE")</f>
        <v>G-BUDS3-FE WHITE</v>
      </c>
      <c r="G91" s="158" t="str">
        <f>IFERROR(__xludf.DUMMYFUNCTION("""COMPUTED_VALUE"""),"RETURN")</f>
        <v>RETURN</v>
      </c>
      <c r="H91" s="161"/>
      <c r="I91" s="158"/>
      <c r="J91" s="158" t="str">
        <f>IFERROR(__xludf.DUMMYFUNCTION("""COMPUTED_VALUE"""),"ABIGAIL")</f>
        <v>ABIGAIL</v>
      </c>
      <c r="K91" s="158"/>
      <c r="L91" s="158" t="str">
        <f>IFERROR(__xludf.DUMMYFUNCTION("""COMPUTED_VALUE"""),"AVAILABLE IN AGENCY")</f>
        <v>AVAILABLE IN AGENCY</v>
      </c>
      <c r="M91" s="158" t="str">
        <f>IFERROR(__xludf.DUMMYFUNCTION("""COMPUTED_VALUE"""),"AVAILABLE")</f>
        <v>AVAILABLE</v>
      </c>
      <c r="N91" s="158" t="str">
        <f>IFERROR(__xludf.DUMMYFUNCTION("""COMPUTED_VALUE"""),"-")</f>
        <v>-</v>
      </c>
      <c r="O91" s="119"/>
      <c r="P91" s="119" t="str">
        <f>IFERROR(__xludf.DUMMYFUNCTION("""COMPUTED_VALUE"""),"Box Only")</f>
        <v>Box Only</v>
      </c>
    </row>
    <row r="92">
      <c r="B92" s="157">
        <f>IFERROR(__xludf.DUMMYFUNCTION("""COMPUTED_VALUE"""),46076.0)</f>
        <v>46076</v>
      </c>
      <c r="C92" s="158"/>
      <c r="D92" s="158" t="str">
        <f>IFERROR(__xludf.DUMMYFUNCTION("""COMPUTED_VALUE"""),"WEARABLES")</f>
        <v>WEARABLES</v>
      </c>
      <c r="E92" s="159"/>
      <c r="F92" s="160" t="str">
        <f>IFERROR(__xludf.DUMMYFUNCTION("""COMPUTED_VALUE"""),"G-WATCH8 GRAPHITE")</f>
        <v>G-WATCH8 GRAPHITE</v>
      </c>
      <c r="G92" s="158" t="str">
        <f>IFERROR(__xludf.DUMMYFUNCTION("""COMPUTED_VALUE"""),"RETURN")</f>
        <v>RETURN</v>
      </c>
      <c r="H92" s="161"/>
      <c r="I92" s="158"/>
      <c r="J92" s="158" t="str">
        <f>IFERROR(__xludf.DUMMYFUNCTION("""COMPUTED_VALUE"""),"ABIGAIL")</f>
        <v>ABIGAIL</v>
      </c>
      <c r="K92" s="158"/>
      <c r="L92" s="158" t="str">
        <f>IFERROR(__xludf.DUMMYFUNCTION("""COMPUTED_VALUE"""),"AVAILABLE IN AGENCY")</f>
        <v>AVAILABLE IN AGENCY</v>
      </c>
      <c r="M92" s="158" t="str">
        <f>IFERROR(__xludf.DUMMYFUNCTION("""COMPUTED_VALUE"""),"AVAILABLE")</f>
        <v>AVAILABLE</v>
      </c>
      <c r="N92" s="158" t="str">
        <f>IFERROR(__xludf.DUMMYFUNCTION("""COMPUTED_VALUE"""),"-")</f>
        <v>-</v>
      </c>
      <c r="O92" s="119"/>
      <c r="P92" s="119"/>
    </row>
    <row r="93">
      <c r="B93" s="157">
        <f>IFERROR(__xludf.DUMMYFUNCTION("""COMPUTED_VALUE"""),46076.0)</f>
        <v>46076</v>
      </c>
      <c r="C93" s="158"/>
      <c r="D93" s="158" t="str">
        <f>IFERROR(__xludf.DUMMYFUNCTION("""COMPUTED_VALUE"""),"WEARABLES")</f>
        <v>WEARABLES</v>
      </c>
      <c r="E93" s="159"/>
      <c r="F93" s="160" t="str">
        <f>IFERROR(__xludf.DUMMYFUNCTION("""COMPUTED_VALUE"""),"G-WATCH8 GRAPHITE")</f>
        <v>G-WATCH8 GRAPHITE</v>
      </c>
      <c r="G93" s="158" t="str">
        <f>IFERROR(__xludf.DUMMYFUNCTION("""COMPUTED_VALUE"""),"RETURN")</f>
        <v>RETURN</v>
      </c>
      <c r="H93" s="161"/>
      <c r="I93" s="158"/>
      <c r="J93" s="158" t="str">
        <f>IFERROR(__xludf.DUMMYFUNCTION("""COMPUTED_VALUE"""),"ABIGAIL")</f>
        <v>ABIGAIL</v>
      </c>
      <c r="K93" s="158"/>
      <c r="L93" s="158" t="str">
        <f>IFERROR(__xludf.DUMMYFUNCTION("""COMPUTED_VALUE"""),"AVAILABLE IN AGENCY")</f>
        <v>AVAILABLE IN AGENCY</v>
      </c>
      <c r="M93" s="158" t="str">
        <f>IFERROR(__xludf.DUMMYFUNCTION("""COMPUTED_VALUE"""),"AVAILABLE")</f>
        <v>AVAILABLE</v>
      </c>
      <c r="N93" s="158" t="str">
        <f>IFERROR(__xludf.DUMMYFUNCTION("""COMPUTED_VALUE"""),"-")</f>
        <v>-</v>
      </c>
      <c r="O93" s="119"/>
      <c r="P93" s="119"/>
    </row>
    <row r="94">
      <c r="B94" s="157">
        <f>IFERROR(__xludf.DUMMYFUNCTION("""COMPUTED_VALUE"""),46076.0)</f>
        <v>46076</v>
      </c>
      <c r="C94" s="158"/>
      <c r="D94" s="158" t="str">
        <f>IFERROR(__xludf.DUMMYFUNCTION("""COMPUTED_VALUE"""),"WEARABLES")</f>
        <v>WEARABLES</v>
      </c>
      <c r="E94" s="159"/>
      <c r="F94" s="160" t="str">
        <f>IFERROR(__xludf.DUMMYFUNCTION("""COMPUTED_VALUE"""),"G-WATCH8 GRAPHITE")</f>
        <v>G-WATCH8 GRAPHITE</v>
      </c>
      <c r="G94" s="158" t="str">
        <f>IFERROR(__xludf.DUMMYFUNCTION("""COMPUTED_VALUE"""),"RETURN")</f>
        <v>RETURN</v>
      </c>
      <c r="H94" s="161"/>
      <c r="I94" s="158"/>
      <c r="J94" s="158" t="str">
        <f>IFERROR(__xludf.DUMMYFUNCTION("""COMPUTED_VALUE"""),"ABIGAIL")</f>
        <v>ABIGAIL</v>
      </c>
      <c r="K94" s="158"/>
      <c r="L94" s="158" t="str">
        <f>IFERROR(__xludf.DUMMYFUNCTION("""COMPUTED_VALUE"""),"AVAILABLE IN AGENCY")</f>
        <v>AVAILABLE IN AGENCY</v>
      </c>
      <c r="M94" s="158" t="str">
        <f>IFERROR(__xludf.DUMMYFUNCTION("""COMPUTED_VALUE"""),"LOANED / ON KOL")</f>
        <v>LOANED / ON KOL</v>
      </c>
      <c r="N94" s="158" t="str">
        <f>IFERROR(__xludf.DUMMYFUNCTION("""COMPUTED_VALUE"""),"Putu Aditya (Govinda Rumi)")</f>
        <v>Putu Aditya (Govinda Rumi)</v>
      </c>
      <c r="O94" s="119"/>
      <c r="P94" s="119"/>
    </row>
    <row r="95">
      <c r="B95" s="157">
        <f>IFERROR(__xludf.DUMMYFUNCTION("""COMPUTED_VALUE"""),46077.0)</f>
        <v>46077</v>
      </c>
      <c r="C95" s="158" t="str">
        <f>IFERROR(__xludf.DUMMYFUNCTION("""COMPUTED_VALUE"""),"ANNELA")</f>
        <v>ANNELA</v>
      </c>
      <c r="D95" s="158" t="str">
        <f>IFERROR(__xludf.DUMMYFUNCTION("""COMPUTED_VALUE"""),"HANDPHONE")</f>
        <v>HANDPHONE</v>
      </c>
      <c r="E95" s="159">
        <f>IFERROR(__xludf.DUMMYFUNCTION("""COMPUTED_VALUE"""),3.58780495000767E14)</f>
        <v>358780495000767</v>
      </c>
      <c r="F95" s="160" t="str">
        <f>IFERROR(__xludf.DUMMYFUNCTION("""COMPUTED_VALUE"""),"G-S26-ULTRA 256GB SILVER")</f>
        <v>G-S26-ULTRA 256GB SILVER</v>
      </c>
      <c r="G95" s="158" t="str">
        <f>IFERROR(__xludf.DUMMYFUNCTION("""COMPUTED_VALUE"""),"RETURN")</f>
        <v>RETURN</v>
      </c>
      <c r="H95" s="161">
        <f>IFERROR(__xludf.DUMMYFUNCTION("""COMPUTED_VALUE"""),46265.0)</f>
        <v>46265</v>
      </c>
      <c r="I95" s="158"/>
      <c r="J95" s="158" t="str">
        <f>IFERROR(__xludf.DUMMYFUNCTION("""COMPUTED_VALUE"""),"ALIYA")</f>
        <v>ALIYA</v>
      </c>
      <c r="K95" s="158" t="str">
        <f>IFERROR(__xludf.DUMMYFUNCTION("""COMPUTED_VALUE"""),"Miracle")</f>
        <v>Miracle</v>
      </c>
      <c r="L95" s="158" t="str">
        <f>IFERROR(__xludf.DUMMYFUNCTION("""COMPUTED_VALUE"""),"AVAILABLE IN AGENCY")</f>
        <v>AVAILABLE IN AGENCY</v>
      </c>
      <c r="M95" s="158" t="str">
        <f>IFERROR(__xludf.DUMMYFUNCTION("""COMPUTED_VALUE"""),"LOANED / ON KOL")</f>
        <v>LOANED / ON KOL</v>
      </c>
      <c r="N95" s="158" t="str">
        <f>IFERROR(__xludf.DUMMYFUNCTION("""COMPUTED_VALUE"""),"Nona")</f>
        <v>Nona</v>
      </c>
      <c r="O95" s="119"/>
      <c r="P95" s="119"/>
    </row>
    <row r="96">
      <c r="B96" s="157">
        <f>IFERROR(__xludf.DUMMYFUNCTION("""COMPUTED_VALUE"""),46077.0)</f>
        <v>46077</v>
      </c>
      <c r="C96" s="158" t="str">
        <f>IFERROR(__xludf.DUMMYFUNCTION("""COMPUTED_VALUE"""),"ANNELA")</f>
        <v>ANNELA</v>
      </c>
      <c r="D96" s="158" t="str">
        <f>IFERROR(__xludf.DUMMYFUNCTION("""COMPUTED_VALUE"""),"HANDPHONE")</f>
        <v>HANDPHONE</v>
      </c>
      <c r="E96" s="159">
        <f>IFERROR(__xludf.DUMMYFUNCTION("""COMPUTED_VALUE"""),3.58780495015658E14)</f>
        <v>358780495015658</v>
      </c>
      <c r="F96" s="160" t="str">
        <f>IFERROR(__xludf.DUMMYFUNCTION("""COMPUTED_VALUE"""),"G-S26-ULTRA 256GB COBALT VIOLET")</f>
        <v>G-S26-ULTRA 256GB COBALT VIOLET</v>
      </c>
      <c r="G96" s="158" t="str">
        <f>IFERROR(__xludf.DUMMYFUNCTION("""COMPUTED_VALUE"""),"RETURN")</f>
        <v>RETURN</v>
      </c>
      <c r="H96" s="161">
        <f>IFERROR(__xludf.DUMMYFUNCTION("""COMPUTED_VALUE"""),46265.0)</f>
        <v>46265</v>
      </c>
      <c r="I96" s="158"/>
      <c r="J96" s="158" t="str">
        <f>IFERROR(__xludf.DUMMYFUNCTION("""COMPUTED_VALUE"""),"ALIYA")</f>
        <v>ALIYA</v>
      </c>
      <c r="K96" s="158" t="str">
        <f>IFERROR(__xludf.DUMMYFUNCTION("""COMPUTED_VALUE"""),"Miracle")</f>
        <v>Miracle</v>
      </c>
      <c r="L96" s="158" t="str">
        <f>IFERROR(__xludf.DUMMYFUNCTION("""COMPUTED_VALUE"""),"AVAILABLE IN AGENCY")</f>
        <v>AVAILABLE IN AGENCY</v>
      </c>
      <c r="M96" s="158" t="str">
        <f>IFERROR(__xludf.DUMMYFUNCTION("""COMPUTED_VALUE"""),"LOANED / ON KOL")</f>
        <v>LOANED / ON KOL</v>
      </c>
      <c r="N96" s="158" t="str">
        <f>IFERROR(__xludf.DUMMYFUNCTION("""COMPUTED_VALUE"""),"Jeffry Reksa")</f>
        <v>Jeffry Reksa</v>
      </c>
      <c r="O96" s="119"/>
      <c r="P96" s="119"/>
    </row>
    <row r="97">
      <c r="B97" s="157">
        <f>IFERROR(__xludf.DUMMYFUNCTION("""COMPUTED_VALUE"""),46077.0)</f>
        <v>46077</v>
      </c>
      <c r="C97" s="158" t="str">
        <f>IFERROR(__xludf.DUMMYFUNCTION("""COMPUTED_VALUE"""),"ANNELA")</f>
        <v>ANNELA</v>
      </c>
      <c r="D97" s="158" t="str">
        <f>IFERROR(__xludf.DUMMYFUNCTION("""COMPUTED_VALUE"""),"HANDPHONE")</f>
        <v>HANDPHONE</v>
      </c>
      <c r="E97" s="159">
        <f>IFERROR(__xludf.DUMMYFUNCTION("""COMPUTED_VALUE"""),3.52425615134999E14)</f>
        <v>352425615134999</v>
      </c>
      <c r="F97" s="160" t="str">
        <f>IFERROR(__xludf.DUMMYFUNCTION("""COMPUTED_VALUE"""),"G-S26-ULTRA 512GB BLACK")</f>
        <v>G-S26-ULTRA 512GB BLACK</v>
      </c>
      <c r="G97" s="158" t="str">
        <f>IFERROR(__xludf.DUMMYFUNCTION("""COMPUTED_VALUE"""),"RETURN")</f>
        <v>RETURN</v>
      </c>
      <c r="H97" s="161">
        <f>IFERROR(__xludf.DUMMYFUNCTION("""COMPUTED_VALUE"""),46265.0)</f>
        <v>46265</v>
      </c>
      <c r="I97" s="158"/>
      <c r="J97" s="158" t="str">
        <f>IFERROR(__xludf.DUMMYFUNCTION("""COMPUTED_VALUE"""),"ALIYA")</f>
        <v>ALIYA</v>
      </c>
      <c r="K97" s="158" t="str">
        <f>IFERROR(__xludf.DUMMYFUNCTION("""COMPUTED_VALUE"""),"Miracle")</f>
        <v>Miracle</v>
      </c>
      <c r="L97" s="158" t="str">
        <f>IFERROR(__xludf.DUMMYFUNCTION("""COMPUTED_VALUE"""),"AVAILABLE IN AGENCY")</f>
        <v>AVAILABLE IN AGENCY</v>
      </c>
      <c r="M97" s="158" t="str">
        <f>IFERROR(__xludf.DUMMYFUNCTION("""COMPUTED_VALUE"""),"AVAILABLE")</f>
        <v>AVAILABLE</v>
      </c>
      <c r="N97" s="158" t="str">
        <f>IFERROR(__xludf.DUMMYFUNCTION("""COMPUTED_VALUE"""),"-")</f>
        <v>-</v>
      </c>
      <c r="O97" s="119"/>
      <c r="P97" s="119"/>
    </row>
    <row r="98">
      <c r="B98" s="157">
        <f>IFERROR(__xludf.DUMMYFUNCTION("""COMPUTED_VALUE"""),46077.0)</f>
        <v>46077</v>
      </c>
      <c r="C98" s="158" t="str">
        <f>IFERROR(__xludf.DUMMYFUNCTION("""COMPUTED_VALUE"""),"ANNELA")</f>
        <v>ANNELA</v>
      </c>
      <c r="D98" s="158" t="str">
        <f>IFERROR(__xludf.DUMMYFUNCTION("""COMPUTED_VALUE"""),"HANDPHONE")</f>
        <v>HANDPHONE</v>
      </c>
      <c r="E98" s="159">
        <f>IFERROR(__xludf.DUMMYFUNCTION("""COMPUTED_VALUE"""),3.58780495000254E14)</f>
        <v>358780495000254</v>
      </c>
      <c r="F98" s="160" t="str">
        <f>IFERROR(__xludf.DUMMYFUNCTION("""COMPUTED_VALUE"""),"G-S26-ULTRA 256GB PINKGOLD")</f>
        <v>G-S26-ULTRA 256GB PINKGOLD</v>
      </c>
      <c r="G98" s="158" t="str">
        <f>IFERROR(__xludf.DUMMYFUNCTION("""COMPUTED_VALUE"""),"RETURN")</f>
        <v>RETURN</v>
      </c>
      <c r="H98" s="161">
        <f>IFERROR(__xludf.DUMMYFUNCTION("""COMPUTED_VALUE"""),46265.0)</f>
        <v>46265</v>
      </c>
      <c r="I98" s="158"/>
      <c r="J98" s="158" t="str">
        <f>IFERROR(__xludf.DUMMYFUNCTION("""COMPUTED_VALUE"""),"ALIYA")</f>
        <v>ALIYA</v>
      </c>
      <c r="K98" s="158" t="str">
        <f>IFERROR(__xludf.DUMMYFUNCTION("""COMPUTED_VALUE"""),"Miracle")</f>
        <v>Miracle</v>
      </c>
      <c r="L98" s="158" t="str">
        <f>IFERROR(__xludf.DUMMYFUNCTION("""COMPUTED_VALUE"""),"AVAILABLE IN AGENCY")</f>
        <v>AVAILABLE IN AGENCY</v>
      </c>
      <c r="M98" s="158" t="str">
        <f>IFERROR(__xludf.DUMMYFUNCTION("""COMPUTED_VALUE"""),"LOANED / ON KOL")</f>
        <v>LOANED / ON KOL</v>
      </c>
      <c r="N98" s="158" t="str">
        <f>IFERROR(__xludf.DUMMYFUNCTION("""COMPUTED_VALUE"""),"Pevent ")</f>
        <v>Pevent </v>
      </c>
      <c r="O98" s="119"/>
      <c r="P98" s="119"/>
    </row>
    <row r="99">
      <c r="B99" s="157">
        <f>IFERROR(__xludf.DUMMYFUNCTION("""COMPUTED_VALUE"""),46077.0)</f>
        <v>46077</v>
      </c>
      <c r="C99" s="158" t="str">
        <f>IFERROR(__xludf.DUMMYFUNCTION("""COMPUTED_VALUE"""),"ANNELA")</f>
        <v>ANNELA</v>
      </c>
      <c r="D99" s="158" t="str">
        <f>IFERROR(__xludf.DUMMYFUNCTION("""COMPUTED_VALUE"""),"HANDPHONE")</f>
        <v>HANDPHONE</v>
      </c>
      <c r="E99" s="159">
        <f>IFERROR(__xludf.DUMMYFUNCTION("""COMPUTED_VALUE"""),3.58780495001591E14)</f>
        <v>358780495001591</v>
      </c>
      <c r="F99" s="160" t="str">
        <f>IFERROR(__xludf.DUMMYFUNCTION("""COMPUTED_VALUE"""),"G-S26-ULTRA 256GB WHITE")</f>
        <v>G-S26-ULTRA 256GB WHITE</v>
      </c>
      <c r="G99" s="158" t="str">
        <f>IFERROR(__xludf.DUMMYFUNCTION("""COMPUTED_VALUE"""),"RETURN")</f>
        <v>RETURN</v>
      </c>
      <c r="H99" s="161">
        <f>IFERROR(__xludf.DUMMYFUNCTION("""COMPUTED_VALUE"""),46265.0)</f>
        <v>46265</v>
      </c>
      <c r="I99" s="158"/>
      <c r="J99" s="158" t="str">
        <f>IFERROR(__xludf.DUMMYFUNCTION("""COMPUTED_VALUE"""),"ALIYA")</f>
        <v>ALIYA</v>
      </c>
      <c r="K99" s="158" t="str">
        <f>IFERROR(__xludf.DUMMYFUNCTION("""COMPUTED_VALUE"""),"Miracle")</f>
        <v>Miracle</v>
      </c>
      <c r="L99" s="158" t="str">
        <f>IFERROR(__xludf.DUMMYFUNCTION("""COMPUTED_VALUE"""),"AVAILABLE IN AGENCY")</f>
        <v>AVAILABLE IN AGENCY</v>
      </c>
      <c r="M99" s="158" t="str">
        <f>IFERROR(__xludf.DUMMYFUNCTION("""COMPUTED_VALUE"""),"LOANED / ON KOL")</f>
        <v>LOANED / ON KOL</v>
      </c>
      <c r="N99" s="158" t="str">
        <f>IFERROR(__xludf.DUMMYFUNCTION("""COMPUTED_VALUE"""),"Jordy")</f>
        <v>Jordy</v>
      </c>
      <c r="O99" s="119"/>
      <c r="P99" s="119"/>
    </row>
    <row r="100">
      <c r="B100" s="157">
        <f>IFERROR(__xludf.DUMMYFUNCTION("""COMPUTED_VALUE"""),46077.0)</f>
        <v>46077</v>
      </c>
      <c r="C100" s="158" t="str">
        <f>IFERROR(__xludf.DUMMYFUNCTION("""COMPUTED_VALUE"""),"ANNELA")</f>
        <v>ANNELA</v>
      </c>
      <c r="D100" s="158" t="str">
        <f>IFERROR(__xludf.DUMMYFUNCTION("""COMPUTED_VALUE"""),"HANDPHONE")</f>
        <v>HANDPHONE</v>
      </c>
      <c r="E100" s="159">
        <f>IFERROR(__xludf.DUMMYFUNCTION("""COMPUTED_VALUE"""),3.58780495000361E14)</f>
        <v>358780495000361</v>
      </c>
      <c r="F100" s="160" t="str">
        <f>IFERROR(__xludf.DUMMYFUNCTION("""COMPUTED_VALUE"""),"G-S26-ULTRA 256GB SILVER")</f>
        <v>G-S26-ULTRA 256GB SILVER</v>
      </c>
      <c r="G100" s="158" t="str">
        <f>IFERROR(__xludf.DUMMYFUNCTION("""COMPUTED_VALUE"""),"RETURN")</f>
        <v>RETURN</v>
      </c>
      <c r="H100" s="161">
        <f>IFERROR(__xludf.DUMMYFUNCTION("""COMPUTED_VALUE"""),46265.0)</f>
        <v>46265</v>
      </c>
      <c r="I100" s="158"/>
      <c r="J100" s="158" t="str">
        <f>IFERROR(__xludf.DUMMYFUNCTION("""COMPUTED_VALUE"""),"ALIYA")</f>
        <v>ALIYA</v>
      </c>
      <c r="K100" s="158" t="str">
        <f>IFERROR(__xludf.DUMMYFUNCTION("""COMPUTED_VALUE"""),"Miracle")</f>
        <v>Miracle</v>
      </c>
      <c r="L100" s="158" t="str">
        <f>IFERROR(__xludf.DUMMYFUNCTION("""COMPUTED_VALUE"""),"AVAILABLE IN AGENCY")</f>
        <v>AVAILABLE IN AGENCY</v>
      </c>
      <c r="M100" s="158" t="str">
        <f>IFERROR(__xludf.DUMMYFUNCTION("""COMPUTED_VALUE"""),"LOANED / ON KOL")</f>
        <v>LOANED / ON KOL</v>
      </c>
      <c r="N100" s="158" t="str">
        <f>IFERROR(__xludf.DUMMYFUNCTION("""COMPUTED_VALUE"""),"Dhyfa")</f>
        <v>Dhyfa</v>
      </c>
      <c r="O100" s="119"/>
      <c r="P100" s="119"/>
    </row>
    <row r="101">
      <c r="B101" s="157">
        <f>IFERROR(__xludf.DUMMYFUNCTION("""COMPUTED_VALUE"""),46077.0)</f>
        <v>46077</v>
      </c>
      <c r="C101" s="158" t="str">
        <f>IFERROR(__xludf.DUMMYFUNCTION("""COMPUTED_VALUE"""),"ANNELA")</f>
        <v>ANNELA</v>
      </c>
      <c r="D101" s="158" t="str">
        <f>IFERROR(__xludf.DUMMYFUNCTION("""COMPUTED_VALUE"""),"HANDPHONE")</f>
        <v>HANDPHONE</v>
      </c>
      <c r="E101" s="159">
        <f>IFERROR(__xludf.DUMMYFUNCTION("""COMPUTED_VALUE"""),3.5878049501381E14)</f>
        <v>358780495013810</v>
      </c>
      <c r="F101" s="160" t="str">
        <f>IFERROR(__xludf.DUMMYFUNCTION("""COMPUTED_VALUE"""),"G-S26-ULTRA 256GB SILVER")</f>
        <v>G-S26-ULTRA 256GB SILVER</v>
      </c>
      <c r="G101" s="158" t="str">
        <f>IFERROR(__xludf.DUMMYFUNCTION("""COMPUTED_VALUE"""),"RETURN")</f>
        <v>RETURN</v>
      </c>
      <c r="H101" s="161">
        <f>IFERROR(__xludf.DUMMYFUNCTION("""COMPUTED_VALUE"""),46265.0)</f>
        <v>46265</v>
      </c>
      <c r="I101" s="158"/>
      <c r="J101" s="158" t="str">
        <f>IFERROR(__xludf.DUMMYFUNCTION("""COMPUTED_VALUE"""),"ALIYA")</f>
        <v>ALIYA</v>
      </c>
      <c r="K101" s="158" t="str">
        <f>IFERROR(__xludf.DUMMYFUNCTION("""COMPUTED_VALUE"""),"Miracle")</f>
        <v>Miracle</v>
      </c>
      <c r="L101" s="158" t="str">
        <f>IFERROR(__xludf.DUMMYFUNCTION("""COMPUTED_VALUE"""),"AVAILABLE IN AGENCY")</f>
        <v>AVAILABLE IN AGENCY</v>
      </c>
      <c r="M101" s="158" t="str">
        <f>IFERROR(__xludf.DUMMYFUNCTION("""COMPUTED_VALUE"""),"AVAILABLE")</f>
        <v>AVAILABLE</v>
      </c>
      <c r="N101" s="158" t="str">
        <f>IFERROR(__xludf.DUMMYFUNCTION("""COMPUTED_VALUE"""),"-")</f>
        <v>-</v>
      </c>
      <c r="O101" s="119"/>
      <c r="P101" s="119"/>
    </row>
    <row r="102">
      <c r="B102" s="157">
        <f>IFERROR(__xludf.DUMMYFUNCTION("""COMPUTED_VALUE"""),46077.0)</f>
        <v>46077</v>
      </c>
      <c r="C102" s="158" t="str">
        <f>IFERROR(__xludf.DUMMYFUNCTION("""COMPUTED_VALUE"""),"ANNELA")</f>
        <v>ANNELA</v>
      </c>
      <c r="D102" s="158" t="str">
        <f>IFERROR(__xludf.DUMMYFUNCTION("""COMPUTED_VALUE"""),"HANDPHONE")</f>
        <v>HANDPHONE</v>
      </c>
      <c r="E102" s="159">
        <f>IFERROR(__xludf.DUMMYFUNCTION("""COMPUTED_VALUE"""),3.58780495014362E14)</f>
        <v>358780495014362</v>
      </c>
      <c r="F102" s="160" t="str">
        <f>IFERROR(__xludf.DUMMYFUNCTION("""COMPUTED_VALUE"""),"G-S26-ULTRA 256GB SILVER")</f>
        <v>G-S26-ULTRA 256GB SILVER</v>
      </c>
      <c r="G102" s="158" t="str">
        <f>IFERROR(__xludf.DUMMYFUNCTION("""COMPUTED_VALUE"""),"RETURN")</f>
        <v>RETURN</v>
      </c>
      <c r="H102" s="161">
        <f>IFERROR(__xludf.DUMMYFUNCTION("""COMPUTED_VALUE"""),46265.0)</f>
        <v>46265</v>
      </c>
      <c r="I102" s="158"/>
      <c r="J102" s="158" t="str">
        <f>IFERROR(__xludf.DUMMYFUNCTION("""COMPUTED_VALUE"""),"ALIYA")</f>
        <v>ALIYA</v>
      </c>
      <c r="K102" s="158" t="str">
        <f>IFERROR(__xludf.DUMMYFUNCTION("""COMPUTED_VALUE"""),"Miracle")</f>
        <v>Miracle</v>
      </c>
      <c r="L102" s="158" t="str">
        <f>IFERROR(__xludf.DUMMYFUNCTION("""COMPUTED_VALUE"""),"AVAILABLE IN AGENCY")</f>
        <v>AVAILABLE IN AGENCY</v>
      </c>
      <c r="M102" s="158" t="str">
        <f>IFERROR(__xludf.DUMMYFUNCTION("""COMPUTED_VALUE"""),"LOANED / ON KOL")</f>
        <v>LOANED / ON KOL</v>
      </c>
      <c r="N102" s="158" t="str">
        <f>IFERROR(__xludf.DUMMYFUNCTION("""COMPUTED_VALUE"""),"Reza Febs")</f>
        <v>Reza Febs</v>
      </c>
      <c r="O102" s="119"/>
      <c r="P102" s="119"/>
    </row>
    <row r="103">
      <c r="B103" s="157">
        <f>IFERROR(__xludf.DUMMYFUNCTION("""COMPUTED_VALUE"""),46077.0)</f>
        <v>46077</v>
      </c>
      <c r="C103" s="158" t="str">
        <f>IFERROR(__xludf.DUMMYFUNCTION("""COMPUTED_VALUE"""),"ANNELA")</f>
        <v>ANNELA</v>
      </c>
      <c r="D103" s="158" t="str">
        <f>IFERROR(__xludf.DUMMYFUNCTION("""COMPUTED_VALUE"""),"HANDPHONE")</f>
        <v>HANDPHONE</v>
      </c>
      <c r="E103" s="159">
        <f>IFERROR(__xludf.DUMMYFUNCTION("""COMPUTED_VALUE"""),3.51690530029134E14)</f>
        <v>351690530029134</v>
      </c>
      <c r="F103" s="160" t="str">
        <f>IFERROR(__xludf.DUMMYFUNCTION("""COMPUTED_VALUE"""),"G-S26 256GB SKY BLUE")</f>
        <v>G-S26 256GB SKY BLUE</v>
      </c>
      <c r="G103" s="158" t="str">
        <f>IFERROR(__xludf.DUMMYFUNCTION("""COMPUTED_VALUE"""),"RETURN")</f>
        <v>RETURN</v>
      </c>
      <c r="H103" s="161">
        <f>IFERROR(__xludf.DUMMYFUNCTION("""COMPUTED_VALUE"""),46265.0)</f>
        <v>46265</v>
      </c>
      <c r="I103" s="158"/>
      <c r="J103" s="158" t="str">
        <f>IFERROR(__xludf.DUMMYFUNCTION("""COMPUTED_VALUE"""),"ALIYA")</f>
        <v>ALIYA</v>
      </c>
      <c r="K103" s="158" t="str">
        <f>IFERROR(__xludf.DUMMYFUNCTION("""COMPUTED_VALUE"""),"Miracle")</f>
        <v>Miracle</v>
      </c>
      <c r="L103" s="158" t="str">
        <f>IFERROR(__xludf.DUMMYFUNCTION("""COMPUTED_VALUE"""),"AVAILABLE IN AGENCY")</f>
        <v>AVAILABLE IN AGENCY</v>
      </c>
      <c r="M103" s="158" t="str">
        <f>IFERROR(__xludf.DUMMYFUNCTION("""COMPUTED_VALUE"""),"AVAILABLE")</f>
        <v>AVAILABLE</v>
      </c>
      <c r="N103" s="158" t="str">
        <f>IFERROR(__xludf.DUMMYFUNCTION("""COMPUTED_VALUE"""),"-")</f>
        <v>-</v>
      </c>
      <c r="O103" s="119"/>
      <c r="P103" s="119"/>
    </row>
    <row r="104">
      <c r="B104" s="157">
        <f>IFERROR(__xludf.DUMMYFUNCTION("""COMPUTED_VALUE"""),46077.0)</f>
        <v>46077</v>
      </c>
      <c r="C104" s="158" t="str">
        <f>IFERROR(__xludf.DUMMYFUNCTION("""COMPUTED_VALUE"""),"ANNELA")</f>
        <v>ANNELA</v>
      </c>
      <c r="D104" s="158" t="str">
        <f>IFERROR(__xludf.DUMMYFUNCTION("""COMPUTED_VALUE"""),"HANDPHONE")</f>
        <v>HANDPHONE</v>
      </c>
      <c r="E104" s="159">
        <f>IFERROR(__xludf.DUMMYFUNCTION("""COMPUTED_VALUE"""),3.51690530024319E14)</f>
        <v>351690530024319</v>
      </c>
      <c r="F104" s="160" t="str">
        <f>IFERROR(__xludf.DUMMYFUNCTION("""COMPUTED_VALUE"""),"G-S26 256GB SKY BLACK")</f>
        <v>G-S26 256GB SKY BLACK</v>
      </c>
      <c r="G104" s="158" t="str">
        <f>IFERROR(__xludf.DUMMYFUNCTION("""COMPUTED_VALUE"""),"RETURN")</f>
        <v>RETURN</v>
      </c>
      <c r="H104" s="161">
        <f>IFERROR(__xludf.DUMMYFUNCTION("""COMPUTED_VALUE"""),46265.0)</f>
        <v>46265</v>
      </c>
      <c r="I104" s="158"/>
      <c r="J104" s="158" t="str">
        <f>IFERROR(__xludf.DUMMYFUNCTION("""COMPUTED_VALUE"""),"ALIYA")</f>
        <v>ALIYA</v>
      </c>
      <c r="K104" s="158" t="str">
        <f>IFERROR(__xludf.DUMMYFUNCTION("""COMPUTED_VALUE"""),"Miracle")</f>
        <v>Miracle</v>
      </c>
      <c r="L104" s="158" t="str">
        <f>IFERROR(__xludf.DUMMYFUNCTION("""COMPUTED_VALUE"""),"AVAILABLE IN AGENCY")</f>
        <v>AVAILABLE IN AGENCY</v>
      </c>
      <c r="M104" s="158" t="str">
        <f>IFERROR(__xludf.DUMMYFUNCTION("""COMPUTED_VALUE"""),"AVAILABLE")</f>
        <v>AVAILABLE</v>
      </c>
      <c r="N104" s="158" t="str">
        <f>IFERROR(__xludf.DUMMYFUNCTION("""COMPUTED_VALUE"""),"-")</f>
        <v>-</v>
      </c>
      <c r="O104" s="119"/>
      <c r="P104" s="119"/>
    </row>
    <row r="105">
      <c r="B105" s="157">
        <f>IFERROR(__xludf.DUMMYFUNCTION("""COMPUTED_VALUE"""),46080.0)</f>
        <v>46080</v>
      </c>
      <c r="C105" s="158"/>
      <c r="D105" s="158" t="str">
        <f>IFERROR(__xludf.DUMMYFUNCTION("""COMPUTED_VALUE"""),"TAB")</f>
        <v>TAB</v>
      </c>
      <c r="E105" s="159"/>
      <c r="F105" s="160" t="str">
        <f>IFERROR(__xludf.DUMMYFUNCTION("""COMPUTED_VALUE"""),"G-TAB-A11-KIDS 64GB GRAY")</f>
        <v>G-TAB-A11-KIDS 64GB GRAY</v>
      </c>
      <c r="G105" s="158" t="str">
        <f>IFERROR(__xludf.DUMMYFUNCTION("""COMPUTED_VALUE"""),"RETURN")</f>
        <v>RETURN</v>
      </c>
      <c r="H105" s="161"/>
      <c r="I105" s="158"/>
      <c r="J105" s="158" t="str">
        <f>IFERROR(__xludf.DUMMYFUNCTION("""COMPUTED_VALUE"""),"SALMA")</f>
        <v>SALMA</v>
      </c>
      <c r="K105" s="158"/>
      <c r="L105" s="158" t="str">
        <f>IFERROR(__xludf.DUMMYFUNCTION("""COMPUTED_VALUE"""),"AVAILABLE IN AGENCY")</f>
        <v>AVAILABLE IN AGENCY</v>
      </c>
      <c r="M105" s="158" t="str">
        <f>IFERROR(__xludf.DUMMYFUNCTION("""COMPUTED_VALUE"""),"LOANED / ON KOL")</f>
        <v>LOANED / ON KOL</v>
      </c>
      <c r="N105" s="158" t="str">
        <f>IFERROR(__xludf.DUMMYFUNCTION("""COMPUTED_VALUE"""),"Nungky")</f>
        <v>Nungky</v>
      </c>
      <c r="O105" s="119"/>
      <c r="P105" s="119"/>
    </row>
    <row r="106">
      <c r="B106" s="157">
        <f>IFERROR(__xludf.DUMMYFUNCTION("""COMPUTED_VALUE"""),46080.0)</f>
        <v>46080</v>
      </c>
      <c r="C106" s="158"/>
      <c r="D106" s="158" t="str">
        <f>IFERROR(__xludf.DUMMYFUNCTION("""COMPUTED_VALUE"""),"HANDPHONE")</f>
        <v>HANDPHONE</v>
      </c>
      <c r="E106" s="159">
        <f>IFERROR(__xludf.DUMMYFUNCTION("""COMPUTED_VALUE"""),3.55649780289729E14)</f>
        <v>355649780289729</v>
      </c>
      <c r="F106" s="160" t="str">
        <f>IFERROR(__xludf.DUMMYFUNCTION("""COMPUTED_VALUE"""),"G-A07-5G 128GB LIGHT VIOLET")</f>
        <v>G-A07-5G 128GB LIGHT VIOLET</v>
      </c>
      <c r="G106" s="158" t="str">
        <f>IFERROR(__xludf.DUMMYFUNCTION("""COMPUTED_VALUE"""),"RETURN")</f>
        <v>RETURN</v>
      </c>
      <c r="H106" s="161"/>
      <c r="I106" s="158"/>
      <c r="J106" s="158" t="str">
        <f>IFERROR(__xludf.DUMMYFUNCTION("""COMPUTED_VALUE"""),"TASHYA")</f>
        <v>TASHYA</v>
      </c>
      <c r="K106" s="158"/>
      <c r="L106" s="158" t="str">
        <f>IFERROR(__xludf.DUMMYFUNCTION("""COMPUTED_VALUE"""),"AVAILABLE IN AGENCY")</f>
        <v>AVAILABLE IN AGENCY</v>
      </c>
      <c r="M106" s="158" t="str">
        <f>IFERROR(__xludf.DUMMYFUNCTION("""COMPUTED_VALUE"""),"AVAILABLE")</f>
        <v>AVAILABLE</v>
      </c>
      <c r="N106" s="158" t="str">
        <f>IFERROR(__xludf.DUMMYFUNCTION("""COMPUTED_VALUE"""),"-")</f>
        <v>-</v>
      </c>
      <c r="O106" s="119"/>
      <c r="P106" s="119"/>
    </row>
    <row r="107">
      <c r="B107" s="157">
        <f>IFERROR(__xludf.DUMMYFUNCTION("""COMPUTED_VALUE"""),46080.0)</f>
        <v>46080</v>
      </c>
      <c r="C107" s="158"/>
      <c r="D107" s="158" t="str">
        <f>IFERROR(__xludf.DUMMYFUNCTION("""COMPUTED_VALUE"""),"HANDPHONE")</f>
        <v>HANDPHONE</v>
      </c>
      <c r="E107" s="159">
        <f>IFERROR(__xludf.DUMMYFUNCTION("""COMPUTED_VALUE"""),3.55649780289687E14)</f>
        <v>355649780289687</v>
      </c>
      <c r="F107" s="160" t="str">
        <f>IFERROR(__xludf.DUMMYFUNCTION("""COMPUTED_VALUE"""),"G-A07-5G 128GB LIGHT VIOLET")</f>
        <v>G-A07-5G 128GB LIGHT VIOLET</v>
      </c>
      <c r="G107" s="158" t="str">
        <f>IFERROR(__xludf.DUMMYFUNCTION("""COMPUTED_VALUE"""),"RETURN")</f>
        <v>RETURN</v>
      </c>
      <c r="H107" s="161"/>
      <c r="I107" s="158"/>
      <c r="J107" s="158" t="str">
        <f>IFERROR(__xludf.DUMMYFUNCTION("""COMPUTED_VALUE"""),"TASHYA")</f>
        <v>TASHYA</v>
      </c>
      <c r="K107" s="158"/>
      <c r="L107" s="158" t="str">
        <f>IFERROR(__xludf.DUMMYFUNCTION("""COMPUTED_VALUE"""),"AVAILABLE IN AGENCY")</f>
        <v>AVAILABLE IN AGENCY</v>
      </c>
      <c r="M107" s="158" t="str">
        <f>IFERROR(__xludf.DUMMYFUNCTION("""COMPUTED_VALUE"""),"LOANED / ON KOL")</f>
        <v>LOANED / ON KOL</v>
      </c>
      <c r="N107" s="158" t="str">
        <f>IFERROR(__xludf.DUMMYFUNCTION("""COMPUTED_VALUE"""),"Ibongtalk")</f>
        <v>Ibongtalk</v>
      </c>
      <c r="O107" s="119"/>
      <c r="P107" s="119"/>
    </row>
    <row r="108">
      <c r="B108" s="157">
        <f>IFERROR(__xludf.DUMMYFUNCTION("""COMPUTED_VALUE"""),46080.0)</f>
        <v>46080</v>
      </c>
      <c r="C108" s="158"/>
      <c r="D108" s="158" t="str">
        <f>IFERROR(__xludf.DUMMYFUNCTION("""COMPUTED_VALUE"""),"HANDPHONE")</f>
        <v>HANDPHONE</v>
      </c>
      <c r="E108" s="159">
        <f>IFERROR(__xludf.DUMMYFUNCTION("""COMPUTED_VALUE"""),3.55649780139676E14)</f>
        <v>355649780139676</v>
      </c>
      <c r="F108" s="160" t="str">
        <f>IFERROR(__xludf.DUMMYFUNCTION("""COMPUTED_VALUE"""),"G-A07-5G 128GB LIGHT VIOLET")</f>
        <v>G-A07-5G 128GB LIGHT VIOLET</v>
      </c>
      <c r="G108" s="158" t="str">
        <f>IFERROR(__xludf.DUMMYFUNCTION("""COMPUTED_VALUE"""),"RETURN")</f>
        <v>RETURN</v>
      </c>
      <c r="H108" s="161"/>
      <c r="I108" s="158"/>
      <c r="J108" s="158" t="str">
        <f>IFERROR(__xludf.DUMMYFUNCTION("""COMPUTED_VALUE"""),"MARTIN")</f>
        <v>MARTIN</v>
      </c>
      <c r="K108" s="158"/>
      <c r="L108" s="158" t="str">
        <f>IFERROR(__xludf.DUMMYFUNCTION("""COMPUTED_VALUE"""),"AVAILABLE IN AGENCY")</f>
        <v>AVAILABLE IN AGENCY</v>
      </c>
      <c r="M108" s="158" t="str">
        <f>IFERROR(__xludf.DUMMYFUNCTION("""COMPUTED_VALUE"""),"LOANED / ON KOL")</f>
        <v>LOANED / ON KOL</v>
      </c>
      <c r="N108" s="158" t="str">
        <f>IFERROR(__xludf.DUMMYFUNCTION("""COMPUTED_VALUE"""),"DINSHA SABINA")</f>
        <v>DINSHA SABINA</v>
      </c>
      <c r="O108" s="119"/>
      <c r="P108" s="119"/>
    </row>
    <row r="109">
      <c r="B109" s="157">
        <f>IFERROR(__xludf.DUMMYFUNCTION("""COMPUTED_VALUE"""),46080.0)</f>
        <v>46080</v>
      </c>
      <c r="C109" s="158"/>
      <c r="D109" s="158" t="str">
        <f>IFERROR(__xludf.DUMMYFUNCTION("""COMPUTED_VALUE"""),"HANDPHONE")</f>
        <v>HANDPHONE</v>
      </c>
      <c r="E109" s="159">
        <f>IFERROR(__xludf.DUMMYFUNCTION("""COMPUTED_VALUE"""),3.55649780141797E14)</f>
        <v>355649780141797</v>
      </c>
      <c r="F109" s="160" t="str">
        <f>IFERROR(__xludf.DUMMYFUNCTION("""COMPUTED_VALUE"""),"G-A07-5G 128GB LIGHT VIOLET")</f>
        <v>G-A07-5G 128GB LIGHT VIOLET</v>
      </c>
      <c r="G109" s="158" t="str">
        <f>IFERROR(__xludf.DUMMYFUNCTION("""COMPUTED_VALUE"""),"RETURN")</f>
        <v>RETURN</v>
      </c>
      <c r="H109" s="161"/>
      <c r="I109" s="158"/>
      <c r="J109" s="158" t="str">
        <f>IFERROR(__xludf.DUMMYFUNCTION("""COMPUTED_VALUE"""),"MARTIN")</f>
        <v>MARTIN</v>
      </c>
      <c r="K109" s="158"/>
      <c r="L109" s="158" t="str">
        <f>IFERROR(__xludf.DUMMYFUNCTION("""COMPUTED_VALUE"""),"AVAILABLE IN AGENCY")</f>
        <v>AVAILABLE IN AGENCY</v>
      </c>
      <c r="M109" s="158" t="str">
        <f>IFERROR(__xludf.DUMMYFUNCTION("""COMPUTED_VALUE"""),"AVAILABLE")</f>
        <v>AVAILABLE</v>
      </c>
      <c r="N109" s="158" t="str">
        <f>IFERROR(__xludf.DUMMYFUNCTION("""COMPUTED_VALUE"""),"-")</f>
        <v>-</v>
      </c>
      <c r="O109" s="119"/>
      <c r="P109" s="119"/>
    </row>
    <row r="110">
      <c r="B110" s="157">
        <f>IFERROR(__xludf.DUMMYFUNCTION("""COMPUTED_VALUE"""),46080.0)</f>
        <v>46080</v>
      </c>
      <c r="C110" s="158"/>
      <c r="D110" s="158" t="str">
        <f>IFERROR(__xludf.DUMMYFUNCTION("""COMPUTED_VALUE"""),"HANDPHONE")</f>
        <v>HANDPHONE</v>
      </c>
      <c r="E110" s="159">
        <f>IFERROR(__xludf.DUMMYFUNCTION("""COMPUTED_VALUE"""),3.55649780141599E14)</f>
        <v>355649780141599</v>
      </c>
      <c r="F110" s="160" t="str">
        <f>IFERROR(__xludf.DUMMYFUNCTION("""COMPUTED_VALUE"""),"G-A07-5G 128GB LIGHT VIOLET")</f>
        <v>G-A07-5G 128GB LIGHT VIOLET</v>
      </c>
      <c r="G110" s="158" t="str">
        <f>IFERROR(__xludf.DUMMYFUNCTION("""COMPUTED_VALUE"""),"RETURN")</f>
        <v>RETURN</v>
      </c>
      <c r="H110" s="161"/>
      <c r="I110" s="158"/>
      <c r="J110" s="158" t="str">
        <f>IFERROR(__xludf.DUMMYFUNCTION("""COMPUTED_VALUE"""),"MARTIN")</f>
        <v>MARTIN</v>
      </c>
      <c r="K110" s="158"/>
      <c r="L110" s="158" t="str">
        <f>IFERROR(__xludf.DUMMYFUNCTION("""COMPUTED_VALUE"""),"AVAILABLE IN AGENCY")</f>
        <v>AVAILABLE IN AGENCY</v>
      </c>
      <c r="M110" s="158" t="str">
        <f>IFERROR(__xludf.DUMMYFUNCTION("""COMPUTED_VALUE"""),"AVAILABLE")</f>
        <v>AVAILABLE</v>
      </c>
      <c r="N110" s="158" t="str">
        <f>IFERROR(__xludf.DUMMYFUNCTION("""COMPUTED_VALUE"""),"-")</f>
        <v>-</v>
      </c>
      <c r="O110" s="119"/>
      <c r="P110" s="119"/>
    </row>
    <row r="111">
      <c r="B111" s="157">
        <f>IFERROR(__xludf.DUMMYFUNCTION("""COMPUTED_VALUE"""),46080.0)</f>
        <v>46080</v>
      </c>
      <c r="C111" s="158"/>
      <c r="D111" s="158" t="str">
        <f>IFERROR(__xludf.DUMMYFUNCTION("""COMPUTED_VALUE"""),"HANDPHONE")</f>
        <v>HANDPHONE</v>
      </c>
      <c r="E111" s="159">
        <f>IFERROR(__xludf.DUMMYFUNCTION("""COMPUTED_VALUE"""),3.55500722638806E14)</f>
        <v>355500722638806</v>
      </c>
      <c r="F111" s="160" t="str">
        <f>IFERROR(__xludf.DUMMYFUNCTION("""COMPUTED_VALUE"""),"G-A07 RAMADHAN PACKAGE")</f>
        <v>G-A07 RAMADHAN PACKAGE</v>
      </c>
      <c r="G111" s="158" t="str">
        <f>IFERROR(__xludf.DUMMYFUNCTION("""COMPUTED_VALUE"""),"RETURN")</f>
        <v>RETURN</v>
      </c>
      <c r="H111" s="161"/>
      <c r="I111" s="158"/>
      <c r="J111" s="158" t="str">
        <f>IFERROR(__xludf.DUMMYFUNCTION("""COMPUTED_VALUE"""),"TASHYA")</f>
        <v>TASHYA</v>
      </c>
      <c r="K111" s="158"/>
      <c r="L111" s="158" t="str">
        <f>IFERROR(__xludf.DUMMYFUNCTION("""COMPUTED_VALUE"""),"AVAILABLE IN AGENCY")</f>
        <v>AVAILABLE IN AGENCY</v>
      </c>
      <c r="M111" s="158" t="str">
        <f>IFERROR(__xludf.DUMMYFUNCTION("""COMPUTED_VALUE"""),"AVAILABLE")</f>
        <v>AVAILABLE</v>
      </c>
      <c r="N111" s="158" t="str">
        <f>IFERROR(__xludf.DUMMYFUNCTION("""COMPUTED_VALUE"""),"-")</f>
        <v>-</v>
      </c>
      <c r="O111" s="119"/>
      <c r="P111" s="119"/>
    </row>
    <row r="112">
      <c r="B112" s="157">
        <f>IFERROR(__xludf.DUMMYFUNCTION("""COMPUTED_VALUE"""),46084.0)</f>
        <v>46084</v>
      </c>
      <c r="C112" s="158"/>
      <c r="D112" s="158" t="str">
        <f>IFERROR(__xludf.DUMMYFUNCTION("""COMPUTED_VALUE"""),"WEARABLES")</f>
        <v>WEARABLES</v>
      </c>
      <c r="E112" s="159"/>
      <c r="F112" s="160" t="str">
        <f>IFERROR(__xludf.DUMMYFUNCTION("""COMPUTED_VALUE"""),"G-RING Sizing Kit")</f>
        <v>G-RING Sizing Kit</v>
      </c>
      <c r="G112" s="158" t="str">
        <f>IFERROR(__xludf.DUMMYFUNCTION("""COMPUTED_VALUE"""),"RETURN")</f>
        <v>RETURN</v>
      </c>
      <c r="H112" s="161"/>
      <c r="I112" s="158"/>
      <c r="J112" s="158"/>
      <c r="K112" s="158"/>
      <c r="L112" s="158" t="str">
        <f>IFERROR(__xludf.DUMMYFUNCTION("""COMPUTED_VALUE"""),"AVAILABLE IN AGENCY")</f>
        <v>AVAILABLE IN AGENCY</v>
      </c>
      <c r="M112" s="158" t="str">
        <f>IFERROR(__xludf.DUMMYFUNCTION("""COMPUTED_VALUE"""),"AVAILABLE")</f>
        <v>AVAILABLE</v>
      </c>
      <c r="N112" s="158" t="str">
        <f>IFERROR(__xludf.DUMMYFUNCTION("""COMPUTED_VALUE"""),"-")</f>
        <v>-</v>
      </c>
      <c r="O112" s="119"/>
      <c r="P112" s="119"/>
    </row>
    <row r="113">
      <c r="B113" s="157">
        <f>IFERROR(__xludf.DUMMYFUNCTION("""COMPUTED_VALUE"""),46085.0)</f>
        <v>46085</v>
      </c>
      <c r="C113" s="158"/>
      <c r="D113" s="158" t="str">
        <f>IFERROR(__xludf.DUMMYFUNCTION("""COMPUTED_VALUE"""),"TAB")</f>
        <v>TAB</v>
      </c>
      <c r="E113" s="159">
        <f>IFERROR(__xludf.DUMMYFUNCTION("""COMPUTED_VALUE"""),3.52673730003215E14)</f>
        <v>352673730003215</v>
      </c>
      <c r="F113" s="160" t="str">
        <f>IFERROR(__xludf.DUMMYFUNCTION("""COMPUTED_VALUE"""),"G-TAB-A11-PLUS-5G")</f>
        <v>G-TAB-A11-PLUS-5G</v>
      </c>
      <c r="G113" s="158" t="str">
        <f>IFERROR(__xludf.DUMMYFUNCTION("""COMPUTED_VALUE"""),"RETURN")</f>
        <v>RETURN</v>
      </c>
      <c r="H113" s="161"/>
      <c r="I113" s="158"/>
      <c r="J113" s="158" t="str">
        <f>IFERROR(__xludf.DUMMYFUNCTION("""COMPUTED_VALUE"""),"ABIGAIL")</f>
        <v>ABIGAIL</v>
      </c>
      <c r="K113" s="158"/>
      <c r="L113" s="158" t="str">
        <f>IFERROR(__xludf.DUMMYFUNCTION("""COMPUTED_VALUE"""),"AVAILABLE IN AGENCY")</f>
        <v>AVAILABLE IN AGENCY</v>
      </c>
      <c r="M113" s="158" t="str">
        <f>IFERROR(__xludf.DUMMYFUNCTION("""COMPUTED_VALUE"""),"AVAILABLE")</f>
        <v>AVAILABLE</v>
      </c>
      <c r="N113" s="158" t="str">
        <f>IFERROR(__xludf.DUMMYFUNCTION("""COMPUTED_VALUE"""),"-")</f>
        <v>-</v>
      </c>
      <c r="O113" s="119"/>
      <c r="P113" s="119"/>
    </row>
    <row r="114">
      <c r="B114" s="157">
        <f>IFERROR(__xludf.DUMMYFUNCTION("""COMPUTED_VALUE"""),46085.0)</f>
        <v>46085</v>
      </c>
      <c r="C114" s="158"/>
      <c r="D114" s="158" t="str">
        <f>IFERROR(__xludf.DUMMYFUNCTION("""COMPUTED_VALUE"""),"TAB")</f>
        <v>TAB</v>
      </c>
      <c r="E114" s="159">
        <f>IFERROR(__xludf.DUMMYFUNCTION("""COMPUTED_VALUE"""),3.52673730002738E14)</f>
        <v>352673730002738</v>
      </c>
      <c r="F114" s="160" t="str">
        <f>IFERROR(__xludf.DUMMYFUNCTION("""COMPUTED_VALUE"""),"G-TAB-A11-PLUS-5G")</f>
        <v>G-TAB-A11-PLUS-5G</v>
      </c>
      <c r="G114" s="158" t="str">
        <f>IFERROR(__xludf.DUMMYFUNCTION("""COMPUTED_VALUE"""),"RETURN")</f>
        <v>RETURN</v>
      </c>
      <c r="H114" s="161"/>
      <c r="I114" s="158"/>
      <c r="J114" s="158" t="str">
        <f>IFERROR(__xludf.DUMMYFUNCTION("""COMPUTED_VALUE"""),"ABIGAIL")</f>
        <v>ABIGAIL</v>
      </c>
      <c r="K114" s="158"/>
      <c r="L114" s="158" t="str">
        <f>IFERROR(__xludf.DUMMYFUNCTION("""COMPUTED_VALUE"""),"AVAILABLE IN AGENCY")</f>
        <v>AVAILABLE IN AGENCY</v>
      </c>
      <c r="M114" s="158" t="str">
        <f>IFERROR(__xludf.DUMMYFUNCTION("""COMPUTED_VALUE"""),"AVAILABLE")</f>
        <v>AVAILABLE</v>
      </c>
      <c r="N114" s="158" t="str">
        <f>IFERROR(__xludf.DUMMYFUNCTION("""COMPUTED_VALUE"""),"-")</f>
        <v>-</v>
      </c>
      <c r="O114" s="119"/>
      <c r="P114" s="119"/>
    </row>
    <row r="115">
      <c r="B115" s="157">
        <f>IFERROR(__xludf.DUMMYFUNCTION("""COMPUTED_VALUE"""),46085.0)</f>
        <v>46085</v>
      </c>
      <c r="C115" s="158"/>
      <c r="D115" s="158" t="str">
        <f>IFERROR(__xludf.DUMMYFUNCTION("""COMPUTED_VALUE"""),"TAB")</f>
        <v>TAB</v>
      </c>
      <c r="E115" s="159">
        <f>IFERROR(__xludf.DUMMYFUNCTION("""COMPUTED_VALUE"""),3.52673730001235E14)</f>
        <v>352673730001235</v>
      </c>
      <c r="F115" s="160" t="str">
        <f>IFERROR(__xludf.DUMMYFUNCTION("""COMPUTED_VALUE"""),"G-TAB-A11-PLUS-5G")</f>
        <v>G-TAB-A11-PLUS-5G</v>
      </c>
      <c r="G115" s="158" t="str">
        <f>IFERROR(__xludf.DUMMYFUNCTION("""COMPUTED_VALUE"""),"RETURN")</f>
        <v>RETURN</v>
      </c>
      <c r="H115" s="161"/>
      <c r="I115" s="158"/>
      <c r="J115" s="158" t="str">
        <f>IFERROR(__xludf.DUMMYFUNCTION("""COMPUTED_VALUE"""),"ABIGAIL")</f>
        <v>ABIGAIL</v>
      </c>
      <c r="K115" s="158"/>
      <c r="L115" s="158" t="str">
        <f>IFERROR(__xludf.DUMMYFUNCTION("""COMPUTED_VALUE"""),"AVAILABLE IN AGENCY")</f>
        <v>AVAILABLE IN AGENCY</v>
      </c>
      <c r="M115" s="158" t="str">
        <f>IFERROR(__xludf.DUMMYFUNCTION("""COMPUTED_VALUE"""),"AVAILABLE")</f>
        <v>AVAILABLE</v>
      </c>
      <c r="N115" s="158" t="str">
        <f>IFERROR(__xludf.DUMMYFUNCTION("""COMPUTED_VALUE"""),"-")</f>
        <v>-</v>
      </c>
      <c r="O115" s="119"/>
      <c r="P115" s="119"/>
    </row>
    <row r="116">
      <c r="B116" s="157">
        <f>IFERROR(__xludf.DUMMYFUNCTION("""COMPUTED_VALUE"""),46085.0)</f>
        <v>46085</v>
      </c>
      <c r="C116" s="158"/>
      <c r="D116" s="158" t="str">
        <f>IFERROR(__xludf.DUMMYFUNCTION("""COMPUTED_VALUE"""),"TAB")</f>
        <v>TAB</v>
      </c>
      <c r="E116" s="159">
        <f>IFERROR(__xludf.DUMMYFUNCTION("""COMPUTED_VALUE"""),3.52673730001573E14)</f>
        <v>352673730001573</v>
      </c>
      <c r="F116" s="160" t="str">
        <f>IFERROR(__xludf.DUMMYFUNCTION("""COMPUTED_VALUE"""),"G-TAB-A11-PLUS-5G")</f>
        <v>G-TAB-A11-PLUS-5G</v>
      </c>
      <c r="G116" s="158" t="str">
        <f>IFERROR(__xludf.DUMMYFUNCTION("""COMPUTED_VALUE"""),"RETURN")</f>
        <v>RETURN</v>
      </c>
      <c r="H116" s="161"/>
      <c r="I116" s="158"/>
      <c r="J116" s="158" t="str">
        <f>IFERROR(__xludf.DUMMYFUNCTION("""COMPUTED_VALUE"""),"ABIGAIL")</f>
        <v>ABIGAIL</v>
      </c>
      <c r="K116" s="158"/>
      <c r="L116" s="158" t="str">
        <f>IFERROR(__xludf.DUMMYFUNCTION("""COMPUTED_VALUE"""),"AVAILABLE IN AGENCY")</f>
        <v>AVAILABLE IN AGENCY</v>
      </c>
      <c r="M116" s="158" t="str">
        <f>IFERROR(__xludf.DUMMYFUNCTION("""COMPUTED_VALUE"""),"AVAILABLE")</f>
        <v>AVAILABLE</v>
      </c>
      <c r="N116" s="158" t="str">
        <f>IFERROR(__xludf.DUMMYFUNCTION("""COMPUTED_VALUE"""),"-")</f>
        <v>-</v>
      </c>
      <c r="O116" s="119"/>
      <c r="P116" s="119"/>
    </row>
    <row r="117">
      <c r="B117" s="157">
        <f>IFERROR(__xludf.DUMMYFUNCTION("""COMPUTED_VALUE"""),46085.0)</f>
        <v>46085</v>
      </c>
      <c r="C117" s="158"/>
      <c r="D117" s="158" t="str">
        <f>IFERROR(__xludf.DUMMYFUNCTION("""COMPUTED_VALUE"""),"TAB")</f>
        <v>TAB</v>
      </c>
      <c r="E117" s="159"/>
      <c r="F117" s="160" t="str">
        <f>IFERROR(__xludf.DUMMYFUNCTION("""COMPUTED_VALUE"""),"G-TAB-A11-PLUS")</f>
        <v>G-TAB-A11-PLUS</v>
      </c>
      <c r="G117" s="158" t="str">
        <f>IFERROR(__xludf.DUMMYFUNCTION("""COMPUTED_VALUE"""),"RETURN")</f>
        <v>RETURN</v>
      </c>
      <c r="H117" s="161"/>
      <c r="I117" s="158"/>
      <c r="J117" s="158" t="str">
        <f>IFERROR(__xludf.DUMMYFUNCTION("""COMPUTED_VALUE"""),"ABIGAIL")</f>
        <v>ABIGAIL</v>
      </c>
      <c r="K117" s="158"/>
      <c r="L117" s="158" t="str">
        <f>IFERROR(__xludf.DUMMYFUNCTION("""COMPUTED_VALUE"""),"AVAILABLE IN AGENCY")</f>
        <v>AVAILABLE IN AGENCY</v>
      </c>
      <c r="M117" s="158" t="str">
        <f>IFERROR(__xludf.DUMMYFUNCTION("""COMPUTED_VALUE"""),"AVAILABLE")</f>
        <v>AVAILABLE</v>
      </c>
      <c r="N117" s="158" t="str">
        <f>IFERROR(__xludf.DUMMYFUNCTION("""COMPUTED_VALUE"""),"-")</f>
        <v>-</v>
      </c>
      <c r="O117" s="119"/>
      <c r="P117" s="119"/>
    </row>
    <row r="118">
      <c r="B118" s="157">
        <f>IFERROR(__xludf.DUMMYFUNCTION("""COMPUTED_VALUE"""),46085.0)</f>
        <v>46085</v>
      </c>
      <c r="C118" s="158"/>
      <c r="D118" s="158" t="str">
        <f>IFERROR(__xludf.DUMMYFUNCTION("""COMPUTED_VALUE"""),"TAB")</f>
        <v>TAB</v>
      </c>
      <c r="E118" s="159">
        <f>IFERROR(__xludf.DUMMYFUNCTION("""COMPUTED_VALUE"""),3.52673730000187E14)</f>
        <v>352673730000187</v>
      </c>
      <c r="F118" s="160" t="str">
        <f>IFERROR(__xludf.DUMMYFUNCTION("""COMPUTED_VALUE"""),"G-TAB-A11-PLUS-5G")</f>
        <v>G-TAB-A11-PLUS-5G</v>
      </c>
      <c r="G118" s="158" t="str">
        <f>IFERROR(__xludf.DUMMYFUNCTION("""COMPUTED_VALUE"""),"RETURN")</f>
        <v>RETURN</v>
      </c>
      <c r="H118" s="161"/>
      <c r="I118" s="158"/>
      <c r="J118" s="158" t="str">
        <f>IFERROR(__xludf.DUMMYFUNCTION("""COMPUTED_VALUE"""),"ABIGAIL")</f>
        <v>ABIGAIL</v>
      </c>
      <c r="K118" s="158"/>
      <c r="L118" s="158" t="str">
        <f>IFERROR(__xludf.DUMMYFUNCTION("""COMPUTED_VALUE"""),"AVAILABLE IN AGENCY")</f>
        <v>AVAILABLE IN AGENCY</v>
      </c>
      <c r="M118" s="158" t="str">
        <f>IFERROR(__xludf.DUMMYFUNCTION("""COMPUTED_VALUE"""),"AVAILABLE")</f>
        <v>AVAILABLE</v>
      </c>
      <c r="N118" s="158" t="str">
        <f>IFERROR(__xludf.DUMMYFUNCTION("""COMPUTED_VALUE"""),"-")</f>
        <v>-</v>
      </c>
      <c r="O118" s="119"/>
      <c r="P118" s="119"/>
    </row>
    <row r="119">
      <c r="B119" s="157">
        <f>IFERROR(__xludf.DUMMYFUNCTION("""COMPUTED_VALUE"""),46085.0)</f>
        <v>46085</v>
      </c>
      <c r="C119" s="158"/>
      <c r="D119" s="158" t="str">
        <f>IFERROR(__xludf.DUMMYFUNCTION("""COMPUTED_VALUE"""),"HANDPHONE")</f>
        <v>HANDPHONE</v>
      </c>
      <c r="E119" s="159">
        <f>IFERROR(__xludf.DUMMYFUNCTION("""COMPUTED_VALUE"""),3.54922130015792E14)</f>
        <v>354922130015792</v>
      </c>
      <c r="F119" s="160" t="str">
        <f>IFERROR(__xludf.DUMMYFUNCTION("""COMPUTED_VALUE"""),"G-S25-EDGE 256GB SILVER")</f>
        <v>G-S25-EDGE 256GB SILVER</v>
      </c>
      <c r="G119" s="158" t="str">
        <f>IFERROR(__xludf.DUMMYFUNCTION("""COMPUTED_VALUE"""),"RETURN")</f>
        <v>RETURN</v>
      </c>
      <c r="H119" s="161"/>
      <c r="I119" s="158"/>
      <c r="J119" s="158" t="str">
        <f>IFERROR(__xludf.DUMMYFUNCTION("""COMPUTED_VALUE"""),"TASHYA")</f>
        <v>TASHYA</v>
      </c>
      <c r="K119" s="158"/>
      <c r="L119" s="158" t="str">
        <f>IFERROR(__xludf.DUMMYFUNCTION("""COMPUTED_VALUE"""),"AVAILABLE IN AGENCY")</f>
        <v>AVAILABLE IN AGENCY</v>
      </c>
      <c r="M119" s="158" t="str">
        <f>IFERROR(__xludf.DUMMYFUNCTION("""COMPUTED_VALUE"""),"LOANED / ON KOL")</f>
        <v>LOANED / ON KOL</v>
      </c>
      <c r="N119" s="158" t="str">
        <f>IFERROR(__xludf.DUMMYFUNCTION("""COMPUTED_VALUE"""),"Salma (carry untuk event galaxy studio)")</f>
        <v>Salma (carry untuk event galaxy studio)</v>
      </c>
      <c r="O119" s="119"/>
      <c r="P119" s="119"/>
    </row>
    <row r="120">
      <c r="B120" s="157">
        <f>IFERROR(__xludf.DUMMYFUNCTION("""COMPUTED_VALUE"""),46091.0)</f>
        <v>46091</v>
      </c>
      <c r="C120" s="158"/>
      <c r="D120" s="158" t="str">
        <f>IFERROR(__xludf.DUMMYFUNCTION("""COMPUTED_VALUE"""),"HANDPHONE")</f>
        <v>HANDPHONE</v>
      </c>
      <c r="E120" s="159">
        <f>IFERROR(__xludf.DUMMYFUNCTION("""COMPUTED_VALUE"""),3.54922130003558E14)</f>
        <v>354922130003558</v>
      </c>
      <c r="F120" s="160" t="str">
        <f>IFERROR(__xludf.DUMMYFUNCTION("""COMPUTED_VALUE"""),"G-S25-EDGE 256GB SILVER ")</f>
        <v>G-S25-EDGE 256GB SILVER </v>
      </c>
      <c r="G120" s="158" t="str">
        <f>IFERROR(__xludf.DUMMYFUNCTION("""COMPUTED_VALUE"""),"RETURN")</f>
        <v>RETURN</v>
      </c>
      <c r="H120" s="161"/>
      <c r="I120" s="158"/>
      <c r="J120" s="158"/>
      <c r="K120" s="158"/>
      <c r="L120" s="158" t="str">
        <f>IFERROR(__xludf.DUMMYFUNCTION("""COMPUTED_VALUE"""),"AVAILABLE IN AGENCY")</f>
        <v>AVAILABLE IN AGENCY</v>
      </c>
      <c r="M120" s="158" t="str">
        <f>IFERROR(__xludf.DUMMYFUNCTION("""COMPUTED_VALUE"""),"LOANED / ON KOL")</f>
        <v>LOANED / ON KOL</v>
      </c>
      <c r="N120" s="158" t="str">
        <f>IFERROR(__xludf.DUMMYFUNCTION("""COMPUTED_VALUE"""),"gaby saputra")</f>
        <v>gaby saputra</v>
      </c>
      <c r="O120" s="119"/>
      <c r="P120" s="119"/>
    </row>
    <row r="121">
      <c r="B121" s="157">
        <f>IFERROR(__xludf.DUMMYFUNCTION("""COMPUTED_VALUE"""),46097.0)</f>
        <v>46097</v>
      </c>
      <c r="C121" s="158"/>
      <c r="D121" s="158" t="str">
        <f>IFERROR(__xludf.DUMMYFUNCTION("""COMPUTED_VALUE"""),"HANDPHONE")</f>
        <v>HANDPHONE</v>
      </c>
      <c r="E121" s="159">
        <f>IFERROR(__xludf.DUMMYFUNCTION("""COMPUTED_VALUE"""),3.51298320007953E14)</f>
        <v>351298320007953</v>
      </c>
      <c r="F121" s="160" t="str">
        <f>IFERROR(__xludf.DUMMYFUNCTION("""COMPUTED_VALUE"""),"G-S25-FE 256GB WHITE")</f>
        <v>G-S25-FE 256GB WHITE</v>
      </c>
      <c r="G121" s="158" t="str">
        <f>IFERROR(__xludf.DUMMYFUNCTION("""COMPUTED_VALUE"""),"RETURN")</f>
        <v>RETURN</v>
      </c>
      <c r="H121" s="161"/>
      <c r="I121" s="158"/>
      <c r="J121" s="158"/>
      <c r="K121" s="158"/>
      <c r="L121" s="158" t="str">
        <f>IFERROR(__xludf.DUMMYFUNCTION("""COMPUTED_VALUE"""),"AVAILABLE IN AGENCY")</f>
        <v>AVAILABLE IN AGENCY</v>
      </c>
      <c r="M121" s="158" t="str">
        <f>IFERROR(__xludf.DUMMYFUNCTION("""COMPUTED_VALUE"""),"AVAILABLE")</f>
        <v>AVAILABLE</v>
      </c>
      <c r="N121" s="158" t="str">
        <f>IFERROR(__xludf.DUMMYFUNCTION("""COMPUTED_VALUE"""),"-")</f>
        <v>-</v>
      </c>
      <c r="O121" s="119"/>
      <c r="P121" s="119"/>
    </row>
    <row r="122">
      <c r="B122" s="157">
        <f>IFERROR(__xludf.DUMMYFUNCTION("""COMPUTED_VALUE"""),46097.0)</f>
        <v>46097</v>
      </c>
      <c r="C122" s="158"/>
      <c r="D122" s="158" t="str">
        <f>IFERROR(__xludf.DUMMYFUNCTION("""COMPUTED_VALUE"""),"HANDPHONE")</f>
        <v>HANDPHONE</v>
      </c>
      <c r="E122" s="159">
        <f>IFERROR(__xludf.DUMMYFUNCTION("""COMPUTED_VALUE"""),3.51298320309987E14)</f>
        <v>351298320309987</v>
      </c>
      <c r="F122" s="160" t="str">
        <f>IFERROR(__xludf.DUMMYFUNCTION("""COMPUTED_VALUE"""),"G-S25-FE 256GB NAVY")</f>
        <v>G-S25-FE 256GB NAVY</v>
      </c>
      <c r="G122" s="158" t="str">
        <f>IFERROR(__xludf.DUMMYFUNCTION("""COMPUTED_VALUE"""),"RETURN")</f>
        <v>RETURN</v>
      </c>
      <c r="H122" s="161"/>
      <c r="I122" s="158"/>
      <c r="J122" s="158"/>
      <c r="K122" s="158"/>
      <c r="L122" s="158" t="str">
        <f>IFERROR(__xludf.DUMMYFUNCTION("""COMPUTED_VALUE"""),"AVAILABLE IN AGENCY")</f>
        <v>AVAILABLE IN AGENCY</v>
      </c>
      <c r="M122" s="158" t="str">
        <f>IFERROR(__xludf.DUMMYFUNCTION("""COMPUTED_VALUE"""),"AVAILABLE")</f>
        <v>AVAILABLE</v>
      </c>
      <c r="N122" s="158" t="str">
        <f>IFERROR(__xludf.DUMMYFUNCTION("""COMPUTED_VALUE"""),"-")</f>
        <v>-</v>
      </c>
      <c r="O122" s="119"/>
      <c r="P122" s="119"/>
    </row>
    <row r="123">
      <c r="B123" s="157">
        <f>IFERROR(__xludf.DUMMYFUNCTION("""COMPUTED_VALUE"""),46097.0)</f>
        <v>46097</v>
      </c>
      <c r="C123" s="158"/>
      <c r="D123" s="158" t="str">
        <f>IFERROR(__xludf.DUMMYFUNCTION("""COMPUTED_VALUE"""),"HANDPHONE")</f>
        <v>HANDPHONE</v>
      </c>
      <c r="E123" s="159">
        <f>IFERROR(__xludf.DUMMYFUNCTION("""COMPUTED_VALUE"""),3.51298320592038E14)</f>
        <v>351298320592038</v>
      </c>
      <c r="F123" s="160" t="str">
        <f>IFERROR(__xludf.DUMMYFUNCTION("""COMPUTED_VALUE"""),"G-S25-FE 256GB ICY BLUE")</f>
        <v>G-S25-FE 256GB ICY BLUE</v>
      </c>
      <c r="G123" s="158" t="str">
        <f>IFERROR(__xludf.DUMMYFUNCTION("""COMPUTED_VALUE"""),"RETURN")</f>
        <v>RETURN</v>
      </c>
      <c r="H123" s="161"/>
      <c r="I123" s="158"/>
      <c r="J123" s="158"/>
      <c r="K123" s="158"/>
      <c r="L123" s="158" t="str">
        <f>IFERROR(__xludf.DUMMYFUNCTION("""COMPUTED_VALUE"""),"AVAILABLE IN AGENCY")</f>
        <v>AVAILABLE IN AGENCY</v>
      </c>
      <c r="M123" s="158" t="str">
        <f>IFERROR(__xludf.DUMMYFUNCTION("""COMPUTED_VALUE"""),"AVAILABLE")</f>
        <v>AVAILABLE</v>
      </c>
      <c r="N123" s="158" t="str">
        <f>IFERROR(__xludf.DUMMYFUNCTION("""COMPUTED_VALUE"""),"-")</f>
        <v>-</v>
      </c>
      <c r="O123" s="119"/>
      <c r="P123" s="119"/>
    </row>
    <row r="124">
      <c r="B124" s="157">
        <f>IFERROR(__xludf.DUMMYFUNCTION("""COMPUTED_VALUE"""),46097.0)</f>
        <v>46097</v>
      </c>
      <c r="C124" s="158"/>
      <c r="D124" s="158" t="str">
        <f>IFERROR(__xludf.DUMMYFUNCTION("""COMPUTED_VALUE"""),"HANDPHONE")</f>
        <v>HANDPHONE</v>
      </c>
      <c r="E124" s="159">
        <f>IFERROR(__xludf.DUMMYFUNCTION("""COMPUTED_VALUE"""),3.51298320100204E14)</f>
        <v>351298320100204</v>
      </c>
      <c r="F124" s="160" t="str">
        <f>IFERROR(__xludf.DUMMYFUNCTION("""COMPUTED_VALUE"""),"G-S25-FE 256GB ICY BLUE")</f>
        <v>G-S25-FE 256GB ICY BLUE</v>
      </c>
      <c r="G124" s="158" t="str">
        <f>IFERROR(__xludf.DUMMYFUNCTION("""COMPUTED_VALUE"""),"RETURN")</f>
        <v>RETURN</v>
      </c>
      <c r="H124" s="161"/>
      <c r="I124" s="158"/>
      <c r="J124" s="158"/>
      <c r="K124" s="158"/>
      <c r="L124" s="158" t="str">
        <f>IFERROR(__xludf.DUMMYFUNCTION("""COMPUTED_VALUE"""),"AVAILABLE IN AGENCY")</f>
        <v>AVAILABLE IN AGENCY</v>
      </c>
      <c r="M124" s="158" t="str">
        <f>IFERROR(__xludf.DUMMYFUNCTION("""COMPUTED_VALUE"""),"AVAILABLE")</f>
        <v>AVAILABLE</v>
      </c>
      <c r="N124" s="158" t="str">
        <f>IFERROR(__xludf.DUMMYFUNCTION("""COMPUTED_VALUE"""),"-")</f>
        <v>-</v>
      </c>
      <c r="O124" s="119"/>
      <c r="P124" s="119"/>
    </row>
    <row r="125">
      <c r="B125" s="158"/>
      <c r="C125" s="158"/>
      <c r="D125" s="158"/>
      <c r="E125" s="158"/>
      <c r="F125" s="160"/>
      <c r="G125" s="158"/>
      <c r="H125" s="158"/>
      <c r="I125" s="158"/>
      <c r="J125" s="158"/>
      <c r="K125" s="158"/>
      <c r="L125" s="158"/>
      <c r="M125" s="158"/>
      <c r="N125" s="158"/>
    </row>
    <row r="126">
      <c r="B126" s="158"/>
      <c r="C126" s="158"/>
      <c r="D126" s="158"/>
      <c r="E126" s="158"/>
      <c r="F126" s="160"/>
      <c r="G126" s="158"/>
      <c r="H126" s="158"/>
      <c r="I126" s="158"/>
      <c r="J126" s="158"/>
      <c r="K126" s="158"/>
      <c r="L126" s="158"/>
      <c r="M126" s="158"/>
      <c r="N126" s="158"/>
    </row>
    <row r="127">
      <c r="B127" s="158"/>
      <c r="C127" s="158"/>
      <c r="D127" s="158"/>
      <c r="E127" s="158"/>
      <c r="F127" s="160"/>
      <c r="G127" s="158"/>
      <c r="H127" s="158"/>
      <c r="I127" s="158"/>
      <c r="J127" s="158"/>
      <c r="K127" s="158"/>
      <c r="L127" s="158"/>
      <c r="M127" s="158"/>
      <c r="N127" s="158"/>
    </row>
    <row r="128">
      <c r="B128" s="158"/>
      <c r="C128" s="158"/>
      <c r="D128" s="158"/>
      <c r="E128" s="158"/>
      <c r="F128" s="160"/>
      <c r="G128" s="158"/>
      <c r="H128" s="158"/>
      <c r="I128" s="158"/>
      <c r="J128" s="158"/>
      <c r="K128" s="158"/>
      <c r="L128" s="158"/>
      <c r="M128" s="158"/>
      <c r="N128" s="158"/>
    </row>
    <row r="129">
      <c r="B129" s="158"/>
      <c r="C129" s="158"/>
      <c r="D129" s="158"/>
      <c r="E129" s="158"/>
      <c r="F129" s="160"/>
      <c r="G129" s="158"/>
      <c r="H129" s="158"/>
      <c r="I129" s="158"/>
      <c r="J129" s="158"/>
      <c r="K129" s="158"/>
      <c r="L129" s="158"/>
      <c r="M129" s="158"/>
      <c r="N129" s="158"/>
    </row>
    <row r="130">
      <c r="B130" s="158"/>
      <c r="C130" s="158"/>
      <c r="D130" s="158"/>
      <c r="E130" s="158"/>
      <c r="F130" s="160"/>
      <c r="G130" s="158"/>
      <c r="H130" s="158"/>
      <c r="I130" s="158"/>
      <c r="J130" s="158"/>
      <c r="K130" s="158"/>
      <c r="L130" s="158"/>
      <c r="M130" s="158"/>
      <c r="N130" s="158"/>
    </row>
    <row r="131">
      <c r="B131" s="158"/>
      <c r="C131" s="158"/>
      <c r="D131" s="158"/>
      <c r="E131" s="158"/>
      <c r="F131" s="160"/>
      <c r="G131" s="158"/>
      <c r="H131" s="158"/>
      <c r="I131" s="158"/>
      <c r="J131" s="158"/>
      <c r="K131" s="158"/>
      <c r="L131" s="158"/>
      <c r="M131" s="158"/>
      <c r="N131" s="158"/>
    </row>
    <row r="132">
      <c r="B132" s="158"/>
      <c r="C132" s="158"/>
      <c r="D132" s="158"/>
      <c r="E132" s="158"/>
      <c r="F132" s="160"/>
      <c r="G132" s="158"/>
      <c r="H132" s="158"/>
      <c r="I132" s="158"/>
      <c r="J132" s="158"/>
      <c r="K132" s="158"/>
      <c r="L132" s="158"/>
      <c r="M132" s="158"/>
      <c r="N132" s="158"/>
    </row>
    <row r="133">
      <c r="B133" s="158"/>
      <c r="C133" s="158"/>
      <c r="D133" s="158"/>
      <c r="E133" s="158"/>
      <c r="F133" s="160"/>
      <c r="G133" s="158"/>
      <c r="H133" s="158"/>
      <c r="I133" s="158"/>
      <c r="J133" s="158"/>
      <c r="K133" s="158"/>
      <c r="L133" s="158"/>
      <c r="M133" s="158"/>
      <c r="N133" s="158"/>
    </row>
    <row r="134">
      <c r="B134" s="158"/>
      <c r="C134" s="158"/>
      <c r="D134" s="158"/>
      <c r="E134" s="158"/>
      <c r="F134" s="160"/>
      <c r="G134" s="158"/>
      <c r="H134" s="158"/>
      <c r="I134" s="158"/>
      <c r="J134" s="158"/>
      <c r="K134" s="158"/>
      <c r="L134" s="158"/>
      <c r="M134" s="158"/>
      <c r="N134" s="158"/>
    </row>
    <row r="135">
      <c r="B135" s="158"/>
      <c r="C135" s="158"/>
      <c r="D135" s="158"/>
      <c r="E135" s="158"/>
      <c r="F135" s="160"/>
      <c r="G135" s="158"/>
      <c r="H135" s="158"/>
      <c r="I135" s="158"/>
      <c r="J135" s="158"/>
      <c r="K135" s="158"/>
      <c r="L135" s="158"/>
      <c r="M135" s="158"/>
      <c r="N135" s="158"/>
    </row>
    <row r="136">
      <c r="B136" s="158"/>
      <c r="C136" s="158"/>
      <c r="D136" s="158"/>
      <c r="E136" s="158"/>
      <c r="F136" s="160"/>
      <c r="G136" s="158"/>
      <c r="H136" s="158"/>
      <c r="I136" s="158"/>
      <c r="J136" s="158"/>
      <c r="K136" s="158"/>
      <c r="L136" s="158"/>
      <c r="M136" s="158"/>
      <c r="N136" s="158"/>
    </row>
    <row r="137">
      <c r="B137" s="158"/>
      <c r="C137" s="158"/>
      <c r="D137" s="158"/>
      <c r="E137" s="158"/>
      <c r="F137" s="160"/>
      <c r="G137" s="158"/>
      <c r="H137" s="158"/>
      <c r="I137" s="158"/>
      <c r="J137" s="158"/>
      <c r="K137" s="158"/>
      <c r="L137" s="158"/>
      <c r="M137" s="158"/>
      <c r="N137" s="158"/>
    </row>
    <row r="138">
      <c r="B138" s="158"/>
      <c r="C138" s="158"/>
      <c r="D138" s="158"/>
      <c r="E138" s="158"/>
      <c r="F138" s="160"/>
      <c r="G138" s="158"/>
      <c r="H138" s="158"/>
      <c r="I138" s="158"/>
      <c r="J138" s="158"/>
      <c r="K138" s="158"/>
      <c r="L138" s="158"/>
      <c r="M138" s="158"/>
      <c r="N138" s="158"/>
    </row>
    <row r="139">
      <c r="B139" s="158"/>
      <c r="C139" s="158"/>
      <c r="D139" s="158"/>
      <c r="E139" s="158"/>
      <c r="F139" s="160"/>
      <c r="G139" s="158"/>
      <c r="H139" s="158"/>
      <c r="I139" s="158"/>
      <c r="J139" s="158"/>
      <c r="K139" s="158"/>
      <c r="L139" s="158"/>
      <c r="M139" s="158"/>
      <c r="N139" s="158"/>
    </row>
    <row r="140">
      <c r="B140" s="158"/>
      <c r="C140" s="158"/>
      <c r="D140" s="158"/>
      <c r="E140" s="158"/>
      <c r="F140" s="160"/>
      <c r="G140" s="158"/>
      <c r="H140" s="158"/>
      <c r="I140" s="158"/>
      <c r="J140" s="158"/>
      <c r="K140" s="158"/>
      <c r="L140" s="158"/>
      <c r="M140" s="158"/>
      <c r="N140" s="158"/>
    </row>
    <row r="141">
      <c r="B141" s="158"/>
      <c r="C141" s="158"/>
      <c r="D141" s="158"/>
      <c r="E141" s="158"/>
      <c r="F141" s="160"/>
      <c r="G141" s="158"/>
      <c r="H141" s="158"/>
      <c r="I141" s="158"/>
      <c r="J141" s="158"/>
      <c r="K141" s="158"/>
      <c r="L141" s="158"/>
      <c r="M141" s="158"/>
      <c r="N141" s="158"/>
    </row>
    <row r="142">
      <c r="B142" s="158"/>
      <c r="C142" s="158"/>
      <c r="D142" s="158"/>
      <c r="E142" s="158"/>
      <c r="F142" s="160"/>
      <c r="G142" s="158"/>
      <c r="H142" s="158"/>
      <c r="I142" s="158"/>
      <c r="J142" s="158"/>
      <c r="K142" s="158"/>
      <c r="L142" s="158"/>
      <c r="M142" s="158"/>
      <c r="N142" s="158"/>
    </row>
    <row r="143">
      <c r="B143" s="158"/>
      <c r="C143" s="158"/>
      <c r="D143" s="158"/>
      <c r="E143" s="158"/>
      <c r="F143" s="160"/>
      <c r="G143" s="158"/>
      <c r="H143" s="158"/>
      <c r="I143" s="158"/>
      <c r="J143" s="158"/>
      <c r="K143" s="158"/>
      <c r="L143" s="158"/>
      <c r="M143" s="158"/>
      <c r="N143" s="158"/>
    </row>
    <row r="144">
      <c r="B144" s="158"/>
      <c r="C144" s="158"/>
      <c r="D144" s="158"/>
      <c r="E144" s="158"/>
      <c r="F144" s="160"/>
      <c r="G144" s="158"/>
      <c r="H144" s="158"/>
      <c r="I144" s="158"/>
      <c r="J144" s="158"/>
      <c r="K144" s="158"/>
      <c r="L144" s="158"/>
      <c r="M144" s="158"/>
      <c r="N144" s="158"/>
    </row>
    <row r="145">
      <c r="B145" s="158"/>
      <c r="C145" s="158"/>
      <c r="D145" s="158"/>
      <c r="E145" s="158"/>
      <c r="F145" s="160"/>
      <c r="G145" s="158"/>
      <c r="H145" s="158"/>
      <c r="I145" s="158"/>
      <c r="J145" s="158"/>
      <c r="K145" s="158"/>
      <c r="L145" s="158"/>
      <c r="M145" s="158"/>
      <c r="N145" s="158"/>
    </row>
    <row r="146">
      <c r="B146" s="158"/>
      <c r="C146" s="158"/>
      <c r="D146" s="158"/>
      <c r="E146" s="158"/>
      <c r="F146" s="160"/>
      <c r="G146" s="158"/>
      <c r="H146" s="158"/>
      <c r="I146" s="158"/>
      <c r="J146" s="158"/>
      <c r="K146" s="158"/>
      <c r="L146" s="158"/>
      <c r="M146" s="158"/>
      <c r="N146" s="158"/>
    </row>
    <row r="147">
      <c r="B147" s="158"/>
      <c r="C147" s="158"/>
      <c r="D147" s="158"/>
      <c r="E147" s="158"/>
      <c r="F147" s="160"/>
      <c r="G147" s="158"/>
      <c r="H147" s="158"/>
      <c r="I147" s="158"/>
      <c r="J147" s="158"/>
      <c r="K147" s="158"/>
      <c r="L147" s="158"/>
      <c r="M147" s="158"/>
      <c r="N147" s="158"/>
    </row>
    <row r="148">
      <c r="B148" s="158"/>
      <c r="C148" s="158"/>
      <c r="D148" s="158"/>
      <c r="E148" s="158"/>
      <c r="F148" s="160"/>
      <c r="G148" s="158"/>
      <c r="H148" s="158"/>
      <c r="I148" s="158"/>
      <c r="J148" s="158"/>
      <c r="K148" s="158"/>
      <c r="L148" s="158"/>
      <c r="M148" s="158"/>
      <c r="N148" s="158"/>
    </row>
    <row r="149">
      <c r="B149" s="158"/>
      <c r="C149" s="158"/>
      <c r="D149" s="158"/>
      <c r="E149" s="158"/>
      <c r="F149" s="160"/>
      <c r="G149" s="158"/>
      <c r="H149" s="158"/>
      <c r="I149" s="158"/>
      <c r="J149" s="158"/>
      <c r="K149" s="158"/>
      <c r="L149" s="158"/>
      <c r="M149" s="158"/>
      <c r="N149" s="158"/>
    </row>
    <row r="150">
      <c r="B150" s="158"/>
      <c r="C150" s="158"/>
      <c r="D150" s="158"/>
      <c r="E150" s="158"/>
      <c r="F150" s="160"/>
      <c r="G150" s="158"/>
      <c r="H150" s="158"/>
      <c r="I150" s="158"/>
      <c r="J150" s="158"/>
      <c r="K150" s="158"/>
      <c r="L150" s="158"/>
      <c r="M150" s="158"/>
      <c r="N150" s="158"/>
    </row>
    <row r="151">
      <c r="B151" s="158"/>
      <c r="C151" s="158"/>
      <c r="D151" s="158"/>
      <c r="E151" s="158"/>
      <c r="F151" s="160"/>
      <c r="G151" s="158"/>
      <c r="H151" s="158"/>
      <c r="I151" s="158"/>
      <c r="J151" s="158"/>
      <c r="K151" s="158"/>
      <c r="L151" s="158"/>
      <c r="M151" s="158"/>
      <c r="N151" s="158"/>
    </row>
    <row r="152">
      <c r="B152" s="158"/>
      <c r="C152" s="158"/>
      <c r="D152" s="158"/>
      <c r="E152" s="158"/>
      <c r="F152" s="160"/>
      <c r="G152" s="158"/>
      <c r="H152" s="158"/>
      <c r="I152" s="158"/>
      <c r="J152" s="158"/>
      <c r="K152" s="158"/>
      <c r="L152" s="158"/>
      <c r="M152" s="158"/>
      <c r="N152" s="158"/>
    </row>
    <row r="153">
      <c r="B153" s="158"/>
      <c r="C153" s="158"/>
      <c r="D153" s="158"/>
      <c r="E153" s="158"/>
      <c r="F153" s="160"/>
      <c r="G153" s="158"/>
      <c r="H153" s="158"/>
      <c r="I153" s="158"/>
      <c r="J153" s="158"/>
      <c r="K153" s="158"/>
      <c r="L153" s="158"/>
      <c r="M153" s="158"/>
      <c r="N153" s="158"/>
    </row>
    <row r="154">
      <c r="B154" s="158"/>
      <c r="C154" s="158"/>
      <c r="D154" s="158"/>
      <c r="E154" s="158"/>
      <c r="F154" s="160"/>
      <c r="G154" s="158"/>
      <c r="H154" s="158"/>
      <c r="I154" s="158"/>
      <c r="J154" s="158"/>
      <c r="K154" s="158"/>
      <c r="L154" s="158"/>
      <c r="M154" s="158"/>
      <c r="N154" s="158"/>
    </row>
    <row r="155">
      <c r="B155" s="158"/>
      <c r="C155" s="158"/>
      <c r="D155" s="158"/>
      <c r="E155" s="158"/>
      <c r="F155" s="160"/>
      <c r="G155" s="158"/>
      <c r="H155" s="158"/>
      <c r="I155" s="158"/>
      <c r="J155" s="158"/>
      <c r="K155" s="158"/>
      <c r="L155" s="158"/>
      <c r="M155" s="158"/>
      <c r="N155" s="158"/>
    </row>
    <row r="156">
      <c r="B156" s="158"/>
      <c r="C156" s="158"/>
      <c r="D156" s="158"/>
      <c r="E156" s="158"/>
      <c r="F156" s="160"/>
      <c r="G156" s="158"/>
      <c r="H156" s="158"/>
      <c r="I156" s="158"/>
      <c r="J156" s="158"/>
      <c r="K156" s="158"/>
      <c r="L156" s="158"/>
      <c r="M156" s="158"/>
      <c r="N156" s="158"/>
    </row>
    <row r="157">
      <c r="B157" s="158"/>
      <c r="C157" s="158"/>
      <c r="D157" s="158"/>
      <c r="E157" s="158"/>
      <c r="F157" s="160"/>
      <c r="G157" s="158"/>
      <c r="H157" s="158"/>
      <c r="I157" s="158"/>
      <c r="J157" s="158"/>
      <c r="K157" s="158"/>
      <c r="L157" s="158"/>
      <c r="M157" s="158"/>
      <c r="N157" s="158"/>
    </row>
    <row r="158">
      <c r="B158" s="158"/>
      <c r="C158" s="158"/>
      <c r="D158" s="158"/>
      <c r="E158" s="158"/>
      <c r="F158" s="160"/>
      <c r="G158" s="158"/>
      <c r="H158" s="158"/>
      <c r="I158" s="158"/>
      <c r="J158" s="158"/>
      <c r="K158" s="158"/>
      <c r="L158" s="158"/>
      <c r="M158" s="158"/>
      <c r="N158" s="158"/>
    </row>
    <row r="159">
      <c r="B159" s="158"/>
      <c r="C159" s="158"/>
      <c r="D159" s="158"/>
      <c r="E159" s="158"/>
      <c r="F159" s="160"/>
      <c r="G159" s="158"/>
      <c r="H159" s="158"/>
      <c r="I159" s="158"/>
      <c r="J159" s="158"/>
      <c r="K159" s="158"/>
      <c r="L159" s="158"/>
      <c r="M159" s="158"/>
      <c r="N159" s="158"/>
    </row>
    <row r="160">
      <c r="B160" s="158"/>
      <c r="C160" s="158"/>
      <c r="D160" s="158"/>
      <c r="E160" s="158"/>
      <c r="F160" s="160"/>
      <c r="G160" s="158"/>
      <c r="H160" s="158"/>
      <c r="I160" s="158"/>
      <c r="J160" s="158"/>
      <c r="K160" s="158"/>
      <c r="L160" s="158"/>
      <c r="M160" s="158"/>
      <c r="N160" s="158"/>
    </row>
    <row r="161">
      <c r="B161" s="158"/>
      <c r="C161" s="158"/>
      <c r="D161" s="158"/>
      <c r="E161" s="158"/>
      <c r="F161" s="160"/>
      <c r="G161" s="158"/>
      <c r="H161" s="158"/>
      <c r="I161" s="158"/>
      <c r="J161" s="158"/>
      <c r="K161" s="158"/>
      <c r="L161" s="158"/>
      <c r="M161" s="158"/>
      <c r="N161" s="158"/>
    </row>
    <row r="162">
      <c r="B162" s="158"/>
      <c r="C162" s="158"/>
      <c r="D162" s="158"/>
      <c r="E162" s="158"/>
      <c r="F162" s="160"/>
      <c r="G162" s="158"/>
      <c r="H162" s="158"/>
      <c r="I162" s="158"/>
      <c r="J162" s="158"/>
      <c r="K162" s="158"/>
      <c r="L162" s="158"/>
      <c r="M162" s="158"/>
      <c r="N162" s="158"/>
    </row>
    <row r="163">
      <c r="B163" s="158"/>
      <c r="C163" s="158"/>
      <c r="D163" s="158"/>
      <c r="E163" s="158"/>
      <c r="F163" s="160"/>
      <c r="G163" s="158"/>
      <c r="H163" s="158"/>
      <c r="I163" s="158"/>
      <c r="J163" s="158"/>
      <c r="K163" s="158"/>
      <c r="L163" s="158"/>
      <c r="M163" s="158"/>
      <c r="N163" s="158"/>
    </row>
    <row r="164">
      <c r="B164" s="158"/>
      <c r="C164" s="158"/>
      <c r="D164" s="158"/>
      <c r="E164" s="158"/>
      <c r="F164" s="160"/>
      <c r="G164" s="158"/>
      <c r="H164" s="158"/>
      <c r="I164" s="158"/>
      <c r="J164" s="158"/>
      <c r="K164" s="158"/>
      <c r="L164" s="158"/>
      <c r="M164" s="158"/>
      <c r="N164" s="158"/>
    </row>
    <row r="165">
      <c r="B165" s="158"/>
      <c r="C165" s="158"/>
      <c r="D165" s="158"/>
      <c r="E165" s="158"/>
      <c r="F165" s="160"/>
      <c r="G165" s="158"/>
      <c r="H165" s="158"/>
      <c r="I165" s="158"/>
      <c r="J165" s="158"/>
      <c r="K165" s="158"/>
      <c r="L165" s="158"/>
      <c r="M165" s="158"/>
      <c r="N165" s="158"/>
    </row>
    <row r="166">
      <c r="B166" s="158"/>
      <c r="C166" s="158"/>
      <c r="D166" s="158"/>
      <c r="E166" s="158"/>
      <c r="F166" s="160"/>
      <c r="G166" s="158"/>
      <c r="H166" s="158"/>
      <c r="I166" s="158"/>
      <c r="J166" s="158"/>
      <c r="K166" s="158"/>
      <c r="L166" s="158"/>
      <c r="M166" s="158"/>
      <c r="N166" s="158"/>
    </row>
    <row r="167">
      <c r="B167" s="158"/>
      <c r="C167" s="158"/>
      <c r="D167" s="158"/>
      <c r="E167" s="158"/>
      <c r="F167" s="160"/>
      <c r="G167" s="158"/>
      <c r="H167" s="158"/>
      <c r="I167" s="158"/>
      <c r="J167" s="158"/>
      <c r="K167" s="158"/>
      <c r="L167" s="158"/>
      <c r="M167" s="158"/>
      <c r="N167" s="158"/>
    </row>
    <row r="168">
      <c r="B168" s="158"/>
      <c r="C168" s="158"/>
      <c r="D168" s="158"/>
      <c r="E168" s="158"/>
      <c r="F168" s="160"/>
      <c r="G168" s="158"/>
      <c r="H168" s="158"/>
      <c r="I168" s="158"/>
      <c r="J168" s="158"/>
      <c r="K168" s="158"/>
      <c r="L168" s="158"/>
      <c r="M168" s="158"/>
      <c r="N168" s="158"/>
    </row>
    <row r="169">
      <c r="B169" s="158"/>
      <c r="C169" s="158"/>
      <c r="D169" s="158"/>
      <c r="E169" s="158"/>
      <c r="F169" s="160"/>
      <c r="G169" s="158"/>
      <c r="H169" s="158"/>
      <c r="I169" s="158"/>
      <c r="J169" s="158"/>
      <c r="K169" s="158"/>
      <c r="L169" s="158"/>
      <c r="M169" s="158"/>
      <c r="N169" s="158"/>
    </row>
    <row r="170">
      <c r="B170" s="158"/>
      <c r="C170" s="158"/>
      <c r="D170" s="158"/>
      <c r="E170" s="158"/>
      <c r="F170" s="160"/>
      <c r="G170" s="158"/>
      <c r="H170" s="158"/>
      <c r="I170" s="158"/>
      <c r="J170" s="158"/>
      <c r="K170" s="158"/>
      <c r="L170" s="158"/>
      <c r="M170" s="158"/>
      <c r="N170" s="158"/>
    </row>
    <row r="171">
      <c r="B171" s="158"/>
      <c r="C171" s="158"/>
      <c r="D171" s="158"/>
      <c r="E171" s="158"/>
      <c r="F171" s="160"/>
      <c r="G171" s="158"/>
      <c r="H171" s="158"/>
      <c r="I171" s="158"/>
      <c r="J171" s="158"/>
      <c r="K171" s="158"/>
      <c r="L171" s="158"/>
      <c r="M171" s="158"/>
      <c r="N171" s="158"/>
    </row>
    <row r="172">
      <c r="B172" s="158"/>
      <c r="C172" s="158"/>
      <c r="D172" s="158"/>
      <c r="E172" s="158"/>
      <c r="F172" s="160"/>
      <c r="G172" s="158"/>
      <c r="H172" s="158"/>
      <c r="I172" s="158"/>
      <c r="J172" s="158"/>
      <c r="K172" s="158"/>
      <c r="L172" s="158"/>
      <c r="M172" s="158"/>
      <c r="N172" s="158"/>
    </row>
    <row r="173">
      <c r="B173" s="158"/>
      <c r="C173" s="158"/>
      <c r="D173" s="158"/>
      <c r="E173" s="158"/>
      <c r="F173" s="160"/>
      <c r="G173" s="158"/>
      <c r="H173" s="158"/>
      <c r="I173" s="158"/>
      <c r="J173" s="158"/>
      <c r="K173" s="158"/>
      <c r="L173" s="158"/>
      <c r="M173" s="158"/>
      <c r="N173" s="158"/>
    </row>
    <row r="174">
      <c r="B174" s="158"/>
      <c r="C174" s="158"/>
      <c r="D174" s="158"/>
      <c r="E174" s="158"/>
      <c r="F174" s="160"/>
      <c r="G174" s="158"/>
      <c r="H174" s="158"/>
      <c r="I174" s="158"/>
      <c r="J174" s="158"/>
      <c r="K174" s="158"/>
      <c r="L174" s="158"/>
      <c r="M174" s="158"/>
      <c r="N174" s="158"/>
    </row>
    <row r="175">
      <c r="B175" s="158"/>
      <c r="C175" s="158"/>
      <c r="D175" s="158"/>
      <c r="E175" s="158"/>
      <c r="F175" s="160"/>
      <c r="G175" s="158"/>
      <c r="H175" s="158"/>
      <c r="I175" s="158"/>
      <c r="J175" s="158"/>
      <c r="K175" s="158"/>
      <c r="L175" s="158"/>
      <c r="M175" s="158"/>
      <c r="N175" s="158"/>
    </row>
    <row r="176">
      <c r="B176" s="158"/>
      <c r="C176" s="158"/>
      <c r="D176" s="158"/>
      <c r="E176" s="158"/>
      <c r="F176" s="160"/>
      <c r="G176" s="158"/>
      <c r="H176" s="158"/>
      <c r="I176" s="158"/>
      <c r="J176" s="158"/>
      <c r="K176" s="158"/>
      <c r="L176" s="158"/>
      <c r="M176" s="158"/>
      <c r="N176" s="158"/>
    </row>
    <row r="177">
      <c r="B177" s="158"/>
      <c r="C177" s="158"/>
      <c r="D177" s="158"/>
      <c r="E177" s="158"/>
      <c r="F177" s="160"/>
      <c r="G177" s="158"/>
      <c r="H177" s="158"/>
      <c r="I177" s="158"/>
      <c r="J177" s="158"/>
      <c r="K177" s="158"/>
      <c r="L177" s="158"/>
      <c r="M177" s="158"/>
      <c r="N177" s="158"/>
    </row>
    <row r="178">
      <c r="B178" s="158"/>
      <c r="C178" s="158"/>
      <c r="D178" s="158"/>
      <c r="E178" s="158"/>
      <c r="F178" s="160"/>
      <c r="G178" s="158"/>
      <c r="H178" s="158"/>
      <c r="I178" s="158"/>
      <c r="J178" s="158"/>
      <c r="K178" s="158"/>
      <c r="L178" s="158"/>
      <c r="M178" s="158"/>
      <c r="N178" s="158"/>
    </row>
    <row r="179">
      <c r="B179" s="158"/>
      <c r="C179" s="158"/>
      <c r="D179" s="158"/>
      <c r="E179" s="158"/>
      <c r="F179" s="160"/>
      <c r="G179" s="158"/>
      <c r="H179" s="158"/>
      <c r="I179" s="158"/>
      <c r="J179" s="158"/>
      <c r="K179" s="158"/>
      <c r="L179" s="158"/>
      <c r="M179" s="158"/>
      <c r="N179" s="158"/>
    </row>
    <row r="180">
      <c r="B180" s="158"/>
      <c r="C180" s="158"/>
      <c r="D180" s="158"/>
      <c r="E180" s="158"/>
      <c r="F180" s="160"/>
      <c r="G180" s="158"/>
      <c r="H180" s="158"/>
      <c r="I180" s="158"/>
      <c r="J180" s="158"/>
      <c r="K180" s="158"/>
      <c r="L180" s="158"/>
      <c r="M180" s="158"/>
      <c r="N180" s="158"/>
    </row>
    <row r="181">
      <c r="B181" s="158"/>
      <c r="C181" s="158"/>
      <c r="D181" s="158"/>
      <c r="E181" s="158"/>
      <c r="F181" s="160"/>
      <c r="G181" s="158"/>
      <c r="H181" s="158"/>
      <c r="I181" s="158"/>
      <c r="J181" s="158"/>
      <c r="K181" s="158"/>
      <c r="L181" s="158"/>
      <c r="M181" s="158"/>
      <c r="N181" s="158"/>
    </row>
    <row r="182">
      <c r="B182" s="158"/>
      <c r="C182" s="158"/>
      <c r="D182" s="158"/>
      <c r="E182" s="158"/>
      <c r="F182" s="160"/>
      <c r="G182" s="158"/>
      <c r="H182" s="158"/>
      <c r="I182" s="158"/>
      <c r="J182" s="158"/>
      <c r="K182" s="158"/>
      <c r="L182" s="158"/>
      <c r="M182" s="158"/>
      <c r="N182" s="158"/>
    </row>
    <row r="183">
      <c r="B183" s="158"/>
      <c r="C183" s="158"/>
      <c r="D183" s="158"/>
      <c r="E183" s="158"/>
      <c r="F183" s="160"/>
      <c r="G183" s="158"/>
      <c r="H183" s="158"/>
      <c r="I183" s="158"/>
      <c r="J183" s="158"/>
      <c r="K183" s="158"/>
      <c r="L183" s="158"/>
      <c r="M183" s="158"/>
      <c r="N183" s="158"/>
    </row>
    <row r="184">
      <c r="B184" s="158"/>
      <c r="C184" s="158"/>
      <c r="D184" s="158"/>
      <c r="E184" s="158"/>
      <c r="F184" s="160"/>
      <c r="G184" s="158"/>
      <c r="H184" s="158"/>
      <c r="I184" s="158"/>
      <c r="J184" s="158"/>
      <c r="K184" s="158"/>
      <c r="L184" s="158"/>
      <c r="M184" s="158"/>
      <c r="N184" s="158"/>
    </row>
    <row r="185">
      <c r="B185" s="158"/>
      <c r="C185" s="158"/>
      <c r="D185" s="158"/>
      <c r="E185" s="158"/>
      <c r="F185" s="160"/>
      <c r="G185" s="158"/>
      <c r="H185" s="158"/>
      <c r="I185" s="158"/>
      <c r="J185" s="158"/>
      <c r="K185" s="158"/>
      <c r="L185" s="158"/>
      <c r="M185" s="158"/>
      <c r="N185" s="158"/>
    </row>
    <row r="186">
      <c r="B186" s="158"/>
      <c r="C186" s="158"/>
      <c r="D186" s="158"/>
      <c r="E186" s="158"/>
      <c r="F186" s="160"/>
      <c r="G186" s="158"/>
      <c r="H186" s="158"/>
      <c r="I186" s="158"/>
      <c r="J186" s="158"/>
      <c r="K186" s="158"/>
      <c r="L186" s="158"/>
      <c r="M186" s="158"/>
      <c r="N186" s="158"/>
    </row>
    <row r="187">
      <c r="B187" s="158"/>
      <c r="C187" s="158"/>
      <c r="D187" s="158"/>
      <c r="E187" s="158"/>
      <c r="F187" s="160"/>
      <c r="G187" s="158"/>
      <c r="H187" s="158"/>
      <c r="I187" s="158"/>
      <c r="J187" s="158"/>
      <c r="K187" s="158"/>
      <c r="L187" s="158"/>
      <c r="M187" s="158"/>
      <c r="N187" s="158"/>
    </row>
    <row r="188">
      <c r="B188" s="158"/>
      <c r="C188" s="158"/>
      <c r="D188" s="158"/>
      <c r="E188" s="158"/>
      <c r="F188" s="160"/>
      <c r="G188" s="158"/>
      <c r="H188" s="158"/>
      <c r="I188" s="158"/>
      <c r="J188" s="158"/>
      <c r="K188" s="158"/>
      <c r="L188" s="158"/>
      <c r="M188" s="158"/>
      <c r="N188" s="158"/>
    </row>
    <row r="189">
      <c r="B189" s="158"/>
      <c r="C189" s="158"/>
      <c r="D189" s="158"/>
      <c r="E189" s="158"/>
      <c r="F189" s="160"/>
      <c r="G189" s="158"/>
      <c r="H189" s="158"/>
      <c r="I189" s="158"/>
      <c r="J189" s="158"/>
      <c r="K189" s="158"/>
      <c r="L189" s="158"/>
      <c r="M189" s="158"/>
      <c r="N189" s="158"/>
    </row>
    <row r="190">
      <c r="B190" s="158"/>
      <c r="C190" s="158"/>
      <c r="D190" s="158"/>
      <c r="E190" s="158"/>
      <c r="F190" s="160"/>
      <c r="G190" s="158"/>
      <c r="H190" s="158"/>
      <c r="I190" s="158"/>
      <c r="J190" s="158"/>
      <c r="K190" s="158"/>
      <c r="L190" s="158"/>
      <c r="M190" s="158"/>
      <c r="N190" s="158"/>
    </row>
    <row r="191">
      <c r="B191" s="158"/>
      <c r="C191" s="158"/>
      <c r="D191" s="158"/>
      <c r="E191" s="158"/>
      <c r="F191" s="160"/>
      <c r="G191" s="158"/>
      <c r="H191" s="158"/>
      <c r="I191" s="158"/>
      <c r="J191" s="158"/>
      <c r="K191" s="158"/>
      <c r="L191" s="158"/>
      <c r="M191" s="158"/>
      <c r="N191" s="158"/>
    </row>
    <row r="192">
      <c r="B192" s="158"/>
      <c r="C192" s="158"/>
      <c r="D192" s="158"/>
      <c r="E192" s="158"/>
      <c r="F192" s="160"/>
      <c r="G192" s="158"/>
      <c r="H192" s="158"/>
      <c r="I192" s="158"/>
      <c r="J192" s="158"/>
      <c r="K192" s="158"/>
      <c r="L192" s="158"/>
      <c r="M192" s="158"/>
      <c r="N192" s="158"/>
    </row>
    <row r="193">
      <c r="B193" s="158"/>
      <c r="C193" s="158"/>
      <c r="D193" s="158"/>
      <c r="E193" s="158"/>
      <c r="F193" s="160"/>
      <c r="G193" s="158"/>
      <c r="H193" s="158"/>
      <c r="I193" s="158"/>
      <c r="J193" s="158"/>
      <c r="K193" s="158"/>
      <c r="L193" s="158"/>
      <c r="M193" s="158"/>
      <c r="N193" s="158"/>
    </row>
    <row r="194">
      <c r="B194" s="158"/>
      <c r="C194" s="158"/>
      <c r="D194" s="158"/>
      <c r="E194" s="158"/>
      <c r="F194" s="160"/>
      <c r="G194" s="158"/>
      <c r="H194" s="158"/>
      <c r="I194" s="158"/>
      <c r="J194" s="158"/>
      <c r="K194" s="158"/>
      <c r="L194" s="158"/>
      <c r="M194" s="158"/>
      <c r="N194" s="158"/>
    </row>
    <row r="195">
      <c r="B195" s="158"/>
      <c r="C195" s="158"/>
      <c r="D195" s="158"/>
      <c r="E195" s="158"/>
      <c r="F195" s="160"/>
      <c r="G195" s="158"/>
      <c r="H195" s="158"/>
      <c r="I195" s="158"/>
      <c r="J195" s="158"/>
      <c r="K195" s="158"/>
      <c r="L195" s="158"/>
      <c r="M195" s="158"/>
      <c r="N195" s="158"/>
    </row>
    <row r="196">
      <c r="B196" s="158"/>
      <c r="C196" s="158"/>
      <c r="D196" s="158"/>
      <c r="E196" s="158"/>
      <c r="F196" s="160"/>
      <c r="G196" s="158"/>
      <c r="H196" s="158"/>
      <c r="I196" s="158"/>
      <c r="J196" s="158"/>
      <c r="K196" s="158"/>
      <c r="L196" s="158"/>
      <c r="M196" s="158"/>
      <c r="N196" s="158"/>
    </row>
    <row r="197">
      <c r="B197" s="158"/>
      <c r="C197" s="158"/>
      <c r="D197" s="158"/>
      <c r="E197" s="158"/>
      <c r="F197" s="160"/>
      <c r="G197" s="158"/>
      <c r="H197" s="158"/>
      <c r="I197" s="158"/>
      <c r="J197" s="158"/>
      <c r="K197" s="158"/>
      <c r="L197" s="158"/>
      <c r="M197" s="158"/>
      <c r="N197" s="158"/>
    </row>
    <row r="198">
      <c r="B198" s="158"/>
      <c r="C198" s="158"/>
      <c r="D198" s="158"/>
      <c r="E198" s="158"/>
      <c r="F198" s="160"/>
      <c r="G198" s="158"/>
      <c r="H198" s="158"/>
      <c r="I198" s="158"/>
      <c r="J198" s="158"/>
      <c r="K198" s="158"/>
      <c r="L198" s="158"/>
      <c r="M198" s="158"/>
      <c r="N198" s="158"/>
    </row>
    <row r="199">
      <c r="B199" s="158"/>
      <c r="C199" s="158"/>
      <c r="D199" s="158"/>
      <c r="E199" s="158"/>
      <c r="F199" s="160"/>
      <c r="G199" s="158"/>
      <c r="H199" s="158"/>
      <c r="I199" s="158"/>
      <c r="J199" s="158"/>
      <c r="K199" s="158"/>
      <c r="L199" s="158"/>
      <c r="M199" s="158"/>
      <c r="N199" s="158"/>
    </row>
    <row r="200">
      <c r="B200" s="158"/>
      <c r="C200" s="158"/>
      <c r="D200" s="158"/>
      <c r="E200" s="158"/>
      <c r="F200" s="160"/>
      <c r="G200" s="158"/>
      <c r="H200" s="158"/>
      <c r="I200" s="158"/>
      <c r="J200" s="158"/>
      <c r="K200" s="158"/>
      <c r="L200" s="158"/>
      <c r="M200" s="158"/>
      <c r="N200" s="158"/>
    </row>
    <row r="201">
      <c r="B201" s="158"/>
      <c r="C201" s="158"/>
      <c r="D201" s="158"/>
      <c r="E201" s="158"/>
      <c r="F201" s="160"/>
      <c r="G201" s="158"/>
      <c r="H201" s="158"/>
      <c r="I201" s="158"/>
      <c r="J201" s="158"/>
      <c r="K201" s="158"/>
      <c r="L201" s="158"/>
      <c r="M201" s="158"/>
      <c r="N201" s="158"/>
    </row>
    <row r="202">
      <c r="B202" s="158"/>
      <c r="C202" s="158"/>
      <c r="D202" s="158"/>
      <c r="E202" s="158"/>
      <c r="F202" s="160"/>
      <c r="G202" s="158"/>
      <c r="H202" s="158"/>
      <c r="I202" s="158"/>
      <c r="J202" s="158"/>
      <c r="K202" s="158"/>
      <c r="L202" s="158"/>
      <c r="M202" s="158"/>
      <c r="N202" s="158"/>
    </row>
    <row r="203">
      <c r="B203" s="158"/>
      <c r="C203" s="158"/>
      <c r="D203" s="158"/>
      <c r="E203" s="158"/>
      <c r="F203" s="160"/>
      <c r="G203" s="158"/>
      <c r="H203" s="158"/>
      <c r="I203" s="158"/>
      <c r="J203" s="158"/>
      <c r="K203" s="158"/>
      <c r="L203" s="158"/>
      <c r="M203" s="158"/>
      <c r="N203" s="158"/>
    </row>
    <row r="204">
      <c r="B204" s="158"/>
      <c r="C204" s="158"/>
      <c r="D204" s="158"/>
      <c r="E204" s="158"/>
      <c r="F204" s="160"/>
      <c r="G204" s="158"/>
      <c r="H204" s="158"/>
      <c r="I204" s="158"/>
      <c r="J204" s="158"/>
      <c r="K204" s="158"/>
      <c r="L204" s="158"/>
      <c r="M204" s="158"/>
      <c r="N204" s="158"/>
    </row>
    <row r="205">
      <c r="B205" s="158"/>
      <c r="C205" s="158"/>
      <c r="D205" s="158"/>
      <c r="E205" s="158"/>
      <c r="F205" s="160"/>
      <c r="G205" s="158"/>
      <c r="H205" s="158"/>
      <c r="I205" s="158"/>
      <c r="J205" s="158"/>
      <c r="K205" s="158"/>
      <c r="L205" s="158"/>
      <c r="M205" s="158"/>
      <c r="N205" s="158"/>
    </row>
    <row r="206">
      <c r="B206" s="158"/>
      <c r="C206" s="158"/>
      <c r="D206" s="158"/>
      <c r="E206" s="158"/>
      <c r="F206" s="160"/>
      <c r="G206" s="158"/>
      <c r="H206" s="158"/>
      <c r="I206" s="158"/>
      <c r="J206" s="158"/>
      <c r="K206" s="158"/>
      <c r="L206" s="158"/>
      <c r="M206" s="158"/>
      <c r="N206" s="158"/>
    </row>
    <row r="207">
      <c r="B207" s="158"/>
      <c r="C207" s="158"/>
      <c r="D207" s="158"/>
      <c r="E207" s="158"/>
      <c r="F207" s="160"/>
      <c r="G207" s="158"/>
      <c r="H207" s="158"/>
      <c r="I207" s="158"/>
      <c r="J207" s="158"/>
      <c r="K207" s="158"/>
      <c r="L207" s="158"/>
      <c r="M207" s="158"/>
      <c r="N207" s="158"/>
    </row>
    <row r="208">
      <c r="B208" s="158"/>
      <c r="C208" s="158"/>
      <c r="D208" s="158"/>
      <c r="E208" s="158"/>
      <c r="F208" s="160"/>
      <c r="G208" s="158"/>
      <c r="H208" s="158"/>
      <c r="I208" s="158"/>
      <c r="J208" s="158"/>
      <c r="K208" s="158"/>
      <c r="L208" s="158"/>
      <c r="M208" s="158"/>
      <c r="N208" s="158"/>
    </row>
    <row r="209">
      <c r="B209" s="158"/>
      <c r="C209" s="158"/>
      <c r="D209" s="158"/>
      <c r="E209" s="158"/>
      <c r="F209" s="160"/>
      <c r="G209" s="158"/>
      <c r="H209" s="158"/>
      <c r="I209" s="158"/>
      <c r="J209" s="158"/>
      <c r="K209" s="158"/>
      <c r="L209" s="158"/>
      <c r="M209" s="158"/>
      <c r="N209" s="158"/>
    </row>
    <row r="210">
      <c r="B210" s="158"/>
      <c r="C210" s="158"/>
      <c r="D210" s="158"/>
      <c r="E210" s="158"/>
      <c r="F210" s="160"/>
      <c r="G210" s="158"/>
      <c r="H210" s="158"/>
      <c r="I210" s="158"/>
      <c r="J210" s="158"/>
      <c r="K210" s="158"/>
      <c r="L210" s="158"/>
      <c r="M210" s="158"/>
      <c r="N210" s="158"/>
    </row>
    <row r="211">
      <c r="B211" s="158"/>
      <c r="C211" s="158"/>
      <c r="D211" s="158"/>
      <c r="E211" s="158"/>
      <c r="F211" s="160"/>
      <c r="G211" s="158"/>
      <c r="H211" s="158"/>
      <c r="I211" s="158"/>
      <c r="J211" s="158"/>
      <c r="K211" s="158"/>
      <c r="L211" s="158"/>
      <c r="M211" s="158"/>
      <c r="N211" s="158"/>
    </row>
    <row r="212">
      <c r="B212" s="158"/>
      <c r="C212" s="158"/>
      <c r="D212" s="158"/>
      <c r="E212" s="158"/>
      <c r="F212" s="160"/>
      <c r="G212" s="158"/>
      <c r="H212" s="158"/>
      <c r="I212" s="158"/>
      <c r="J212" s="158"/>
      <c r="K212" s="158"/>
      <c r="L212" s="158"/>
      <c r="M212" s="158"/>
      <c r="N212" s="158"/>
    </row>
    <row r="213">
      <c r="B213" s="158"/>
      <c r="C213" s="158"/>
      <c r="D213" s="158"/>
      <c r="E213" s="158"/>
      <c r="F213" s="160"/>
      <c r="G213" s="158"/>
      <c r="H213" s="158"/>
      <c r="I213" s="158"/>
      <c r="J213" s="158"/>
      <c r="K213" s="158"/>
      <c r="L213" s="158"/>
      <c r="M213" s="158"/>
      <c r="N213" s="158"/>
    </row>
    <row r="214">
      <c r="B214" s="158"/>
      <c r="C214" s="158"/>
      <c r="D214" s="158"/>
      <c r="E214" s="158"/>
      <c r="F214" s="160"/>
      <c r="G214" s="158"/>
      <c r="H214" s="158"/>
      <c r="I214" s="158"/>
      <c r="J214" s="158"/>
      <c r="K214" s="158"/>
      <c r="L214" s="158"/>
      <c r="M214" s="158"/>
      <c r="N214" s="158"/>
    </row>
    <row r="215">
      <c r="B215" s="158"/>
      <c r="C215" s="158"/>
      <c r="D215" s="158"/>
      <c r="E215" s="158"/>
      <c r="F215" s="160"/>
      <c r="G215" s="158"/>
      <c r="H215" s="158"/>
      <c r="I215" s="158"/>
      <c r="J215" s="158"/>
      <c r="K215" s="158"/>
      <c r="L215" s="158"/>
      <c r="M215" s="158"/>
      <c r="N215" s="158"/>
    </row>
    <row r="216">
      <c r="B216" s="158"/>
      <c r="C216" s="158"/>
      <c r="D216" s="158"/>
      <c r="E216" s="158"/>
      <c r="F216" s="160"/>
      <c r="G216" s="158"/>
      <c r="H216" s="158"/>
      <c r="I216" s="158"/>
      <c r="J216" s="158"/>
      <c r="K216" s="158"/>
      <c r="L216" s="158"/>
      <c r="M216" s="158"/>
      <c r="N216" s="158"/>
    </row>
    <row r="217">
      <c r="B217" s="158"/>
      <c r="C217" s="158"/>
      <c r="D217" s="158"/>
      <c r="E217" s="158"/>
      <c r="F217" s="160"/>
      <c r="G217" s="158"/>
      <c r="H217" s="158"/>
      <c r="I217" s="158"/>
      <c r="J217" s="158"/>
      <c r="K217" s="158"/>
      <c r="L217" s="158"/>
      <c r="M217" s="158"/>
      <c r="N217" s="158"/>
    </row>
    <row r="218">
      <c r="B218" s="158"/>
      <c r="C218" s="158"/>
      <c r="D218" s="158"/>
      <c r="E218" s="158"/>
      <c r="F218" s="160"/>
      <c r="G218" s="158"/>
      <c r="H218" s="158"/>
      <c r="I218" s="158"/>
      <c r="J218" s="158"/>
      <c r="K218" s="158"/>
      <c r="L218" s="158"/>
      <c r="M218" s="158"/>
      <c r="N218" s="158"/>
    </row>
    <row r="219">
      <c r="B219" s="158"/>
      <c r="C219" s="158"/>
      <c r="D219" s="158"/>
      <c r="E219" s="158"/>
      <c r="F219" s="160"/>
      <c r="G219" s="158"/>
      <c r="H219" s="158"/>
      <c r="I219" s="158"/>
      <c r="J219" s="158"/>
      <c r="K219" s="158"/>
      <c r="L219" s="158"/>
      <c r="M219" s="158"/>
      <c r="N219" s="158"/>
    </row>
    <row r="220">
      <c r="B220" s="158"/>
      <c r="C220" s="158"/>
      <c r="D220" s="158"/>
      <c r="E220" s="158"/>
      <c r="F220" s="160"/>
      <c r="G220" s="158"/>
      <c r="H220" s="158"/>
      <c r="I220" s="158"/>
      <c r="J220" s="158"/>
      <c r="K220" s="158"/>
      <c r="L220" s="158"/>
      <c r="M220" s="158"/>
      <c r="N220" s="158"/>
    </row>
    <row r="221">
      <c r="B221" s="158"/>
      <c r="C221" s="158"/>
      <c r="D221" s="158"/>
      <c r="E221" s="158"/>
      <c r="F221" s="160"/>
      <c r="G221" s="158"/>
      <c r="H221" s="158"/>
      <c r="I221" s="158"/>
      <c r="J221" s="158"/>
      <c r="K221" s="158"/>
      <c r="L221" s="158"/>
      <c r="M221" s="158"/>
      <c r="N221" s="158"/>
    </row>
    <row r="222">
      <c r="B222" s="158"/>
      <c r="C222" s="158"/>
      <c r="D222" s="158"/>
      <c r="E222" s="158"/>
      <c r="F222" s="160"/>
      <c r="G222" s="158"/>
      <c r="H222" s="158"/>
      <c r="I222" s="158"/>
      <c r="J222" s="158"/>
      <c r="K222" s="158"/>
      <c r="L222" s="158"/>
      <c r="M222" s="158"/>
      <c r="N222" s="158"/>
    </row>
    <row r="223">
      <c r="B223" s="158"/>
      <c r="C223" s="158"/>
      <c r="D223" s="158"/>
      <c r="E223" s="158"/>
      <c r="F223" s="160"/>
      <c r="G223" s="158"/>
      <c r="H223" s="158"/>
      <c r="I223" s="158"/>
      <c r="J223" s="158"/>
      <c r="K223" s="158"/>
      <c r="L223" s="158"/>
      <c r="M223" s="158"/>
      <c r="N223" s="158"/>
    </row>
    <row r="224">
      <c r="B224" s="158"/>
      <c r="C224" s="158"/>
      <c r="D224" s="158"/>
      <c r="E224" s="158"/>
      <c r="F224" s="160"/>
      <c r="G224" s="158"/>
      <c r="H224" s="158"/>
      <c r="I224" s="158"/>
      <c r="J224" s="158"/>
      <c r="K224" s="158"/>
      <c r="L224" s="158"/>
      <c r="M224" s="158"/>
      <c r="N224" s="158"/>
    </row>
    <row r="225">
      <c r="B225" s="158"/>
      <c r="C225" s="158"/>
      <c r="D225" s="158"/>
      <c r="E225" s="158"/>
      <c r="F225" s="160"/>
      <c r="G225" s="158"/>
      <c r="H225" s="158"/>
      <c r="I225" s="158"/>
      <c r="J225" s="158"/>
      <c r="K225" s="158"/>
      <c r="L225" s="158"/>
      <c r="M225" s="158"/>
      <c r="N225" s="158"/>
    </row>
    <row r="226">
      <c r="B226" s="158"/>
      <c r="C226" s="158"/>
      <c r="D226" s="158"/>
      <c r="E226" s="158"/>
      <c r="F226" s="160"/>
      <c r="G226" s="158"/>
      <c r="H226" s="158"/>
      <c r="I226" s="158"/>
      <c r="J226" s="158"/>
      <c r="K226" s="158"/>
      <c r="L226" s="158"/>
      <c r="M226" s="158"/>
      <c r="N226" s="158"/>
    </row>
    <row r="227">
      <c r="B227" s="158"/>
      <c r="C227" s="158"/>
      <c r="D227" s="158"/>
      <c r="E227" s="158"/>
      <c r="F227" s="160"/>
      <c r="G227" s="158"/>
      <c r="H227" s="158"/>
      <c r="I227" s="158"/>
      <c r="J227" s="158"/>
      <c r="K227" s="158"/>
      <c r="L227" s="158"/>
      <c r="M227" s="158"/>
      <c r="N227" s="158"/>
    </row>
    <row r="228">
      <c r="B228" s="158"/>
      <c r="C228" s="158"/>
      <c r="D228" s="158"/>
      <c r="E228" s="158"/>
      <c r="F228" s="160"/>
      <c r="G228" s="158"/>
      <c r="H228" s="158"/>
      <c r="I228" s="158"/>
      <c r="J228" s="158"/>
      <c r="K228" s="158"/>
      <c r="L228" s="158"/>
      <c r="M228" s="158"/>
      <c r="N228" s="158"/>
    </row>
    <row r="229">
      <c r="B229" s="158"/>
      <c r="C229" s="158"/>
      <c r="D229" s="158"/>
      <c r="E229" s="158"/>
      <c r="F229" s="160"/>
      <c r="G229" s="158"/>
      <c r="H229" s="158"/>
      <c r="I229" s="158"/>
      <c r="J229" s="158"/>
      <c r="K229" s="158"/>
      <c r="L229" s="158"/>
      <c r="M229" s="158"/>
      <c r="N229" s="158"/>
    </row>
    <row r="230">
      <c r="B230" s="158"/>
      <c r="C230" s="158"/>
      <c r="D230" s="158"/>
      <c r="E230" s="158"/>
      <c r="F230" s="160"/>
      <c r="G230" s="158"/>
      <c r="H230" s="158"/>
      <c r="I230" s="158"/>
      <c r="J230" s="158"/>
      <c r="K230" s="158"/>
      <c r="L230" s="158"/>
      <c r="M230" s="158"/>
      <c r="N230" s="158"/>
    </row>
    <row r="231">
      <c r="B231" s="158"/>
      <c r="C231" s="158"/>
      <c r="D231" s="158"/>
      <c r="E231" s="158"/>
      <c r="F231" s="160"/>
      <c r="G231" s="158"/>
      <c r="H231" s="158"/>
      <c r="I231" s="158"/>
      <c r="J231" s="158"/>
      <c r="K231" s="158"/>
      <c r="L231" s="158"/>
      <c r="M231" s="158"/>
      <c r="N231" s="158"/>
    </row>
    <row r="232">
      <c r="B232" s="158"/>
      <c r="C232" s="158"/>
      <c r="D232" s="158"/>
      <c r="E232" s="158"/>
      <c r="F232" s="160"/>
      <c r="G232" s="158"/>
      <c r="H232" s="158"/>
      <c r="I232" s="158"/>
      <c r="J232" s="158"/>
      <c r="K232" s="158"/>
      <c r="L232" s="158"/>
      <c r="M232" s="158"/>
      <c r="N232" s="158"/>
    </row>
    <row r="233">
      <c r="B233" s="158"/>
      <c r="C233" s="158"/>
      <c r="D233" s="158"/>
      <c r="E233" s="158"/>
      <c r="F233" s="160"/>
      <c r="G233" s="158"/>
      <c r="H233" s="158"/>
      <c r="I233" s="158"/>
      <c r="J233" s="158"/>
      <c r="K233" s="158"/>
      <c r="L233" s="158"/>
      <c r="M233" s="158"/>
      <c r="N233" s="158"/>
    </row>
    <row r="234">
      <c r="B234" s="158"/>
      <c r="C234" s="158"/>
      <c r="D234" s="158"/>
      <c r="E234" s="158"/>
      <c r="F234" s="160"/>
      <c r="G234" s="158"/>
      <c r="H234" s="158"/>
      <c r="I234" s="158"/>
      <c r="J234" s="158"/>
      <c r="K234" s="158"/>
      <c r="L234" s="158"/>
      <c r="M234" s="158"/>
      <c r="N234" s="158"/>
    </row>
    <row r="235">
      <c r="B235" s="158"/>
      <c r="C235" s="158"/>
      <c r="D235" s="158"/>
      <c r="E235" s="158"/>
      <c r="F235" s="160"/>
      <c r="G235" s="158"/>
      <c r="H235" s="158"/>
      <c r="I235" s="158"/>
      <c r="J235" s="158"/>
      <c r="K235" s="158"/>
      <c r="L235" s="158"/>
      <c r="M235" s="158"/>
      <c r="N235" s="158"/>
    </row>
    <row r="236">
      <c r="B236" s="158"/>
      <c r="C236" s="158"/>
      <c r="D236" s="158"/>
      <c r="E236" s="158"/>
      <c r="F236" s="160"/>
      <c r="G236" s="158"/>
      <c r="H236" s="158"/>
      <c r="I236" s="158"/>
      <c r="J236" s="158"/>
      <c r="K236" s="158"/>
      <c r="L236" s="158"/>
      <c r="M236" s="158"/>
      <c r="N236" s="158"/>
    </row>
    <row r="237">
      <c r="B237" s="158"/>
      <c r="C237" s="158"/>
      <c r="D237" s="158"/>
      <c r="E237" s="158"/>
      <c r="F237" s="160"/>
      <c r="G237" s="158"/>
      <c r="H237" s="158"/>
      <c r="I237" s="158"/>
      <c r="J237" s="158"/>
      <c r="K237" s="158"/>
      <c r="L237" s="158"/>
      <c r="M237" s="158"/>
      <c r="N237" s="158"/>
    </row>
    <row r="238">
      <c r="B238" s="158"/>
      <c r="C238" s="158"/>
      <c r="D238" s="158"/>
      <c r="E238" s="158"/>
      <c r="F238" s="160"/>
      <c r="G238" s="158"/>
      <c r="H238" s="158"/>
      <c r="I238" s="158"/>
      <c r="J238" s="158"/>
      <c r="K238" s="158"/>
      <c r="L238" s="158"/>
      <c r="M238" s="158"/>
      <c r="N238" s="158"/>
    </row>
    <row r="239">
      <c r="B239" s="158"/>
      <c r="C239" s="158"/>
      <c r="D239" s="158"/>
      <c r="E239" s="158"/>
      <c r="F239" s="160"/>
      <c r="G239" s="158"/>
      <c r="H239" s="158"/>
      <c r="I239" s="158"/>
      <c r="J239" s="158"/>
      <c r="K239" s="158"/>
      <c r="L239" s="158"/>
      <c r="M239" s="158"/>
      <c r="N239" s="158"/>
    </row>
    <row r="240">
      <c r="B240" s="158"/>
      <c r="C240" s="158"/>
      <c r="D240" s="158"/>
      <c r="E240" s="158"/>
      <c r="F240" s="160"/>
      <c r="G240" s="158"/>
      <c r="H240" s="158"/>
      <c r="I240" s="158"/>
      <c r="J240" s="158"/>
      <c r="K240" s="158"/>
      <c r="L240" s="158"/>
      <c r="M240" s="158"/>
      <c r="N240" s="158"/>
    </row>
    <row r="241">
      <c r="B241" s="158"/>
      <c r="C241" s="158"/>
      <c r="D241" s="158"/>
      <c r="E241" s="158"/>
      <c r="F241" s="160"/>
      <c r="G241" s="158"/>
      <c r="H241" s="158"/>
      <c r="I241" s="158"/>
      <c r="J241" s="158"/>
      <c r="K241" s="158"/>
      <c r="L241" s="158"/>
      <c r="M241" s="158"/>
      <c r="N241" s="158"/>
    </row>
    <row r="242">
      <c r="B242" s="158"/>
      <c r="C242" s="158"/>
      <c r="D242" s="158"/>
      <c r="E242" s="158"/>
      <c r="F242" s="160"/>
      <c r="G242" s="158"/>
      <c r="H242" s="158"/>
      <c r="I242" s="158"/>
      <c r="J242" s="158"/>
      <c r="K242" s="158"/>
      <c r="L242" s="158"/>
      <c r="M242" s="158"/>
      <c r="N242" s="158"/>
    </row>
    <row r="243">
      <c r="B243" s="158"/>
      <c r="C243" s="158"/>
      <c r="D243" s="158"/>
      <c r="E243" s="158"/>
      <c r="F243" s="160"/>
      <c r="G243" s="158"/>
      <c r="H243" s="158"/>
      <c r="I243" s="158"/>
      <c r="J243" s="158"/>
      <c r="K243" s="158"/>
      <c r="L243" s="158"/>
      <c r="M243" s="158"/>
      <c r="N243" s="158"/>
    </row>
    <row r="244">
      <c r="B244" s="158"/>
      <c r="C244" s="158"/>
      <c r="D244" s="158"/>
      <c r="E244" s="158"/>
      <c r="F244" s="160"/>
      <c r="G244" s="158"/>
      <c r="H244" s="158"/>
      <c r="I244" s="158"/>
      <c r="J244" s="158"/>
      <c r="K244" s="158"/>
      <c r="L244" s="158"/>
      <c r="M244" s="158"/>
      <c r="N244" s="158"/>
    </row>
    <row r="245">
      <c r="B245" s="158"/>
      <c r="C245" s="158"/>
      <c r="D245" s="158"/>
      <c r="E245" s="158"/>
      <c r="F245" s="160"/>
      <c r="G245" s="158"/>
      <c r="H245" s="158"/>
      <c r="I245" s="158"/>
      <c r="J245" s="158"/>
      <c r="K245" s="158"/>
      <c r="L245" s="158"/>
      <c r="M245" s="158"/>
      <c r="N245" s="158"/>
    </row>
    <row r="246">
      <c r="B246" s="158"/>
      <c r="C246" s="158"/>
      <c r="D246" s="158"/>
      <c r="E246" s="158"/>
      <c r="F246" s="160"/>
      <c r="G246" s="158"/>
      <c r="H246" s="158"/>
      <c r="I246" s="158"/>
      <c r="J246" s="158"/>
      <c r="K246" s="158"/>
      <c r="L246" s="158"/>
      <c r="M246" s="158"/>
      <c r="N246" s="158"/>
    </row>
    <row r="247">
      <c r="B247" s="158"/>
      <c r="C247" s="158"/>
      <c r="D247" s="158"/>
      <c r="E247" s="158"/>
      <c r="F247" s="160"/>
      <c r="G247" s="158"/>
      <c r="H247" s="158"/>
      <c r="I247" s="158"/>
      <c r="J247" s="158"/>
      <c r="K247" s="158"/>
      <c r="L247" s="158"/>
      <c r="M247" s="158"/>
      <c r="N247" s="158"/>
    </row>
    <row r="248">
      <c r="B248" s="158"/>
      <c r="C248" s="158"/>
      <c r="D248" s="158"/>
      <c r="E248" s="158"/>
      <c r="F248" s="160"/>
      <c r="G248" s="158"/>
      <c r="H248" s="158"/>
      <c r="I248" s="158"/>
      <c r="J248" s="158"/>
      <c r="K248" s="158"/>
      <c r="L248" s="158"/>
      <c r="M248" s="158"/>
      <c r="N248" s="158"/>
    </row>
    <row r="249">
      <c r="B249" s="158"/>
      <c r="C249" s="158"/>
      <c r="D249" s="158"/>
      <c r="E249" s="158"/>
      <c r="F249" s="160"/>
      <c r="G249" s="158"/>
      <c r="H249" s="158"/>
      <c r="I249" s="158"/>
      <c r="J249" s="158"/>
      <c r="K249" s="158"/>
      <c r="L249" s="158"/>
      <c r="M249" s="158"/>
      <c r="N249" s="158"/>
    </row>
    <row r="250">
      <c r="B250" s="158"/>
      <c r="C250" s="158"/>
      <c r="D250" s="158"/>
      <c r="E250" s="158"/>
      <c r="F250" s="160"/>
      <c r="G250" s="158"/>
      <c r="H250" s="158"/>
      <c r="I250" s="158"/>
      <c r="J250" s="158"/>
      <c r="K250" s="158"/>
      <c r="L250" s="158"/>
      <c r="M250" s="158"/>
      <c r="N250" s="158"/>
    </row>
    <row r="251">
      <c r="B251" s="158"/>
      <c r="C251" s="158"/>
      <c r="D251" s="158"/>
      <c r="E251" s="158"/>
      <c r="F251" s="160"/>
      <c r="G251" s="158"/>
      <c r="H251" s="158"/>
      <c r="I251" s="158"/>
      <c r="J251" s="158"/>
      <c r="K251" s="158"/>
      <c r="L251" s="158"/>
      <c r="M251" s="158"/>
      <c r="N251" s="158"/>
    </row>
    <row r="252">
      <c r="B252" s="158"/>
      <c r="C252" s="158"/>
      <c r="D252" s="158"/>
      <c r="E252" s="158"/>
      <c r="F252" s="160"/>
      <c r="G252" s="158"/>
      <c r="H252" s="158"/>
      <c r="I252" s="158"/>
      <c r="J252" s="158"/>
      <c r="K252" s="158"/>
      <c r="L252" s="158"/>
      <c r="M252" s="158"/>
      <c r="N252" s="158"/>
    </row>
    <row r="253">
      <c r="B253" s="158"/>
      <c r="C253" s="158"/>
      <c r="D253" s="158"/>
      <c r="E253" s="158"/>
      <c r="F253" s="160"/>
      <c r="G253" s="158"/>
      <c r="H253" s="158"/>
      <c r="I253" s="158"/>
      <c r="J253" s="158"/>
      <c r="K253" s="158"/>
      <c r="L253" s="158"/>
      <c r="M253" s="158"/>
      <c r="N253" s="158"/>
    </row>
    <row r="254">
      <c r="B254" s="158"/>
      <c r="C254" s="158"/>
      <c r="D254" s="158"/>
      <c r="E254" s="158"/>
      <c r="F254" s="160"/>
      <c r="G254" s="158"/>
      <c r="H254" s="158"/>
      <c r="I254" s="158"/>
      <c r="J254" s="158"/>
      <c r="K254" s="158"/>
      <c r="L254" s="158"/>
      <c r="M254" s="158"/>
      <c r="N254" s="158"/>
    </row>
    <row r="255">
      <c r="B255" s="158"/>
      <c r="C255" s="158"/>
      <c r="D255" s="158"/>
      <c r="E255" s="158"/>
      <c r="F255" s="160"/>
      <c r="G255" s="158"/>
      <c r="H255" s="158"/>
      <c r="I255" s="158"/>
      <c r="J255" s="158"/>
      <c r="K255" s="158"/>
      <c r="L255" s="158"/>
      <c r="M255" s="158"/>
      <c r="N255" s="158"/>
    </row>
    <row r="256">
      <c r="B256" s="158"/>
      <c r="C256" s="158"/>
      <c r="D256" s="158"/>
      <c r="E256" s="158"/>
      <c r="F256" s="160"/>
      <c r="G256" s="158"/>
      <c r="H256" s="158"/>
      <c r="I256" s="158"/>
      <c r="J256" s="158"/>
      <c r="K256" s="158"/>
      <c r="L256" s="158"/>
      <c r="M256" s="158"/>
      <c r="N256" s="158"/>
    </row>
    <row r="257">
      <c r="B257" s="158"/>
      <c r="C257" s="158"/>
      <c r="D257" s="158"/>
      <c r="E257" s="158"/>
      <c r="F257" s="160"/>
      <c r="G257" s="158"/>
      <c r="H257" s="158"/>
      <c r="I257" s="158"/>
      <c r="J257" s="158"/>
      <c r="K257" s="158"/>
      <c r="L257" s="158"/>
      <c r="M257" s="158"/>
      <c r="N257" s="158"/>
    </row>
    <row r="258">
      <c r="B258" s="158"/>
      <c r="C258" s="158"/>
      <c r="D258" s="158"/>
      <c r="E258" s="158"/>
      <c r="F258" s="160"/>
      <c r="G258" s="158"/>
      <c r="H258" s="158"/>
      <c r="I258" s="158"/>
      <c r="J258" s="158"/>
      <c r="K258" s="158"/>
      <c r="L258" s="158"/>
      <c r="M258" s="158"/>
      <c r="N258" s="158"/>
    </row>
    <row r="259">
      <c r="B259" s="158"/>
      <c r="C259" s="158"/>
      <c r="D259" s="158"/>
      <c r="E259" s="158"/>
      <c r="F259" s="160"/>
      <c r="G259" s="158"/>
      <c r="H259" s="158"/>
      <c r="I259" s="158"/>
      <c r="J259" s="158"/>
      <c r="K259" s="158"/>
      <c r="L259" s="158"/>
      <c r="M259" s="158"/>
      <c r="N259" s="158"/>
    </row>
    <row r="260">
      <c r="B260" s="158"/>
      <c r="C260" s="158"/>
      <c r="D260" s="158"/>
      <c r="E260" s="158"/>
      <c r="F260" s="160"/>
      <c r="G260" s="158"/>
      <c r="H260" s="158"/>
      <c r="I260" s="158"/>
      <c r="J260" s="158"/>
      <c r="K260" s="158"/>
      <c r="L260" s="158"/>
      <c r="M260" s="158"/>
      <c r="N260" s="158"/>
    </row>
    <row r="261">
      <c r="B261" s="158"/>
      <c r="C261" s="158"/>
      <c r="D261" s="158"/>
      <c r="E261" s="158"/>
      <c r="F261" s="160"/>
      <c r="G261" s="158"/>
      <c r="H261" s="158"/>
      <c r="I261" s="158"/>
      <c r="J261" s="158"/>
      <c r="K261" s="158"/>
      <c r="L261" s="158"/>
      <c r="M261" s="158"/>
      <c r="N261" s="158"/>
    </row>
    <row r="262">
      <c r="B262" s="158"/>
      <c r="C262" s="158"/>
      <c r="D262" s="158"/>
      <c r="E262" s="158"/>
      <c r="F262" s="160"/>
      <c r="G262" s="158"/>
      <c r="H262" s="158"/>
      <c r="I262" s="158"/>
      <c r="J262" s="158"/>
      <c r="K262" s="158"/>
      <c r="L262" s="158"/>
      <c r="M262" s="158"/>
      <c r="N262" s="158"/>
    </row>
    <row r="263">
      <c r="B263" s="158"/>
      <c r="C263" s="158"/>
      <c r="D263" s="158"/>
      <c r="E263" s="158"/>
      <c r="F263" s="160"/>
      <c r="G263" s="158"/>
      <c r="H263" s="158"/>
      <c r="I263" s="158"/>
      <c r="J263" s="158"/>
      <c r="K263" s="158"/>
      <c r="L263" s="158"/>
      <c r="M263" s="158"/>
      <c r="N263" s="158"/>
    </row>
    <row r="264">
      <c r="B264" s="158"/>
      <c r="C264" s="158"/>
      <c r="D264" s="158"/>
      <c r="E264" s="158"/>
      <c r="F264" s="160"/>
      <c r="G264" s="158"/>
      <c r="H264" s="158"/>
      <c r="I264" s="158"/>
      <c r="J264" s="158"/>
      <c r="K264" s="158"/>
      <c r="L264" s="158"/>
      <c r="M264" s="158"/>
      <c r="N264" s="158"/>
    </row>
    <row r="265">
      <c r="B265" s="158"/>
      <c r="C265" s="158"/>
      <c r="D265" s="158"/>
      <c r="E265" s="158"/>
      <c r="F265" s="160"/>
      <c r="G265" s="158"/>
      <c r="H265" s="158"/>
      <c r="I265" s="158"/>
      <c r="J265" s="158"/>
      <c r="K265" s="158"/>
      <c r="L265" s="158"/>
      <c r="M265" s="158"/>
      <c r="N265" s="158"/>
    </row>
    <row r="266">
      <c r="B266" s="158"/>
      <c r="C266" s="158"/>
      <c r="D266" s="158"/>
      <c r="E266" s="158"/>
      <c r="F266" s="160"/>
      <c r="G266" s="158"/>
      <c r="H266" s="158"/>
      <c r="I266" s="158"/>
      <c r="J266" s="158"/>
      <c r="K266" s="158"/>
      <c r="L266" s="158"/>
      <c r="M266" s="158"/>
      <c r="N266" s="158"/>
    </row>
    <row r="267">
      <c r="B267" s="158"/>
      <c r="C267" s="158"/>
      <c r="D267" s="158"/>
      <c r="E267" s="158"/>
      <c r="F267" s="160"/>
      <c r="G267" s="158"/>
      <c r="H267" s="158"/>
      <c r="I267" s="158"/>
      <c r="J267" s="158"/>
      <c r="K267" s="158"/>
      <c r="L267" s="158"/>
      <c r="M267" s="158"/>
      <c r="N267" s="158"/>
    </row>
    <row r="268">
      <c r="B268" s="158"/>
      <c r="C268" s="158"/>
      <c r="D268" s="158"/>
      <c r="E268" s="158"/>
      <c r="F268" s="160"/>
      <c r="G268" s="158"/>
      <c r="H268" s="158"/>
      <c r="I268" s="158"/>
      <c r="J268" s="158"/>
      <c r="K268" s="158"/>
      <c r="L268" s="158"/>
      <c r="M268" s="158"/>
      <c r="N268" s="158"/>
    </row>
    <row r="269">
      <c r="B269" s="158"/>
      <c r="C269" s="158"/>
      <c r="D269" s="158"/>
      <c r="E269" s="158"/>
      <c r="F269" s="160"/>
      <c r="G269" s="158"/>
      <c r="H269" s="158"/>
      <c r="I269" s="158"/>
      <c r="J269" s="158"/>
      <c r="K269" s="158"/>
      <c r="L269" s="158"/>
      <c r="M269" s="158"/>
      <c r="N269" s="158"/>
    </row>
    <row r="270">
      <c r="B270" s="158"/>
      <c r="C270" s="158"/>
      <c r="D270" s="158"/>
      <c r="E270" s="158"/>
      <c r="F270" s="160"/>
      <c r="G270" s="158"/>
      <c r="H270" s="158"/>
      <c r="I270" s="158"/>
      <c r="J270" s="158"/>
      <c r="K270" s="158"/>
      <c r="L270" s="158"/>
      <c r="M270" s="158"/>
      <c r="N270" s="158"/>
    </row>
    <row r="271">
      <c r="B271" s="158"/>
      <c r="C271" s="158"/>
      <c r="D271" s="158"/>
      <c r="E271" s="158"/>
      <c r="F271" s="160"/>
      <c r="G271" s="158"/>
      <c r="H271" s="158"/>
      <c r="I271" s="158"/>
      <c r="J271" s="158"/>
      <c r="K271" s="158"/>
      <c r="L271" s="158"/>
      <c r="M271" s="158"/>
      <c r="N271" s="158"/>
    </row>
    <row r="272">
      <c r="B272" s="158"/>
      <c r="C272" s="158"/>
      <c r="D272" s="158"/>
      <c r="E272" s="158"/>
      <c r="F272" s="160"/>
      <c r="G272" s="158"/>
      <c r="H272" s="158"/>
      <c r="I272" s="158"/>
      <c r="J272" s="158"/>
      <c r="K272" s="158"/>
      <c r="L272" s="158"/>
      <c r="M272" s="158"/>
      <c r="N272" s="158"/>
    </row>
    <row r="273">
      <c r="B273" s="158"/>
      <c r="C273" s="158"/>
      <c r="D273" s="158"/>
      <c r="E273" s="158"/>
      <c r="F273" s="160"/>
      <c r="G273" s="158"/>
      <c r="H273" s="158"/>
      <c r="I273" s="158"/>
      <c r="J273" s="158"/>
      <c r="K273" s="158"/>
      <c r="L273" s="158"/>
      <c r="M273" s="158"/>
      <c r="N273" s="158"/>
    </row>
    <row r="274">
      <c r="B274" s="158"/>
      <c r="C274" s="158"/>
      <c r="D274" s="158"/>
      <c r="E274" s="158"/>
      <c r="F274" s="160"/>
      <c r="G274" s="158"/>
      <c r="H274" s="158"/>
      <c r="I274" s="158"/>
      <c r="J274" s="158"/>
      <c r="K274" s="158"/>
      <c r="L274" s="158"/>
      <c r="M274" s="158"/>
      <c r="N274" s="158"/>
    </row>
    <row r="275">
      <c r="B275" s="158"/>
      <c r="C275" s="158"/>
      <c r="D275" s="158"/>
      <c r="E275" s="158"/>
      <c r="F275" s="160"/>
      <c r="G275" s="158"/>
      <c r="H275" s="158"/>
      <c r="I275" s="158"/>
      <c r="J275" s="158"/>
      <c r="K275" s="158"/>
      <c r="L275" s="158"/>
      <c r="M275" s="158"/>
      <c r="N275" s="158"/>
    </row>
    <row r="276">
      <c r="B276" s="158"/>
      <c r="C276" s="158"/>
      <c r="D276" s="158"/>
      <c r="E276" s="158"/>
      <c r="F276" s="160"/>
      <c r="G276" s="158"/>
      <c r="H276" s="158"/>
      <c r="I276" s="158"/>
      <c r="J276" s="158"/>
      <c r="K276" s="158"/>
      <c r="L276" s="158"/>
      <c r="M276" s="158"/>
      <c r="N276" s="158"/>
    </row>
    <row r="277">
      <c r="B277" s="158"/>
      <c r="C277" s="158"/>
      <c r="D277" s="158"/>
      <c r="E277" s="158"/>
      <c r="F277" s="160"/>
      <c r="G277" s="158"/>
      <c r="H277" s="158"/>
      <c r="I277" s="158"/>
      <c r="J277" s="158"/>
      <c r="K277" s="158"/>
      <c r="L277" s="158"/>
      <c r="M277" s="158"/>
      <c r="N277" s="158"/>
    </row>
    <row r="278">
      <c r="B278" s="158"/>
      <c r="C278" s="158"/>
      <c r="D278" s="158"/>
      <c r="E278" s="158"/>
      <c r="F278" s="160"/>
      <c r="G278" s="158"/>
      <c r="H278" s="158"/>
      <c r="I278" s="158"/>
      <c r="J278" s="158"/>
      <c r="K278" s="158"/>
      <c r="L278" s="158"/>
      <c r="M278" s="158"/>
      <c r="N278" s="158"/>
    </row>
    <row r="279">
      <c r="B279" s="158"/>
      <c r="C279" s="158"/>
      <c r="D279" s="158"/>
      <c r="E279" s="158"/>
      <c r="F279" s="160"/>
      <c r="G279" s="158"/>
      <c r="H279" s="158"/>
      <c r="I279" s="158"/>
      <c r="J279" s="158"/>
      <c r="K279" s="158"/>
      <c r="L279" s="158"/>
      <c r="M279" s="158"/>
      <c r="N279" s="158"/>
    </row>
    <row r="280">
      <c r="B280" s="158"/>
      <c r="C280" s="158"/>
      <c r="D280" s="158"/>
      <c r="E280" s="158"/>
      <c r="F280" s="160"/>
      <c r="G280" s="158"/>
      <c r="H280" s="158"/>
      <c r="I280" s="158"/>
      <c r="J280" s="158"/>
      <c r="K280" s="158"/>
      <c r="L280" s="158"/>
      <c r="M280" s="158"/>
      <c r="N280" s="158"/>
    </row>
    <row r="281">
      <c r="B281" s="158"/>
      <c r="C281" s="158"/>
      <c r="D281" s="158"/>
      <c r="E281" s="158"/>
      <c r="F281" s="160"/>
      <c r="G281" s="158"/>
      <c r="H281" s="158"/>
      <c r="I281" s="158"/>
      <c r="J281" s="158"/>
      <c r="K281" s="158"/>
      <c r="L281" s="158"/>
      <c r="M281" s="158"/>
      <c r="N281" s="158"/>
    </row>
    <row r="282">
      <c r="B282" s="158"/>
      <c r="C282" s="158"/>
      <c r="D282" s="158"/>
      <c r="E282" s="158"/>
      <c r="F282" s="160"/>
      <c r="G282" s="158"/>
      <c r="H282" s="158"/>
      <c r="I282" s="158"/>
      <c r="J282" s="158"/>
      <c r="K282" s="158"/>
      <c r="L282" s="158"/>
      <c r="M282" s="158"/>
      <c r="N282" s="158"/>
    </row>
    <row r="283">
      <c r="B283" s="158"/>
      <c r="C283" s="158"/>
      <c r="D283" s="158"/>
      <c r="E283" s="158"/>
      <c r="F283" s="160"/>
      <c r="G283" s="158"/>
      <c r="H283" s="158"/>
      <c r="I283" s="158"/>
      <c r="J283" s="158"/>
      <c r="K283" s="158"/>
      <c r="L283" s="158"/>
      <c r="M283" s="158"/>
      <c r="N283" s="158"/>
    </row>
    <row r="284">
      <c r="B284" s="158"/>
      <c r="C284" s="158"/>
      <c r="D284" s="158"/>
      <c r="E284" s="158"/>
      <c r="F284" s="160"/>
      <c r="G284" s="158"/>
      <c r="H284" s="158"/>
      <c r="I284" s="158"/>
      <c r="J284" s="158"/>
      <c r="K284" s="158"/>
      <c r="L284" s="158"/>
      <c r="M284" s="158"/>
      <c r="N284" s="158"/>
    </row>
    <row r="285">
      <c r="B285" s="158"/>
      <c r="C285" s="158"/>
      <c r="D285" s="158"/>
      <c r="E285" s="158"/>
      <c r="F285" s="160"/>
      <c r="G285" s="158"/>
      <c r="H285" s="158"/>
      <c r="I285" s="158"/>
      <c r="J285" s="158"/>
      <c r="K285" s="158"/>
      <c r="L285" s="158"/>
      <c r="M285" s="158"/>
      <c r="N285" s="158"/>
    </row>
    <row r="286">
      <c r="B286" s="158"/>
      <c r="C286" s="158"/>
      <c r="D286" s="158"/>
      <c r="E286" s="158"/>
      <c r="F286" s="160"/>
      <c r="G286" s="158"/>
      <c r="H286" s="158"/>
      <c r="I286" s="158"/>
      <c r="J286" s="158"/>
      <c r="K286" s="158"/>
      <c r="L286" s="158"/>
      <c r="M286" s="158"/>
      <c r="N286" s="158"/>
    </row>
    <row r="287">
      <c r="B287" s="158"/>
      <c r="C287" s="158"/>
      <c r="D287" s="158"/>
      <c r="E287" s="158"/>
      <c r="F287" s="160"/>
      <c r="G287" s="158"/>
      <c r="H287" s="158"/>
      <c r="I287" s="158"/>
      <c r="J287" s="158"/>
      <c r="K287" s="158"/>
      <c r="L287" s="158"/>
      <c r="M287" s="158"/>
      <c r="N287" s="158"/>
    </row>
    <row r="288">
      <c r="B288" s="158"/>
      <c r="C288" s="158"/>
      <c r="D288" s="158"/>
      <c r="E288" s="158"/>
      <c r="F288" s="160"/>
      <c r="G288" s="158"/>
      <c r="H288" s="158"/>
      <c r="I288" s="158"/>
      <c r="J288" s="158"/>
      <c r="K288" s="158"/>
      <c r="L288" s="158"/>
      <c r="M288" s="158"/>
      <c r="N288" s="158"/>
    </row>
    <row r="289">
      <c r="B289" s="158"/>
      <c r="C289" s="158"/>
      <c r="D289" s="158"/>
      <c r="E289" s="158"/>
      <c r="F289" s="160"/>
      <c r="G289" s="158"/>
      <c r="H289" s="158"/>
      <c r="I289" s="158"/>
      <c r="J289" s="158"/>
      <c r="K289" s="158"/>
      <c r="L289" s="158"/>
      <c r="M289" s="158"/>
      <c r="N289" s="158"/>
    </row>
    <row r="290">
      <c r="B290" s="158"/>
      <c r="C290" s="158"/>
      <c r="D290" s="158"/>
      <c r="E290" s="158"/>
      <c r="F290" s="160"/>
      <c r="G290" s="158"/>
      <c r="H290" s="158"/>
      <c r="I290" s="158"/>
      <c r="J290" s="158"/>
      <c r="K290" s="158"/>
      <c r="L290" s="158"/>
      <c r="M290" s="158"/>
      <c r="N290" s="158"/>
    </row>
    <row r="291">
      <c r="B291" s="158"/>
      <c r="C291" s="158"/>
      <c r="D291" s="158"/>
      <c r="E291" s="158"/>
      <c r="F291" s="160"/>
      <c r="G291" s="158"/>
      <c r="H291" s="158"/>
      <c r="I291" s="158"/>
      <c r="J291" s="158"/>
      <c r="K291" s="158"/>
      <c r="L291" s="158"/>
      <c r="M291" s="158"/>
      <c r="N291" s="158"/>
    </row>
    <row r="292">
      <c r="B292" s="158"/>
      <c r="C292" s="158"/>
      <c r="D292" s="158"/>
      <c r="E292" s="158"/>
      <c r="F292" s="160"/>
      <c r="G292" s="158"/>
      <c r="H292" s="158"/>
      <c r="I292" s="158"/>
      <c r="J292" s="158"/>
      <c r="K292" s="158"/>
      <c r="L292" s="158"/>
      <c r="M292" s="158"/>
      <c r="N292" s="158"/>
    </row>
    <row r="293">
      <c r="B293" s="158"/>
      <c r="C293" s="158"/>
      <c r="D293" s="158"/>
      <c r="E293" s="158"/>
      <c r="F293" s="160"/>
      <c r="G293" s="158"/>
      <c r="H293" s="158"/>
      <c r="I293" s="158"/>
      <c r="J293" s="158"/>
      <c r="K293" s="158"/>
      <c r="L293" s="158"/>
      <c r="M293" s="158"/>
      <c r="N293" s="158"/>
    </row>
    <row r="294">
      <c r="B294" s="158"/>
      <c r="C294" s="158"/>
      <c r="D294" s="158"/>
      <c r="E294" s="158"/>
      <c r="F294" s="160"/>
      <c r="G294" s="158"/>
      <c r="H294" s="158"/>
      <c r="I294" s="158"/>
      <c r="J294" s="158"/>
      <c r="K294" s="158"/>
      <c r="L294" s="158"/>
      <c r="M294" s="158"/>
      <c r="N294" s="158"/>
    </row>
    <row r="295">
      <c r="B295" s="158"/>
      <c r="C295" s="158"/>
      <c r="D295" s="158"/>
      <c r="E295" s="158"/>
      <c r="F295" s="160"/>
      <c r="G295" s="158"/>
      <c r="H295" s="158"/>
      <c r="I295" s="158"/>
      <c r="J295" s="158"/>
      <c r="K295" s="158"/>
      <c r="L295" s="158"/>
      <c r="M295" s="158"/>
      <c r="N295" s="158"/>
    </row>
    <row r="296">
      <c r="B296" s="158"/>
      <c r="C296" s="158"/>
      <c r="D296" s="158"/>
      <c r="E296" s="158"/>
      <c r="F296" s="160"/>
      <c r="G296" s="158"/>
      <c r="H296" s="158"/>
      <c r="I296" s="158"/>
      <c r="J296" s="158"/>
      <c r="K296" s="158"/>
      <c r="L296" s="158"/>
      <c r="M296" s="158"/>
      <c r="N296" s="158"/>
    </row>
    <row r="297">
      <c r="B297" s="158"/>
      <c r="C297" s="158"/>
      <c r="D297" s="158"/>
      <c r="E297" s="158"/>
      <c r="F297" s="160"/>
      <c r="G297" s="158"/>
      <c r="H297" s="158"/>
      <c r="I297" s="158"/>
      <c r="J297" s="158"/>
      <c r="K297" s="158"/>
      <c r="L297" s="158"/>
      <c r="M297" s="158"/>
      <c r="N297" s="158"/>
    </row>
    <row r="298">
      <c r="B298" s="158"/>
      <c r="C298" s="158"/>
      <c r="D298" s="158"/>
      <c r="E298" s="158"/>
      <c r="F298" s="160"/>
      <c r="G298" s="158"/>
      <c r="H298" s="158"/>
      <c r="I298" s="158"/>
      <c r="J298" s="158"/>
      <c r="K298" s="158"/>
      <c r="L298" s="158"/>
      <c r="M298" s="158"/>
      <c r="N298" s="158"/>
    </row>
    <row r="299">
      <c r="B299" s="158"/>
      <c r="C299" s="158"/>
      <c r="D299" s="158"/>
      <c r="E299" s="158"/>
      <c r="F299" s="160"/>
      <c r="G299" s="158"/>
      <c r="H299" s="158"/>
      <c r="I299" s="158"/>
      <c r="J299" s="158"/>
      <c r="K299" s="158"/>
      <c r="L299" s="158"/>
      <c r="M299" s="158"/>
      <c r="N299" s="158"/>
    </row>
    <row r="300">
      <c r="B300" s="158"/>
      <c r="C300" s="158"/>
      <c r="D300" s="158"/>
      <c r="E300" s="158"/>
      <c r="F300" s="160"/>
      <c r="G300" s="158"/>
      <c r="H300" s="158"/>
      <c r="I300" s="158"/>
      <c r="J300" s="158"/>
      <c r="K300" s="158"/>
      <c r="L300" s="158"/>
      <c r="M300" s="158"/>
      <c r="N300" s="158"/>
    </row>
    <row r="301">
      <c r="B301" s="158"/>
      <c r="C301" s="158"/>
      <c r="D301" s="158"/>
      <c r="E301" s="158"/>
      <c r="F301" s="160"/>
      <c r="G301" s="158"/>
      <c r="H301" s="158"/>
      <c r="I301" s="158"/>
      <c r="J301" s="158"/>
      <c r="K301" s="158"/>
      <c r="L301" s="158"/>
      <c r="M301" s="158"/>
      <c r="N301" s="158"/>
    </row>
    <row r="302">
      <c r="B302" s="158"/>
      <c r="C302" s="158"/>
      <c r="D302" s="158"/>
      <c r="E302" s="158"/>
      <c r="F302" s="160"/>
      <c r="G302" s="158"/>
      <c r="H302" s="158"/>
      <c r="I302" s="158"/>
      <c r="J302" s="158"/>
      <c r="K302" s="158"/>
      <c r="L302" s="158"/>
      <c r="M302" s="158"/>
      <c r="N302" s="158"/>
    </row>
    <row r="303">
      <c r="B303" s="158"/>
      <c r="C303" s="158"/>
      <c r="D303" s="158"/>
      <c r="E303" s="158"/>
      <c r="F303" s="160"/>
      <c r="G303" s="158"/>
      <c r="H303" s="158"/>
      <c r="I303" s="158"/>
      <c r="J303" s="158"/>
      <c r="K303" s="158"/>
      <c r="L303" s="158"/>
      <c r="M303" s="158"/>
      <c r="N303" s="158"/>
    </row>
    <row r="304">
      <c r="B304" s="158"/>
      <c r="C304" s="158"/>
      <c r="D304" s="158"/>
      <c r="E304" s="158"/>
      <c r="F304" s="160"/>
      <c r="G304" s="158"/>
      <c r="H304" s="158"/>
      <c r="I304" s="158"/>
      <c r="J304" s="158"/>
      <c r="K304" s="158"/>
      <c r="L304" s="158"/>
      <c r="M304" s="158"/>
      <c r="N304" s="158"/>
    </row>
    <row r="305">
      <c r="B305" s="158"/>
      <c r="C305" s="158"/>
      <c r="D305" s="158"/>
      <c r="E305" s="158"/>
      <c r="F305" s="160"/>
      <c r="G305" s="158"/>
      <c r="H305" s="158"/>
      <c r="I305" s="158"/>
      <c r="J305" s="158"/>
      <c r="K305" s="158"/>
      <c r="L305" s="158"/>
      <c r="M305" s="158"/>
      <c r="N305" s="158"/>
    </row>
    <row r="306">
      <c r="B306" s="158"/>
      <c r="C306" s="158"/>
      <c r="D306" s="158"/>
      <c r="E306" s="158"/>
      <c r="F306" s="160"/>
      <c r="G306" s="158"/>
      <c r="H306" s="158"/>
      <c r="I306" s="158"/>
      <c r="J306" s="158"/>
      <c r="K306" s="158"/>
      <c r="L306" s="158"/>
      <c r="M306" s="158"/>
      <c r="N306" s="158"/>
    </row>
    <row r="307">
      <c r="B307" s="158"/>
      <c r="C307" s="158"/>
      <c r="D307" s="158"/>
      <c r="E307" s="158"/>
      <c r="F307" s="160"/>
      <c r="G307" s="158"/>
      <c r="H307" s="158"/>
      <c r="I307" s="158"/>
      <c r="J307" s="158"/>
      <c r="K307" s="158"/>
      <c r="L307" s="158"/>
      <c r="M307" s="158"/>
      <c r="N307" s="158"/>
    </row>
    <row r="308">
      <c r="B308" s="158"/>
      <c r="C308" s="158"/>
      <c r="D308" s="158"/>
      <c r="E308" s="158"/>
      <c r="F308" s="160"/>
      <c r="G308" s="158"/>
      <c r="H308" s="158"/>
      <c r="I308" s="158"/>
      <c r="J308" s="158"/>
      <c r="K308" s="158"/>
      <c r="L308" s="158"/>
      <c r="M308" s="158"/>
      <c r="N308" s="158"/>
    </row>
    <row r="309">
      <c r="B309" s="158"/>
      <c r="C309" s="158"/>
      <c r="D309" s="158"/>
      <c r="E309" s="158"/>
      <c r="F309" s="160"/>
      <c r="G309" s="158"/>
      <c r="H309" s="158"/>
      <c r="I309" s="158"/>
      <c r="J309" s="158"/>
      <c r="K309" s="158"/>
      <c r="L309" s="158"/>
      <c r="M309" s="158"/>
      <c r="N309" s="158"/>
    </row>
    <row r="310">
      <c r="B310" s="158"/>
      <c r="C310" s="158"/>
      <c r="D310" s="158"/>
      <c r="E310" s="158"/>
      <c r="F310" s="160"/>
      <c r="G310" s="158"/>
      <c r="H310" s="158"/>
      <c r="I310" s="158"/>
      <c r="J310" s="158"/>
      <c r="K310" s="158"/>
      <c r="L310" s="158"/>
      <c r="M310" s="158"/>
      <c r="N310" s="158"/>
    </row>
    <row r="311">
      <c r="B311" s="158"/>
      <c r="C311" s="158"/>
      <c r="D311" s="158"/>
      <c r="E311" s="158"/>
      <c r="F311" s="160"/>
      <c r="G311" s="158"/>
      <c r="H311" s="158"/>
      <c r="I311" s="158"/>
      <c r="J311" s="158"/>
      <c r="K311" s="158"/>
      <c r="L311" s="158"/>
      <c r="M311" s="158"/>
      <c r="N311" s="158"/>
    </row>
    <row r="312">
      <c r="B312" s="158"/>
      <c r="C312" s="158"/>
      <c r="D312" s="158"/>
      <c r="E312" s="158"/>
      <c r="F312" s="160"/>
      <c r="G312" s="158"/>
      <c r="H312" s="158"/>
      <c r="I312" s="158"/>
      <c r="J312" s="158"/>
      <c r="K312" s="158"/>
      <c r="L312" s="158"/>
      <c r="M312" s="158"/>
      <c r="N312" s="158"/>
    </row>
    <row r="313">
      <c r="B313" s="158"/>
      <c r="C313" s="158"/>
      <c r="D313" s="158"/>
      <c r="E313" s="158"/>
      <c r="F313" s="160"/>
      <c r="G313" s="158"/>
      <c r="H313" s="158"/>
      <c r="I313" s="158"/>
      <c r="J313" s="158"/>
      <c r="K313" s="158"/>
      <c r="L313" s="158"/>
      <c r="M313" s="158"/>
      <c r="N313" s="158"/>
    </row>
    <row r="314">
      <c r="B314" s="158"/>
      <c r="C314" s="158"/>
      <c r="D314" s="158"/>
      <c r="E314" s="158"/>
      <c r="F314" s="160"/>
      <c r="G314" s="158"/>
      <c r="H314" s="158"/>
      <c r="I314" s="158"/>
      <c r="J314" s="158"/>
      <c r="K314" s="158"/>
      <c r="L314" s="158"/>
      <c r="M314" s="158"/>
      <c r="N314" s="158"/>
    </row>
    <row r="315">
      <c r="B315" s="158"/>
      <c r="C315" s="158"/>
      <c r="D315" s="158"/>
      <c r="E315" s="158"/>
      <c r="F315" s="160"/>
      <c r="G315" s="158"/>
      <c r="H315" s="158"/>
      <c r="I315" s="158"/>
      <c r="J315" s="158"/>
      <c r="K315" s="158"/>
      <c r="L315" s="158"/>
      <c r="M315" s="158"/>
      <c r="N315" s="158"/>
    </row>
    <row r="316">
      <c r="B316" s="158"/>
      <c r="C316" s="158"/>
      <c r="D316" s="158"/>
      <c r="E316" s="158"/>
      <c r="F316" s="160"/>
      <c r="G316" s="158"/>
      <c r="H316" s="158"/>
      <c r="I316" s="158"/>
      <c r="J316" s="158"/>
      <c r="K316" s="158"/>
      <c r="L316" s="158"/>
      <c r="M316" s="158"/>
      <c r="N316" s="158"/>
    </row>
    <row r="317">
      <c r="B317" s="158"/>
      <c r="C317" s="158"/>
      <c r="D317" s="158"/>
      <c r="E317" s="158"/>
      <c r="F317" s="160"/>
      <c r="G317" s="158"/>
      <c r="H317" s="158"/>
      <c r="I317" s="158"/>
      <c r="J317" s="158"/>
      <c r="K317" s="158"/>
      <c r="L317" s="158"/>
      <c r="M317" s="158"/>
      <c r="N317" s="158"/>
    </row>
    <row r="318">
      <c r="B318" s="158"/>
      <c r="C318" s="158"/>
      <c r="D318" s="158"/>
      <c r="E318" s="158"/>
      <c r="F318" s="160"/>
      <c r="G318" s="158"/>
      <c r="H318" s="158"/>
      <c r="I318" s="158"/>
      <c r="J318" s="158"/>
      <c r="K318" s="158"/>
      <c r="L318" s="158"/>
      <c r="M318" s="158"/>
      <c r="N318" s="158"/>
    </row>
    <row r="319">
      <c r="B319" s="158"/>
      <c r="C319" s="158"/>
      <c r="D319" s="158"/>
      <c r="E319" s="158"/>
      <c r="F319" s="160"/>
      <c r="G319" s="158"/>
      <c r="H319" s="158"/>
      <c r="I319" s="158"/>
      <c r="J319" s="158"/>
      <c r="K319" s="158"/>
      <c r="L319" s="158"/>
      <c r="M319" s="158"/>
      <c r="N319" s="158"/>
    </row>
    <row r="320">
      <c r="B320" s="158"/>
      <c r="C320" s="158"/>
      <c r="D320" s="158"/>
      <c r="E320" s="158"/>
      <c r="F320" s="160"/>
      <c r="G320" s="158"/>
      <c r="H320" s="158"/>
      <c r="I320" s="158"/>
      <c r="J320" s="158"/>
      <c r="K320" s="158"/>
      <c r="L320" s="158"/>
      <c r="M320" s="158"/>
      <c r="N320" s="158"/>
    </row>
    <row r="321">
      <c r="B321" s="158"/>
      <c r="C321" s="158"/>
      <c r="D321" s="158"/>
      <c r="E321" s="158"/>
      <c r="F321" s="160"/>
      <c r="G321" s="158"/>
      <c r="H321" s="158"/>
      <c r="I321" s="158"/>
      <c r="J321" s="158"/>
      <c r="K321" s="158"/>
      <c r="L321" s="158"/>
      <c r="M321" s="158"/>
      <c r="N321" s="158"/>
    </row>
    <row r="322">
      <c r="B322" s="158"/>
      <c r="C322" s="158"/>
      <c r="D322" s="158"/>
      <c r="E322" s="158"/>
      <c r="F322" s="160"/>
      <c r="G322" s="158"/>
      <c r="H322" s="158"/>
      <c r="I322" s="158"/>
      <c r="J322" s="158"/>
      <c r="K322" s="158"/>
      <c r="L322" s="158"/>
      <c r="M322" s="158"/>
      <c r="N322" s="158"/>
    </row>
    <row r="323">
      <c r="B323" s="158"/>
      <c r="C323" s="158"/>
      <c r="D323" s="158"/>
      <c r="E323" s="158"/>
      <c r="F323" s="160"/>
      <c r="G323" s="158"/>
      <c r="H323" s="158"/>
      <c r="I323" s="158"/>
      <c r="J323" s="158"/>
      <c r="K323" s="158"/>
      <c r="L323" s="158"/>
      <c r="M323" s="158"/>
      <c r="N323" s="158"/>
    </row>
    <row r="324">
      <c r="B324" s="158"/>
      <c r="C324" s="158"/>
      <c r="D324" s="158"/>
      <c r="E324" s="158"/>
      <c r="F324" s="160"/>
      <c r="G324" s="158"/>
      <c r="H324" s="158"/>
      <c r="I324" s="158"/>
      <c r="J324" s="158"/>
      <c r="K324" s="158"/>
      <c r="L324" s="158"/>
      <c r="M324" s="158"/>
      <c r="N324" s="158"/>
    </row>
    <row r="325">
      <c r="B325" s="158"/>
      <c r="C325" s="158"/>
      <c r="D325" s="158"/>
      <c r="E325" s="158"/>
      <c r="F325" s="160"/>
      <c r="G325" s="158"/>
      <c r="H325" s="158"/>
      <c r="I325" s="158"/>
      <c r="J325" s="158"/>
      <c r="K325" s="158"/>
      <c r="L325" s="158"/>
      <c r="M325" s="158"/>
      <c r="N325" s="158"/>
    </row>
    <row r="326">
      <c r="B326" s="158"/>
      <c r="C326" s="158"/>
      <c r="D326" s="158"/>
      <c r="E326" s="158"/>
      <c r="F326" s="160"/>
      <c r="G326" s="158"/>
      <c r="H326" s="158"/>
      <c r="I326" s="158"/>
      <c r="J326" s="158"/>
      <c r="K326" s="158"/>
      <c r="L326" s="158"/>
      <c r="M326" s="158"/>
      <c r="N326" s="158"/>
    </row>
    <row r="327">
      <c r="B327" s="158"/>
      <c r="C327" s="158"/>
      <c r="D327" s="158"/>
      <c r="E327" s="158"/>
      <c r="F327" s="160"/>
      <c r="G327" s="158"/>
      <c r="H327" s="158"/>
      <c r="I327" s="158"/>
      <c r="J327" s="158"/>
      <c r="K327" s="158"/>
      <c r="L327" s="158"/>
      <c r="M327" s="158"/>
      <c r="N327" s="158"/>
    </row>
    <row r="328">
      <c r="B328" s="158"/>
      <c r="C328" s="158"/>
      <c r="D328" s="158"/>
      <c r="E328" s="158"/>
      <c r="F328" s="160"/>
      <c r="G328" s="158"/>
      <c r="H328" s="158"/>
      <c r="I328" s="158"/>
      <c r="J328" s="158"/>
      <c r="K328" s="158"/>
      <c r="L328" s="158"/>
      <c r="M328" s="158"/>
      <c r="N328" s="158"/>
    </row>
    <row r="329">
      <c r="B329" s="158"/>
      <c r="C329" s="158"/>
      <c r="D329" s="158"/>
      <c r="E329" s="158"/>
      <c r="F329" s="160"/>
      <c r="G329" s="158"/>
      <c r="H329" s="158"/>
      <c r="I329" s="158"/>
      <c r="J329" s="158"/>
      <c r="K329" s="158"/>
      <c r="L329" s="158"/>
      <c r="M329" s="158"/>
      <c r="N329" s="158"/>
    </row>
    <row r="330">
      <c r="B330" s="158"/>
      <c r="C330" s="158"/>
      <c r="D330" s="158"/>
      <c r="E330" s="158"/>
      <c r="F330" s="160"/>
      <c r="G330" s="158"/>
      <c r="H330" s="158"/>
      <c r="I330" s="158"/>
      <c r="J330" s="158"/>
      <c r="K330" s="158"/>
      <c r="L330" s="158"/>
      <c r="M330" s="158"/>
      <c r="N330" s="158"/>
    </row>
    <row r="331">
      <c r="B331" s="158"/>
      <c r="C331" s="158"/>
      <c r="D331" s="158"/>
      <c r="E331" s="158"/>
      <c r="F331" s="160"/>
      <c r="G331" s="158"/>
      <c r="H331" s="158"/>
      <c r="I331" s="158"/>
      <c r="J331" s="158"/>
      <c r="K331" s="158"/>
      <c r="L331" s="158"/>
      <c r="M331" s="158"/>
      <c r="N331" s="158"/>
    </row>
    <row r="332">
      <c r="B332" s="158"/>
      <c r="C332" s="158"/>
      <c r="D332" s="158"/>
      <c r="E332" s="158"/>
      <c r="F332" s="160"/>
      <c r="G332" s="158"/>
      <c r="H332" s="158"/>
      <c r="I332" s="158"/>
      <c r="J332" s="158"/>
      <c r="K332" s="158"/>
      <c r="L332" s="158"/>
      <c r="M332" s="158"/>
      <c r="N332" s="158"/>
    </row>
    <row r="333">
      <c r="B333" s="158"/>
      <c r="C333" s="158"/>
      <c r="D333" s="158"/>
      <c r="E333" s="158"/>
      <c r="F333" s="160"/>
      <c r="G333" s="158"/>
      <c r="H333" s="158"/>
      <c r="I333" s="158"/>
      <c r="J333" s="158"/>
      <c r="K333" s="158"/>
      <c r="L333" s="158"/>
      <c r="M333" s="158"/>
      <c r="N333" s="158"/>
    </row>
    <row r="334">
      <c r="B334" s="158"/>
      <c r="C334" s="158"/>
      <c r="D334" s="158"/>
      <c r="E334" s="158"/>
      <c r="F334" s="160"/>
      <c r="G334" s="158"/>
      <c r="H334" s="158"/>
      <c r="I334" s="158"/>
      <c r="J334" s="158"/>
      <c r="K334" s="158"/>
      <c r="L334" s="158"/>
      <c r="M334" s="158"/>
      <c r="N334" s="158"/>
    </row>
    <row r="335">
      <c r="B335" s="158"/>
      <c r="C335" s="158"/>
      <c r="D335" s="158"/>
      <c r="E335" s="158"/>
      <c r="F335" s="160"/>
      <c r="G335" s="158"/>
      <c r="H335" s="158"/>
      <c r="I335" s="158"/>
      <c r="J335" s="158"/>
      <c r="K335" s="158"/>
      <c r="L335" s="158"/>
      <c r="M335" s="158"/>
      <c r="N335" s="158"/>
    </row>
    <row r="336">
      <c r="B336" s="158"/>
      <c r="C336" s="158"/>
      <c r="D336" s="158"/>
      <c r="E336" s="158"/>
      <c r="F336" s="160"/>
      <c r="G336" s="158"/>
      <c r="H336" s="158"/>
      <c r="I336" s="158"/>
      <c r="J336" s="158"/>
      <c r="K336" s="158"/>
      <c r="L336" s="158"/>
      <c r="M336" s="158"/>
      <c r="N336" s="158"/>
    </row>
    <row r="337">
      <c r="B337" s="158"/>
      <c r="C337" s="158"/>
      <c r="D337" s="158"/>
      <c r="E337" s="158"/>
      <c r="F337" s="160"/>
      <c r="G337" s="158"/>
      <c r="H337" s="158"/>
      <c r="I337" s="158"/>
      <c r="J337" s="158"/>
      <c r="K337" s="158"/>
      <c r="L337" s="158"/>
      <c r="M337" s="158"/>
      <c r="N337" s="158"/>
    </row>
    <row r="338">
      <c r="B338" s="158"/>
      <c r="C338" s="158"/>
      <c r="D338" s="158"/>
      <c r="E338" s="158"/>
      <c r="F338" s="160"/>
      <c r="G338" s="158"/>
      <c r="H338" s="158"/>
      <c r="I338" s="158"/>
      <c r="J338" s="158"/>
      <c r="K338" s="158"/>
      <c r="L338" s="158"/>
      <c r="M338" s="158"/>
      <c r="N338" s="158"/>
    </row>
    <row r="339">
      <c r="B339" s="158"/>
      <c r="C339" s="158"/>
      <c r="D339" s="158"/>
      <c r="E339" s="158"/>
      <c r="F339" s="160"/>
      <c r="G339" s="158"/>
      <c r="H339" s="158"/>
      <c r="I339" s="158"/>
      <c r="J339" s="158"/>
      <c r="K339" s="158"/>
      <c r="L339" s="158"/>
      <c r="M339" s="158"/>
      <c r="N339" s="158"/>
    </row>
    <row r="340">
      <c r="B340" s="158"/>
      <c r="C340" s="158"/>
      <c r="D340" s="158"/>
      <c r="E340" s="158"/>
      <c r="F340" s="160"/>
      <c r="G340" s="158"/>
      <c r="H340" s="158"/>
      <c r="I340" s="158"/>
      <c r="J340" s="158"/>
      <c r="K340" s="158"/>
      <c r="L340" s="158"/>
      <c r="M340" s="158"/>
      <c r="N340" s="158"/>
    </row>
    <row r="341">
      <c r="B341" s="158"/>
      <c r="C341" s="158"/>
      <c r="D341" s="158"/>
      <c r="E341" s="158"/>
      <c r="F341" s="160"/>
      <c r="G341" s="158"/>
      <c r="H341" s="158"/>
      <c r="I341" s="158"/>
      <c r="J341" s="158"/>
      <c r="K341" s="158"/>
      <c r="L341" s="158"/>
      <c r="M341" s="158"/>
      <c r="N341" s="158"/>
    </row>
    <row r="342">
      <c r="B342" s="158"/>
      <c r="C342" s="158"/>
      <c r="D342" s="158"/>
      <c r="E342" s="158"/>
      <c r="F342" s="160"/>
      <c r="G342" s="158"/>
      <c r="H342" s="158"/>
      <c r="I342" s="158"/>
      <c r="J342" s="158"/>
      <c r="K342" s="158"/>
      <c r="L342" s="158"/>
      <c r="M342" s="158"/>
      <c r="N342" s="158"/>
    </row>
    <row r="343">
      <c r="B343" s="158"/>
      <c r="C343" s="158"/>
      <c r="D343" s="158"/>
      <c r="E343" s="158"/>
      <c r="F343" s="160"/>
      <c r="G343" s="158"/>
      <c r="H343" s="158"/>
      <c r="I343" s="158"/>
      <c r="J343" s="158"/>
      <c r="K343" s="158"/>
      <c r="L343" s="158"/>
      <c r="M343" s="158"/>
      <c r="N343" s="158"/>
    </row>
    <row r="344">
      <c r="B344" s="158"/>
      <c r="C344" s="158"/>
      <c r="D344" s="158"/>
      <c r="E344" s="158"/>
      <c r="F344" s="160"/>
      <c r="G344" s="158"/>
      <c r="H344" s="158"/>
      <c r="I344" s="158"/>
      <c r="J344" s="158"/>
      <c r="K344" s="158"/>
      <c r="L344" s="158"/>
      <c r="M344" s="158"/>
      <c r="N344" s="158"/>
    </row>
    <row r="345">
      <c r="B345" s="158"/>
      <c r="C345" s="158"/>
      <c r="D345" s="158"/>
      <c r="E345" s="158"/>
      <c r="F345" s="160"/>
      <c r="G345" s="158"/>
      <c r="H345" s="158"/>
      <c r="I345" s="158"/>
      <c r="J345" s="158"/>
      <c r="K345" s="158"/>
      <c r="L345" s="158"/>
      <c r="M345" s="158"/>
      <c r="N345" s="158"/>
    </row>
    <row r="346">
      <c r="B346" s="158"/>
      <c r="C346" s="158"/>
      <c r="D346" s="158"/>
      <c r="E346" s="158"/>
      <c r="F346" s="160"/>
      <c r="G346" s="158"/>
      <c r="H346" s="158"/>
      <c r="I346" s="158"/>
      <c r="J346" s="158"/>
      <c r="K346" s="158"/>
      <c r="L346" s="158"/>
      <c r="M346" s="158"/>
      <c r="N346" s="158"/>
    </row>
    <row r="347">
      <c r="B347" s="158"/>
      <c r="C347" s="158"/>
      <c r="D347" s="158"/>
      <c r="E347" s="158"/>
      <c r="F347" s="160"/>
      <c r="G347" s="158"/>
      <c r="H347" s="158"/>
      <c r="I347" s="158"/>
      <c r="J347" s="158"/>
      <c r="K347" s="158"/>
      <c r="L347" s="158"/>
      <c r="M347" s="158"/>
      <c r="N347" s="158"/>
    </row>
    <row r="348">
      <c r="B348" s="158"/>
      <c r="C348" s="158"/>
      <c r="D348" s="158"/>
      <c r="E348" s="158"/>
      <c r="F348" s="160"/>
      <c r="G348" s="158"/>
      <c r="H348" s="158"/>
      <c r="I348" s="158"/>
      <c r="J348" s="158"/>
      <c r="K348" s="158"/>
      <c r="L348" s="158"/>
      <c r="M348" s="158"/>
      <c r="N348" s="158"/>
    </row>
    <row r="349">
      <c r="B349" s="158"/>
      <c r="C349" s="158"/>
      <c r="D349" s="158"/>
      <c r="E349" s="158"/>
      <c r="F349" s="160"/>
      <c r="G349" s="158"/>
      <c r="H349" s="158"/>
      <c r="I349" s="158"/>
      <c r="J349" s="158"/>
      <c r="K349" s="158"/>
      <c r="L349" s="158"/>
      <c r="M349" s="158"/>
      <c r="N349" s="158"/>
    </row>
    <row r="350">
      <c r="B350" s="158"/>
      <c r="C350" s="158"/>
      <c r="D350" s="158"/>
      <c r="E350" s="158"/>
      <c r="F350" s="160"/>
      <c r="G350" s="158"/>
      <c r="H350" s="158"/>
      <c r="I350" s="158"/>
      <c r="J350" s="158"/>
      <c r="K350" s="158"/>
      <c r="L350" s="158"/>
      <c r="M350" s="158"/>
      <c r="N350" s="158"/>
    </row>
    <row r="351">
      <c r="B351" s="158"/>
      <c r="C351" s="158"/>
      <c r="D351" s="158"/>
      <c r="E351" s="158"/>
      <c r="F351" s="160"/>
      <c r="G351" s="158"/>
      <c r="H351" s="158"/>
      <c r="I351" s="158"/>
      <c r="J351" s="158"/>
      <c r="K351" s="158"/>
      <c r="L351" s="158"/>
      <c r="M351" s="158"/>
      <c r="N351" s="158"/>
    </row>
    <row r="352">
      <c r="B352" s="158"/>
      <c r="C352" s="158"/>
      <c r="D352" s="158"/>
      <c r="E352" s="158"/>
      <c r="F352" s="160"/>
      <c r="G352" s="158"/>
      <c r="H352" s="158"/>
      <c r="I352" s="158"/>
      <c r="J352" s="158"/>
      <c r="K352" s="158"/>
      <c r="L352" s="158"/>
      <c r="M352" s="158"/>
      <c r="N352" s="158"/>
    </row>
    <row r="353">
      <c r="B353" s="158"/>
      <c r="C353" s="158"/>
      <c r="D353" s="158"/>
      <c r="E353" s="158"/>
      <c r="F353" s="160"/>
      <c r="G353" s="158"/>
      <c r="H353" s="158"/>
      <c r="I353" s="158"/>
      <c r="J353" s="158"/>
      <c r="K353" s="158"/>
      <c r="L353" s="158"/>
      <c r="M353" s="158"/>
      <c r="N353" s="158"/>
    </row>
    <row r="354">
      <c r="B354" s="158"/>
      <c r="C354" s="158"/>
      <c r="D354" s="158"/>
      <c r="E354" s="158"/>
      <c r="F354" s="160"/>
      <c r="G354" s="158"/>
      <c r="H354" s="158"/>
      <c r="I354" s="158"/>
      <c r="J354" s="158"/>
      <c r="K354" s="158"/>
      <c r="L354" s="158"/>
      <c r="M354" s="158"/>
      <c r="N354" s="158"/>
    </row>
    <row r="355">
      <c r="B355" s="158"/>
      <c r="C355" s="158"/>
      <c r="D355" s="158"/>
      <c r="E355" s="158"/>
      <c r="F355" s="160"/>
      <c r="G355" s="158"/>
      <c r="H355" s="158"/>
      <c r="I355" s="158"/>
      <c r="J355" s="158"/>
      <c r="K355" s="158"/>
      <c r="L355" s="158"/>
      <c r="M355" s="158"/>
      <c r="N355" s="158"/>
    </row>
    <row r="356">
      <c r="B356" s="158"/>
      <c r="C356" s="158"/>
      <c r="D356" s="158"/>
      <c r="E356" s="158"/>
      <c r="F356" s="160"/>
      <c r="G356" s="158"/>
      <c r="H356" s="158"/>
      <c r="I356" s="158"/>
      <c r="J356" s="158"/>
      <c r="K356" s="158"/>
      <c r="L356" s="158"/>
      <c r="M356" s="158"/>
      <c r="N356" s="158"/>
    </row>
    <row r="357">
      <c r="B357" s="158"/>
      <c r="C357" s="158"/>
      <c r="D357" s="158"/>
      <c r="E357" s="158"/>
      <c r="F357" s="160"/>
      <c r="G357" s="158"/>
      <c r="H357" s="158"/>
      <c r="I357" s="158"/>
      <c r="J357" s="158"/>
      <c r="K357" s="158"/>
      <c r="L357" s="158"/>
      <c r="M357" s="158"/>
      <c r="N357" s="158"/>
    </row>
    <row r="358">
      <c r="B358" s="158"/>
      <c r="C358" s="158"/>
      <c r="D358" s="158"/>
      <c r="E358" s="158"/>
      <c r="F358" s="160"/>
      <c r="G358" s="158"/>
      <c r="H358" s="158"/>
      <c r="I358" s="158"/>
      <c r="J358" s="158"/>
      <c r="K358" s="158"/>
      <c r="L358" s="158"/>
      <c r="M358" s="158"/>
      <c r="N358" s="158"/>
    </row>
    <row r="359">
      <c r="B359" s="158"/>
      <c r="C359" s="158"/>
      <c r="D359" s="158"/>
      <c r="E359" s="158"/>
      <c r="F359" s="160"/>
      <c r="G359" s="158"/>
      <c r="H359" s="158"/>
      <c r="I359" s="158"/>
      <c r="J359" s="158"/>
      <c r="K359" s="158"/>
      <c r="L359" s="158"/>
      <c r="M359" s="158"/>
      <c r="N359" s="158"/>
    </row>
    <row r="360">
      <c r="B360" s="158"/>
      <c r="C360" s="158"/>
      <c r="D360" s="158"/>
      <c r="E360" s="158"/>
      <c r="F360" s="160"/>
      <c r="G360" s="158"/>
      <c r="H360" s="158"/>
      <c r="I360" s="158"/>
      <c r="J360" s="158"/>
      <c r="K360" s="158"/>
      <c r="L360" s="158"/>
      <c r="M360" s="158"/>
      <c r="N360" s="158"/>
    </row>
    <row r="361">
      <c r="B361" s="158"/>
      <c r="C361" s="158"/>
      <c r="D361" s="158"/>
      <c r="E361" s="158"/>
      <c r="F361" s="160"/>
      <c r="G361" s="158"/>
      <c r="H361" s="158"/>
      <c r="I361" s="158"/>
      <c r="J361" s="158"/>
      <c r="K361" s="158"/>
      <c r="L361" s="158"/>
      <c r="M361" s="158"/>
      <c r="N361" s="158"/>
    </row>
    <row r="362">
      <c r="B362" s="158"/>
      <c r="C362" s="158"/>
      <c r="D362" s="158"/>
      <c r="E362" s="158"/>
      <c r="F362" s="160"/>
      <c r="G362" s="158"/>
      <c r="H362" s="158"/>
      <c r="I362" s="158"/>
      <c r="J362" s="158"/>
      <c r="K362" s="158"/>
      <c r="L362" s="158"/>
      <c r="M362" s="158"/>
      <c r="N362" s="158"/>
    </row>
    <row r="363">
      <c r="B363" s="158"/>
      <c r="C363" s="158"/>
      <c r="D363" s="158"/>
      <c r="E363" s="158"/>
      <c r="F363" s="160"/>
      <c r="G363" s="158"/>
      <c r="H363" s="158"/>
      <c r="I363" s="158"/>
      <c r="J363" s="158"/>
      <c r="K363" s="158"/>
      <c r="L363" s="158"/>
      <c r="M363" s="158"/>
      <c r="N363" s="158"/>
    </row>
    <row r="364">
      <c r="B364" s="158"/>
      <c r="C364" s="158"/>
      <c r="D364" s="158"/>
      <c r="E364" s="158"/>
      <c r="F364" s="160"/>
      <c r="G364" s="158"/>
      <c r="H364" s="158"/>
      <c r="I364" s="158"/>
      <c r="J364" s="158"/>
      <c r="K364" s="158"/>
      <c r="L364" s="158"/>
      <c r="M364" s="158"/>
      <c r="N364" s="158"/>
    </row>
    <row r="365">
      <c r="B365" s="158"/>
      <c r="C365" s="158"/>
      <c r="D365" s="158"/>
      <c r="E365" s="158"/>
      <c r="F365" s="160"/>
      <c r="G365" s="158"/>
      <c r="H365" s="158"/>
      <c r="I365" s="158"/>
      <c r="J365" s="158"/>
      <c r="K365" s="158"/>
      <c r="L365" s="158"/>
      <c r="M365" s="158"/>
      <c r="N365" s="158"/>
    </row>
    <row r="366">
      <c r="B366" s="158"/>
      <c r="C366" s="158"/>
      <c r="D366" s="158"/>
      <c r="E366" s="158"/>
      <c r="F366" s="160"/>
      <c r="G366" s="158"/>
      <c r="H366" s="158"/>
      <c r="I366" s="158"/>
      <c r="J366" s="158"/>
      <c r="K366" s="158"/>
      <c r="L366" s="158"/>
      <c r="M366" s="158"/>
      <c r="N366" s="158"/>
    </row>
    <row r="367">
      <c r="B367" s="158"/>
      <c r="C367" s="158"/>
      <c r="D367" s="158"/>
      <c r="E367" s="158"/>
      <c r="F367" s="160"/>
      <c r="G367" s="158"/>
      <c r="H367" s="158"/>
      <c r="I367" s="158"/>
      <c r="J367" s="158"/>
      <c r="K367" s="158"/>
      <c r="L367" s="158"/>
      <c r="M367" s="158"/>
      <c r="N367" s="158"/>
    </row>
    <row r="368">
      <c r="B368" s="158"/>
      <c r="C368" s="158"/>
      <c r="D368" s="158"/>
      <c r="E368" s="158"/>
      <c r="F368" s="160"/>
      <c r="G368" s="158"/>
      <c r="H368" s="158"/>
      <c r="I368" s="158"/>
      <c r="J368" s="158"/>
      <c r="K368" s="158"/>
      <c r="L368" s="158"/>
      <c r="M368" s="158"/>
      <c r="N368" s="158"/>
    </row>
    <row r="369">
      <c r="B369" s="158"/>
      <c r="C369" s="158"/>
      <c r="D369" s="158"/>
      <c r="E369" s="158"/>
      <c r="F369" s="160"/>
      <c r="G369" s="158"/>
      <c r="H369" s="158"/>
      <c r="I369" s="158"/>
      <c r="J369" s="158"/>
      <c r="K369" s="158"/>
      <c r="L369" s="158"/>
      <c r="M369" s="158"/>
      <c r="N369" s="158"/>
    </row>
    <row r="370">
      <c r="B370" s="158"/>
      <c r="C370" s="158"/>
      <c r="D370" s="158"/>
      <c r="E370" s="158"/>
      <c r="F370" s="160"/>
      <c r="G370" s="158"/>
      <c r="H370" s="158"/>
      <c r="I370" s="158"/>
      <c r="J370" s="158"/>
      <c r="K370" s="158"/>
      <c r="L370" s="158"/>
      <c r="M370" s="158"/>
      <c r="N370" s="158"/>
    </row>
    <row r="371">
      <c r="B371" s="158"/>
      <c r="C371" s="158"/>
      <c r="D371" s="158"/>
      <c r="E371" s="158"/>
      <c r="F371" s="160"/>
      <c r="G371" s="158"/>
      <c r="H371" s="158"/>
      <c r="I371" s="158"/>
      <c r="J371" s="158"/>
      <c r="K371" s="158"/>
      <c r="L371" s="158"/>
      <c r="M371" s="158"/>
      <c r="N371" s="158"/>
    </row>
    <row r="372">
      <c r="B372" s="158"/>
      <c r="C372" s="158"/>
      <c r="D372" s="158"/>
      <c r="E372" s="158"/>
      <c r="F372" s="160"/>
      <c r="G372" s="158"/>
      <c r="H372" s="158"/>
      <c r="I372" s="158"/>
      <c r="J372" s="158"/>
      <c r="K372" s="158"/>
      <c r="L372" s="158"/>
      <c r="M372" s="158"/>
      <c r="N372" s="158"/>
    </row>
    <row r="373">
      <c r="B373" s="158"/>
      <c r="C373" s="158"/>
      <c r="D373" s="158"/>
      <c r="E373" s="158"/>
      <c r="F373" s="160"/>
      <c r="G373" s="158"/>
      <c r="H373" s="158"/>
      <c r="I373" s="158"/>
      <c r="J373" s="158"/>
      <c r="K373" s="158"/>
      <c r="L373" s="158"/>
      <c r="M373" s="158"/>
      <c r="N373" s="158"/>
    </row>
    <row r="374">
      <c r="B374" s="158"/>
      <c r="C374" s="158"/>
      <c r="D374" s="158"/>
      <c r="E374" s="158"/>
      <c r="F374" s="160"/>
      <c r="G374" s="158"/>
      <c r="H374" s="158"/>
      <c r="I374" s="158"/>
      <c r="J374" s="158"/>
      <c r="K374" s="158"/>
      <c r="L374" s="158"/>
      <c r="M374" s="158"/>
      <c r="N374" s="158"/>
    </row>
    <row r="375">
      <c r="B375" s="158"/>
      <c r="C375" s="158"/>
      <c r="D375" s="158"/>
      <c r="E375" s="158"/>
      <c r="F375" s="160"/>
      <c r="G375" s="158"/>
      <c r="H375" s="158"/>
      <c r="I375" s="158"/>
      <c r="J375" s="158"/>
      <c r="K375" s="158"/>
      <c r="L375" s="158"/>
      <c r="M375" s="158"/>
      <c r="N375" s="158"/>
    </row>
    <row r="376">
      <c r="B376" s="158"/>
      <c r="C376" s="158"/>
      <c r="D376" s="158"/>
      <c r="E376" s="158"/>
      <c r="F376" s="160"/>
      <c r="G376" s="158"/>
      <c r="H376" s="158"/>
      <c r="I376" s="158"/>
      <c r="J376" s="158"/>
      <c r="K376" s="158"/>
      <c r="L376" s="158"/>
      <c r="M376" s="158"/>
      <c r="N376" s="158"/>
    </row>
    <row r="377">
      <c r="B377" s="158"/>
      <c r="C377" s="158"/>
      <c r="D377" s="158"/>
      <c r="E377" s="158"/>
      <c r="F377" s="160"/>
      <c r="G377" s="158"/>
      <c r="H377" s="158"/>
      <c r="I377" s="158"/>
      <c r="J377" s="158"/>
      <c r="K377" s="158"/>
      <c r="L377" s="158"/>
      <c r="M377" s="158"/>
      <c r="N377" s="158"/>
    </row>
    <row r="378">
      <c r="B378" s="158"/>
      <c r="C378" s="158"/>
      <c r="D378" s="158"/>
      <c r="E378" s="158"/>
      <c r="F378" s="160"/>
      <c r="G378" s="158"/>
      <c r="H378" s="158"/>
      <c r="I378" s="158"/>
      <c r="J378" s="158"/>
      <c r="K378" s="158"/>
      <c r="L378" s="158"/>
      <c r="M378" s="158"/>
      <c r="N378" s="158"/>
    </row>
    <row r="379">
      <c r="B379" s="158"/>
      <c r="C379" s="158"/>
      <c r="D379" s="158"/>
      <c r="E379" s="158"/>
      <c r="F379" s="160"/>
      <c r="G379" s="158"/>
      <c r="H379" s="158"/>
      <c r="I379" s="158"/>
      <c r="J379" s="158"/>
      <c r="K379" s="158"/>
      <c r="L379" s="158"/>
      <c r="M379" s="158"/>
      <c r="N379" s="158"/>
    </row>
    <row r="380">
      <c r="B380" s="158"/>
      <c r="C380" s="158"/>
      <c r="D380" s="158"/>
      <c r="E380" s="158"/>
      <c r="F380" s="160"/>
      <c r="G380" s="158"/>
      <c r="H380" s="158"/>
      <c r="I380" s="158"/>
      <c r="J380" s="158"/>
      <c r="K380" s="158"/>
      <c r="L380" s="158"/>
      <c r="M380" s="158"/>
      <c r="N380" s="158"/>
    </row>
    <row r="381">
      <c r="B381" s="158"/>
      <c r="C381" s="158"/>
      <c r="D381" s="158"/>
      <c r="E381" s="158"/>
      <c r="F381" s="160"/>
      <c r="G381" s="158"/>
      <c r="H381" s="158"/>
      <c r="I381" s="158"/>
      <c r="J381" s="158"/>
      <c r="K381" s="158"/>
      <c r="L381" s="158"/>
      <c r="M381" s="158"/>
      <c r="N381" s="158"/>
    </row>
    <row r="382">
      <c r="B382" s="158"/>
      <c r="C382" s="158"/>
      <c r="D382" s="158"/>
      <c r="E382" s="158"/>
      <c r="F382" s="160"/>
      <c r="G382" s="158"/>
      <c r="H382" s="158"/>
      <c r="I382" s="158"/>
      <c r="J382" s="158"/>
      <c r="K382" s="158"/>
      <c r="L382" s="158"/>
      <c r="M382" s="158"/>
      <c r="N382" s="158"/>
    </row>
    <row r="383">
      <c r="B383" s="158"/>
      <c r="C383" s="158"/>
      <c r="D383" s="158"/>
      <c r="E383" s="158"/>
      <c r="F383" s="160"/>
      <c r="G383" s="158"/>
      <c r="H383" s="158"/>
      <c r="I383" s="158"/>
      <c r="J383" s="158"/>
      <c r="K383" s="158"/>
      <c r="L383" s="158"/>
      <c r="M383" s="158"/>
      <c r="N383" s="158"/>
    </row>
    <row r="384">
      <c r="B384" s="158"/>
      <c r="C384" s="158"/>
      <c r="D384" s="158"/>
      <c r="E384" s="158"/>
      <c r="F384" s="160"/>
      <c r="G384" s="158"/>
      <c r="H384" s="158"/>
      <c r="I384" s="158"/>
      <c r="J384" s="158"/>
      <c r="K384" s="158"/>
      <c r="L384" s="158"/>
      <c r="M384" s="158"/>
      <c r="N384" s="158"/>
    </row>
    <row r="385">
      <c r="B385" s="158"/>
      <c r="C385" s="158"/>
      <c r="D385" s="158"/>
      <c r="E385" s="158"/>
      <c r="F385" s="160"/>
      <c r="G385" s="158"/>
      <c r="H385" s="158"/>
      <c r="I385" s="158"/>
      <c r="J385" s="158"/>
      <c r="K385" s="158"/>
      <c r="L385" s="158"/>
      <c r="M385" s="158"/>
      <c r="N385" s="158"/>
    </row>
    <row r="386">
      <c r="B386" s="158"/>
      <c r="C386" s="158"/>
      <c r="D386" s="158"/>
      <c r="E386" s="158"/>
      <c r="F386" s="160"/>
      <c r="G386" s="158"/>
      <c r="H386" s="158"/>
      <c r="I386" s="158"/>
      <c r="J386" s="158"/>
      <c r="K386" s="158"/>
      <c r="L386" s="158"/>
      <c r="M386" s="158"/>
      <c r="N386" s="158"/>
    </row>
    <row r="387">
      <c r="B387" s="158"/>
      <c r="C387" s="158"/>
      <c r="D387" s="158"/>
      <c r="E387" s="158"/>
      <c r="F387" s="160"/>
      <c r="G387" s="158"/>
      <c r="H387" s="158"/>
      <c r="I387" s="158"/>
      <c r="J387" s="158"/>
      <c r="K387" s="158"/>
      <c r="L387" s="158"/>
      <c r="M387" s="158"/>
      <c r="N387" s="158"/>
    </row>
    <row r="388">
      <c r="B388" s="158"/>
      <c r="C388" s="158"/>
      <c r="D388" s="158"/>
      <c r="E388" s="158"/>
      <c r="F388" s="160"/>
      <c r="G388" s="158"/>
      <c r="H388" s="158"/>
      <c r="I388" s="158"/>
      <c r="J388" s="158"/>
      <c r="K388" s="158"/>
      <c r="L388" s="158"/>
      <c r="M388" s="158"/>
      <c r="N388" s="158"/>
    </row>
    <row r="389">
      <c r="B389" s="158"/>
      <c r="C389" s="158"/>
      <c r="D389" s="158"/>
      <c r="E389" s="158"/>
      <c r="F389" s="160"/>
      <c r="G389" s="158"/>
      <c r="H389" s="158"/>
      <c r="I389" s="158"/>
      <c r="J389" s="158"/>
      <c r="K389" s="158"/>
      <c r="L389" s="158"/>
      <c r="M389" s="158"/>
      <c r="N389" s="158"/>
    </row>
    <row r="390">
      <c r="B390" s="158"/>
      <c r="C390" s="158"/>
      <c r="D390" s="158"/>
      <c r="E390" s="158"/>
      <c r="F390" s="160"/>
      <c r="G390" s="158"/>
      <c r="H390" s="158"/>
      <c r="I390" s="158"/>
      <c r="J390" s="158"/>
      <c r="K390" s="158"/>
      <c r="L390" s="158"/>
      <c r="M390" s="158"/>
      <c r="N390" s="158"/>
    </row>
    <row r="391">
      <c r="B391" s="158"/>
      <c r="C391" s="158"/>
      <c r="D391" s="158"/>
      <c r="E391" s="158"/>
      <c r="F391" s="160"/>
      <c r="G391" s="158"/>
      <c r="H391" s="158"/>
      <c r="I391" s="158"/>
      <c r="J391" s="158"/>
      <c r="K391" s="158"/>
      <c r="L391" s="158"/>
      <c r="M391" s="158"/>
      <c r="N391" s="158"/>
    </row>
    <row r="392">
      <c r="B392" s="158"/>
      <c r="C392" s="158"/>
      <c r="D392" s="158"/>
      <c r="E392" s="158"/>
      <c r="F392" s="160"/>
      <c r="G392" s="158"/>
      <c r="H392" s="158"/>
      <c r="I392" s="158"/>
      <c r="J392" s="158"/>
      <c r="K392" s="158"/>
      <c r="L392" s="158"/>
      <c r="M392" s="158"/>
      <c r="N392" s="158"/>
    </row>
    <row r="393">
      <c r="B393" s="158"/>
      <c r="C393" s="158"/>
      <c r="D393" s="158"/>
      <c r="E393" s="158"/>
      <c r="F393" s="160"/>
      <c r="G393" s="158"/>
      <c r="H393" s="158"/>
      <c r="I393" s="158"/>
      <c r="J393" s="158"/>
      <c r="K393" s="158"/>
      <c r="L393" s="158"/>
      <c r="M393" s="158"/>
      <c r="N393" s="158"/>
    </row>
    <row r="394">
      <c r="B394" s="158"/>
      <c r="C394" s="158"/>
      <c r="D394" s="158"/>
      <c r="E394" s="158"/>
      <c r="F394" s="160"/>
      <c r="G394" s="158"/>
      <c r="H394" s="158"/>
      <c r="I394" s="158"/>
      <c r="J394" s="158"/>
      <c r="K394" s="158"/>
      <c r="L394" s="158"/>
      <c r="M394" s="158"/>
      <c r="N394" s="158"/>
    </row>
    <row r="395">
      <c r="B395" s="158"/>
      <c r="C395" s="158"/>
      <c r="D395" s="158"/>
      <c r="E395" s="158"/>
      <c r="F395" s="160"/>
      <c r="G395" s="158"/>
      <c r="H395" s="158"/>
      <c r="I395" s="158"/>
      <c r="J395" s="158"/>
      <c r="K395" s="158"/>
      <c r="L395" s="158"/>
      <c r="M395" s="158"/>
      <c r="N395" s="158"/>
    </row>
    <row r="396">
      <c r="B396" s="158"/>
      <c r="C396" s="158"/>
      <c r="D396" s="158"/>
      <c r="E396" s="158"/>
      <c r="F396" s="160"/>
      <c r="G396" s="158"/>
      <c r="H396" s="158"/>
      <c r="I396" s="158"/>
      <c r="J396" s="158"/>
      <c r="K396" s="158"/>
      <c r="L396" s="158"/>
      <c r="M396" s="158"/>
      <c r="N396" s="158"/>
    </row>
    <row r="397">
      <c r="B397" s="158"/>
      <c r="C397" s="158"/>
      <c r="D397" s="158"/>
      <c r="E397" s="158"/>
      <c r="F397" s="160"/>
      <c r="G397" s="158"/>
      <c r="H397" s="158"/>
      <c r="I397" s="158"/>
      <c r="J397" s="158"/>
      <c r="K397" s="158"/>
      <c r="L397" s="158"/>
      <c r="M397" s="158"/>
      <c r="N397" s="158"/>
    </row>
    <row r="398">
      <c r="B398" s="158"/>
      <c r="C398" s="158"/>
      <c r="D398" s="158"/>
      <c r="E398" s="158"/>
      <c r="F398" s="160"/>
      <c r="G398" s="158"/>
      <c r="H398" s="158"/>
      <c r="I398" s="158"/>
      <c r="J398" s="158"/>
      <c r="K398" s="158"/>
      <c r="L398" s="158"/>
      <c r="M398" s="158"/>
      <c r="N398" s="158"/>
    </row>
    <row r="399">
      <c r="B399" s="158"/>
      <c r="C399" s="158"/>
      <c r="D399" s="158"/>
      <c r="E399" s="158"/>
      <c r="F399" s="160"/>
      <c r="G399" s="158"/>
      <c r="H399" s="158"/>
      <c r="I399" s="158"/>
      <c r="J399" s="158"/>
      <c r="K399" s="158"/>
      <c r="L399" s="158"/>
      <c r="M399" s="158"/>
      <c r="N399" s="158"/>
    </row>
    <row r="400">
      <c r="B400" s="158"/>
      <c r="C400" s="158"/>
      <c r="D400" s="158"/>
      <c r="E400" s="158"/>
      <c r="F400" s="160"/>
      <c r="G400" s="158"/>
      <c r="H400" s="158"/>
      <c r="I400" s="158"/>
      <c r="J400" s="158"/>
      <c r="K400" s="158"/>
      <c r="L400" s="158"/>
      <c r="M400" s="158"/>
      <c r="N400" s="158"/>
    </row>
    <row r="401">
      <c r="B401" s="158"/>
      <c r="C401" s="158"/>
      <c r="D401" s="158"/>
      <c r="E401" s="158"/>
      <c r="F401" s="160"/>
      <c r="G401" s="158"/>
      <c r="H401" s="158"/>
      <c r="I401" s="158"/>
      <c r="J401" s="158"/>
      <c r="K401" s="158"/>
      <c r="L401" s="158"/>
      <c r="M401" s="158"/>
      <c r="N401" s="158"/>
    </row>
    <row r="402">
      <c r="B402" s="158"/>
      <c r="C402" s="158"/>
      <c r="D402" s="158"/>
      <c r="E402" s="158"/>
      <c r="F402" s="160"/>
      <c r="G402" s="158"/>
      <c r="H402" s="158"/>
      <c r="I402" s="158"/>
      <c r="J402" s="158"/>
      <c r="K402" s="158"/>
      <c r="L402" s="158"/>
      <c r="M402" s="158"/>
      <c r="N402" s="158"/>
    </row>
    <row r="403">
      <c r="B403" s="158"/>
      <c r="C403" s="158"/>
      <c r="D403" s="158"/>
      <c r="E403" s="158"/>
      <c r="F403" s="160"/>
      <c r="G403" s="158"/>
      <c r="H403" s="158"/>
      <c r="I403" s="158"/>
      <c r="J403" s="158"/>
      <c r="K403" s="158"/>
      <c r="L403" s="158"/>
      <c r="M403" s="158"/>
      <c r="N403" s="158"/>
    </row>
    <row r="404">
      <c r="B404" s="158"/>
      <c r="C404" s="158"/>
      <c r="D404" s="158"/>
      <c r="E404" s="158"/>
      <c r="F404" s="160"/>
      <c r="G404" s="158"/>
      <c r="H404" s="158"/>
      <c r="I404" s="158"/>
      <c r="J404" s="158"/>
      <c r="K404" s="158"/>
      <c r="L404" s="158"/>
      <c r="M404" s="158"/>
      <c r="N404" s="158"/>
    </row>
    <row r="405">
      <c r="B405" s="158"/>
      <c r="C405" s="158"/>
      <c r="D405" s="158"/>
      <c r="E405" s="158"/>
      <c r="F405" s="160"/>
      <c r="G405" s="158"/>
      <c r="H405" s="158"/>
      <c r="I405" s="158"/>
      <c r="J405" s="158"/>
      <c r="K405" s="158"/>
      <c r="L405" s="158"/>
      <c r="M405" s="158"/>
      <c r="N405" s="158"/>
    </row>
    <row r="406">
      <c r="B406" s="158"/>
      <c r="C406" s="158"/>
      <c r="D406" s="158"/>
      <c r="E406" s="158"/>
      <c r="F406" s="160"/>
      <c r="G406" s="158"/>
      <c r="H406" s="158"/>
      <c r="I406" s="158"/>
      <c r="J406" s="158"/>
      <c r="K406" s="158"/>
      <c r="L406" s="158"/>
      <c r="M406" s="158"/>
      <c r="N406" s="158"/>
    </row>
    <row r="407">
      <c r="B407" s="158"/>
      <c r="C407" s="158"/>
      <c r="D407" s="158"/>
      <c r="E407" s="158"/>
      <c r="F407" s="160"/>
      <c r="G407" s="158"/>
      <c r="H407" s="158"/>
      <c r="I407" s="158"/>
      <c r="J407" s="158"/>
      <c r="K407" s="158"/>
      <c r="L407" s="158"/>
      <c r="M407" s="158"/>
      <c r="N407" s="158"/>
    </row>
    <row r="408">
      <c r="B408" s="158"/>
      <c r="C408" s="158"/>
      <c r="D408" s="158"/>
      <c r="E408" s="158"/>
      <c r="F408" s="160"/>
      <c r="G408" s="158"/>
      <c r="H408" s="158"/>
      <c r="I408" s="158"/>
      <c r="J408" s="158"/>
      <c r="K408" s="158"/>
      <c r="L408" s="158"/>
      <c r="M408" s="158"/>
      <c r="N408" s="158"/>
    </row>
    <row r="409">
      <c r="B409" s="158"/>
      <c r="C409" s="158"/>
      <c r="D409" s="158"/>
      <c r="E409" s="158"/>
      <c r="F409" s="160"/>
      <c r="G409" s="158"/>
      <c r="H409" s="158"/>
      <c r="I409" s="158"/>
      <c r="J409" s="158"/>
      <c r="K409" s="158"/>
      <c r="L409" s="158"/>
      <c r="M409" s="158"/>
      <c r="N409" s="158"/>
    </row>
    <row r="410">
      <c r="B410" s="158"/>
      <c r="C410" s="158"/>
      <c r="D410" s="158"/>
      <c r="E410" s="158"/>
      <c r="F410" s="160"/>
      <c r="G410" s="158"/>
      <c r="H410" s="158"/>
      <c r="I410" s="158"/>
      <c r="J410" s="158"/>
      <c r="K410" s="158"/>
      <c r="L410" s="158"/>
      <c r="M410" s="158"/>
      <c r="N410" s="158"/>
    </row>
    <row r="411">
      <c r="B411" s="158"/>
      <c r="C411" s="158"/>
      <c r="D411" s="158"/>
      <c r="E411" s="158"/>
      <c r="F411" s="160"/>
      <c r="G411" s="158"/>
      <c r="H411" s="158"/>
      <c r="I411" s="158"/>
      <c r="J411" s="158"/>
      <c r="K411" s="158"/>
      <c r="L411" s="158"/>
      <c r="M411" s="158"/>
      <c r="N411" s="158"/>
    </row>
    <row r="412">
      <c r="B412" s="158"/>
      <c r="C412" s="158"/>
      <c r="D412" s="158"/>
      <c r="E412" s="158"/>
      <c r="F412" s="160"/>
      <c r="G412" s="158"/>
      <c r="H412" s="158"/>
      <c r="I412" s="158"/>
      <c r="J412" s="158"/>
      <c r="K412" s="158"/>
      <c r="L412" s="158"/>
      <c r="M412" s="158"/>
      <c r="N412" s="158"/>
    </row>
    <row r="413">
      <c r="B413" s="158"/>
      <c r="C413" s="158"/>
      <c r="D413" s="158"/>
      <c r="E413" s="158"/>
      <c r="F413" s="160"/>
      <c r="G413" s="158"/>
      <c r="H413" s="158"/>
      <c r="I413" s="158"/>
      <c r="J413" s="158"/>
      <c r="K413" s="158"/>
      <c r="L413" s="158"/>
      <c r="M413" s="158"/>
      <c r="N413" s="158"/>
    </row>
    <row r="414">
      <c r="B414" s="158"/>
      <c r="C414" s="158"/>
      <c r="D414" s="158"/>
      <c r="E414" s="158"/>
      <c r="F414" s="160"/>
      <c r="G414" s="158"/>
      <c r="H414" s="158"/>
      <c r="I414" s="158"/>
      <c r="J414" s="158"/>
      <c r="K414" s="158"/>
      <c r="L414" s="158"/>
      <c r="M414" s="158"/>
      <c r="N414" s="158"/>
    </row>
    <row r="415">
      <c r="B415" s="158"/>
      <c r="C415" s="158"/>
      <c r="D415" s="158"/>
      <c r="E415" s="158"/>
      <c r="F415" s="160"/>
      <c r="G415" s="158"/>
      <c r="H415" s="158"/>
      <c r="I415" s="158"/>
      <c r="J415" s="158"/>
      <c r="K415" s="158"/>
      <c r="L415" s="158"/>
      <c r="M415" s="158"/>
      <c r="N415" s="158"/>
    </row>
    <row r="416">
      <c r="B416" s="158"/>
      <c r="C416" s="158"/>
      <c r="D416" s="158"/>
      <c r="E416" s="158"/>
      <c r="F416" s="160"/>
      <c r="G416" s="158"/>
      <c r="H416" s="158"/>
      <c r="I416" s="158"/>
      <c r="J416" s="158"/>
      <c r="K416" s="158"/>
      <c r="L416" s="158"/>
      <c r="M416" s="158"/>
      <c r="N416" s="158"/>
    </row>
    <row r="417">
      <c r="B417" s="158"/>
      <c r="C417" s="158"/>
      <c r="D417" s="158"/>
      <c r="E417" s="158"/>
      <c r="F417" s="160"/>
      <c r="G417" s="158"/>
      <c r="H417" s="158"/>
      <c r="I417" s="158"/>
      <c r="J417" s="158"/>
      <c r="K417" s="158"/>
      <c r="L417" s="158"/>
      <c r="M417" s="158"/>
      <c r="N417" s="158"/>
    </row>
    <row r="418">
      <c r="B418" s="158"/>
      <c r="C418" s="158"/>
      <c r="D418" s="158"/>
      <c r="E418" s="158"/>
      <c r="F418" s="160"/>
      <c r="G418" s="158"/>
      <c r="H418" s="158"/>
      <c r="I418" s="158"/>
      <c r="J418" s="158"/>
      <c r="K418" s="158"/>
      <c r="L418" s="158"/>
      <c r="M418" s="158"/>
      <c r="N418" s="158"/>
    </row>
    <row r="419">
      <c r="B419" s="158"/>
      <c r="C419" s="158"/>
      <c r="D419" s="158"/>
      <c r="E419" s="158"/>
      <c r="F419" s="160"/>
      <c r="G419" s="158"/>
      <c r="H419" s="158"/>
      <c r="I419" s="158"/>
      <c r="J419" s="158"/>
      <c r="K419" s="158"/>
      <c r="L419" s="158"/>
      <c r="M419" s="158"/>
      <c r="N419" s="158"/>
    </row>
    <row r="420">
      <c r="B420" s="158"/>
      <c r="C420" s="158"/>
      <c r="D420" s="158"/>
      <c r="E420" s="158"/>
      <c r="F420" s="160"/>
      <c r="G420" s="158"/>
      <c r="H420" s="158"/>
      <c r="I420" s="158"/>
      <c r="J420" s="158"/>
      <c r="K420" s="158"/>
      <c r="L420" s="158"/>
      <c r="M420" s="158"/>
      <c r="N420" s="158"/>
    </row>
    <row r="421">
      <c r="B421" s="158"/>
      <c r="C421" s="158"/>
      <c r="D421" s="158"/>
      <c r="E421" s="158"/>
      <c r="F421" s="160"/>
      <c r="G421" s="158"/>
      <c r="H421" s="158"/>
      <c r="I421" s="158"/>
      <c r="J421" s="158"/>
      <c r="K421" s="158"/>
      <c r="L421" s="158"/>
      <c r="M421" s="158"/>
      <c r="N421" s="158"/>
    </row>
    <row r="422">
      <c r="B422" s="158"/>
      <c r="C422" s="158"/>
      <c r="D422" s="158"/>
      <c r="E422" s="158"/>
      <c r="F422" s="160"/>
      <c r="G422" s="158"/>
      <c r="H422" s="158"/>
      <c r="I422" s="158"/>
      <c r="J422" s="158"/>
      <c r="K422" s="158"/>
      <c r="L422" s="158"/>
      <c r="M422" s="158"/>
      <c r="N422" s="158"/>
    </row>
    <row r="423">
      <c r="B423" s="158"/>
      <c r="C423" s="158"/>
      <c r="D423" s="158"/>
      <c r="E423" s="158"/>
      <c r="F423" s="160"/>
      <c r="G423" s="158"/>
      <c r="H423" s="158"/>
      <c r="I423" s="158"/>
      <c r="J423" s="158"/>
      <c r="K423" s="158"/>
      <c r="L423" s="158"/>
      <c r="M423" s="158"/>
      <c r="N423" s="158"/>
    </row>
    <row r="424">
      <c r="B424" s="158"/>
      <c r="C424" s="158"/>
      <c r="D424" s="158"/>
      <c r="E424" s="158"/>
      <c r="F424" s="160"/>
      <c r="G424" s="158"/>
      <c r="H424" s="158"/>
      <c r="I424" s="158"/>
      <c r="J424" s="158"/>
      <c r="K424" s="158"/>
      <c r="L424" s="158"/>
      <c r="M424" s="158"/>
      <c r="N424" s="158"/>
    </row>
    <row r="425">
      <c r="B425" s="158"/>
      <c r="C425" s="158"/>
      <c r="D425" s="158"/>
      <c r="E425" s="158"/>
      <c r="F425" s="160"/>
      <c r="G425" s="158"/>
      <c r="H425" s="158"/>
      <c r="I425" s="158"/>
      <c r="J425" s="158"/>
      <c r="K425" s="158"/>
      <c r="L425" s="158"/>
      <c r="M425" s="158"/>
      <c r="N425" s="158"/>
    </row>
    <row r="426">
      <c r="B426" s="158"/>
      <c r="C426" s="158"/>
      <c r="D426" s="158"/>
      <c r="E426" s="158"/>
      <c r="F426" s="160"/>
      <c r="G426" s="158"/>
      <c r="H426" s="158"/>
      <c r="I426" s="158"/>
      <c r="J426" s="158"/>
      <c r="K426" s="158"/>
      <c r="L426" s="158"/>
      <c r="M426" s="158"/>
      <c r="N426" s="158"/>
    </row>
    <row r="427">
      <c r="B427" s="158"/>
      <c r="C427" s="158"/>
      <c r="D427" s="158"/>
      <c r="E427" s="158"/>
      <c r="F427" s="160"/>
      <c r="G427" s="158"/>
      <c r="H427" s="158"/>
      <c r="I427" s="158"/>
      <c r="J427" s="158"/>
      <c r="K427" s="158"/>
      <c r="L427" s="158"/>
      <c r="M427" s="158"/>
      <c r="N427" s="158"/>
    </row>
    <row r="428">
      <c r="B428" s="158"/>
      <c r="C428" s="158"/>
      <c r="D428" s="158"/>
      <c r="E428" s="158"/>
      <c r="F428" s="160"/>
      <c r="G428" s="158"/>
      <c r="H428" s="158"/>
      <c r="I428" s="158"/>
      <c r="J428" s="158"/>
      <c r="K428" s="158"/>
      <c r="L428" s="158"/>
      <c r="M428" s="158"/>
      <c r="N428" s="158"/>
    </row>
    <row r="429">
      <c r="B429" s="158"/>
      <c r="C429" s="158"/>
      <c r="D429" s="158"/>
      <c r="E429" s="158"/>
      <c r="F429" s="160"/>
      <c r="G429" s="158"/>
      <c r="H429" s="158"/>
      <c r="I429" s="158"/>
      <c r="J429" s="158"/>
      <c r="K429" s="158"/>
      <c r="L429" s="158"/>
      <c r="M429" s="158"/>
      <c r="N429" s="158"/>
    </row>
    <row r="430">
      <c r="B430" s="158"/>
      <c r="C430" s="158"/>
      <c r="D430" s="158"/>
      <c r="E430" s="158"/>
      <c r="F430" s="160"/>
      <c r="G430" s="158"/>
      <c r="H430" s="158"/>
      <c r="I430" s="158"/>
      <c r="J430" s="158"/>
      <c r="K430" s="158"/>
      <c r="L430" s="158"/>
      <c r="M430" s="158"/>
      <c r="N430" s="158"/>
    </row>
    <row r="431">
      <c r="B431" s="158"/>
      <c r="C431" s="158"/>
      <c r="D431" s="158"/>
      <c r="E431" s="158"/>
      <c r="F431" s="160"/>
      <c r="G431" s="158"/>
      <c r="H431" s="158"/>
      <c r="I431" s="158"/>
      <c r="J431" s="158"/>
      <c r="K431" s="158"/>
      <c r="L431" s="158"/>
      <c r="M431" s="158"/>
      <c r="N431" s="158"/>
    </row>
    <row r="432">
      <c r="B432" s="158"/>
      <c r="C432" s="158"/>
      <c r="D432" s="158"/>
      <c r="E432" s="158"/>
      <c r="F432" s="160"/>
      <c r="G432" s="158"/>
      <c r="H432" s="158"/>
      <c r="I432" s="158"/>
      <c r="J432" s="158"/>
      <c r="K432" s="158"/>
      <c r="L432" s="158"/>
      <c r="M432" s="158"/>
      <c r="N432" s="158"/>
    </row>
    <row r="433">
      <c r="B433" s="158"/>
      <c r="C433" s="158"/>
      <c r="D433" s="158"/>
      <c r="E433" s="158"/>
      <c r="F433" s="160"/>
      <c r="G433" s="158"/>
      <c r="H433" s="158"/>
      <c r="I433" s="158"/>
      <c r="J433" s="158"/>
      <c r="K433" s="158"/>
      <c r="L433" s="158"/>
      <c r="M433" s="158"/>
      <c r="N433" s="158"/>
    </row>
    <row r="434">
      <c r="B434" s="158"/>
      <c r="C434" s="158"/>
      <c r="D434" s="158"/>
      <c r="E434" s="158"/>
      <c r="F434" s="160"/>
      <c r="G434" s="158"/>
      <c r="H434" s="158"/>
      <c r="I434" s="158"/>
      <c r="J434" s="158"/>
      <c r="K434" s="158"/>
      <c r="L434" s="158"/>
      <c r="M434" s="158"/>
      <c r="N434" s="158"/>
    </row>
    <row r="435">
      <c r="B435" s="158"/>
      <c r="C435" s="158"/>
      <c r="D435" s="158"/>
      <c r="E435" s="158"/>
      <c r="F435" s="160"/>
      <c r="G435" s="158"/>
      <c r="H435" s="158"/>
      <c r="I435" s="158"/>
      <c r="J435" s="158"/>
      <c r="K435" s="158"/>
      <c r="L435" s="158"/>
      <c r="M435" s="158"/>
      <c r="N435" s="158"/>
    </row>
    <row r="436">
      <c r="B436" s="158"/>
      <c r="C436" s="158"/>
      <c r="D436" s="158"/>
      <c r="E436" s="158"/>
      <c r="F436" s="160"/>
      <c r="G436" s="158"/>
      <c r="H436" s="158"/>
      <c r="I436" s="158"/>
      <c r="J436" s="158"/>
      <c r="K436" s="158"/>
      <c r="L436" s="158"/>
      <c r="M436" s="158"/>
      <c r="N436" s="158"/>
    </row>
    <row r="437">
      <c r="B437" s="158"/>
      <c r="C437" s="158"/>
      <c r="D437" s="158"/>
      <c r="E437" s="158"/>
      <c r="F437" s="160"/>
      <c r="G437" s="158"/>
      <c r="H437" s="158"/>
      <c r="I437" s="158"/>
      <c r="J437" s="158"/>
      <c r="K437" s="158"/>
      <c r="L437" s="158"/>
      <c r="M437" s="158"/>
      <c r="N437" s="158"/>
    </row>
    <row r="438">
      <c r="B438" s="158"/>
      <c r="C438" s="158"/>
      <c r="D438" s="158"/>
      <c r="E438" s="158"/>
      <c r="F438" s="160"/>
      <c r="G438" s="158"/>
      <c r="H438" s="158"/>
      <c r="I438" s="158"/>
      <c r="J438" s="158"/>
      <c r="K438" s="158"/>
      <c r="L438" s="158"/>
      <c r="M438" s="158"/>
      <c r="N438" s="158"/>
    </row>
    <row r="439">
      <c r="B439" s="158"/>
      <c r="C439" s="158"/>
      <c r="D439" s="158"/>
      <c r="E439" s="158"/>
      <c r="F439" s="160"/>
      <c r="G439" s="158"/>
      <c r="H439" s="158"/>
      <c r="I439" s="158"/>
      <c r="J439" s="158"/>
      <c r="K439" s="158"/>
      <c r="L439" s="158"/>
      <c r="M439" s="158"/>
      <c r="N439" s="158"/>
    </row>
    <row r="440">
      <c r="B440" s="158"/>
      <c r="C440" s="158"/>
      <c r="D440" s="158"/>
      <c r="E440" s="158"/>
      <c r="F440" s="160"/>
      <c r="G440" s="158"/>
      <c r="H440" s="158"/>
      <c r="I440" s="158"/>
      <c r="J440" s="158"/>
      <c r="K440" s="158"/>
      <c r="L440" s="158"/>
      <c r="M440" s="158"/>
      <c r="N440" s="158"/>
    </row>
    <row r="441">
      <c r="B441" s="158"/>
      <c r="C441" s="158"/>
      <c r="D441" s="158"/>
      <c r="E441" s="158"/>
      <c r="F441" s="160"/>
      <c r="G441" s="158"/>
      <c r="H441" s="158"/>
      <c r="I441" s="158"/>
      <c r="J441" s="158"/>
      <c r="K441" s="158"/>
      <c r="L441" s="158"/>
      <c r="M441" s="158"/>
      <c r="N441" s="158"/>
    </row>
    <row r="442">
      <c r="B442" s="158"/>
      <c r="C442" s="158"/>
      <c r="D442" s="158"/>
      <c r="E442" s="158"/>
      <c r="F442" s="160"/>
      <c r="G442" s="158"/>
      <c r="H442" s="158"/>
      <c r="I442" s="158"/>
      <c r="J442" s="158"/>
      <c r="K442" s="158"/>
      <c r="L442" s="158"/>
      <c r="M442" s="158"/>
      <c r="N442" s="158"/>
    </row>
    <row r="443">
      <c r="B443" s="158"/>
      <c r="C443" s="158"/>
      <c r="D443" s="158"/>
      <c r="E443" s="158"/>
      <c r="F443" s="160"/>
      <c r="G443" s="158"/>
      <c r="H443" s="158"/>
      <c r="I443" s="158"/>
      <c r="J443" s="158"/>
      <c r="K443" s="158"/>
      <c r="L443" s="158"/>
      <c r="M443" s="158"/>
      <c r="N443" s="158"/>
    </row>
    <row r="444">
      <c r="B444" s="158"/>
      <c r="C444" s="158"/>
      <c r="D444" s="158"/>
      <c r="E444" s="158"/>
      <c r="F444" s="160"/>
      <c r="G444" s="158"/>
      <c r="H444" s="158"/>
      <c r="I444" s="158"/>
      <c r="J444" s="158"/>
      <c r="K444" s="158"/>
      <c r="L444" s="158"/>
      <c r="M444" s="158"/>
      <c r="N444" s="158"/>
    </row>
    <row r="445">
      <c r="B445" s="158"/>
      <c r="C445" s="158"/>
      <c r="D445" s="158"/>
      <c r="E445" s="158"/>
      <c r="F445" s="160"/>
      <c r="G445" s="158"/>
      <c r="H445" s="158"/>
      <c r="I445" s="158"/>
      <c r="J445" s="158"/>
      <c r="K445" s="158"/>
      <c r="L445" s="158"/>
      <c r="M445" s="158"/>
      <c r="N445" s="158"/>
    </row>
    <row r="446">
      <c r="B446" s="158"/>
      <c r="C446" s="158"/>
      <c r="D446" s="158"/>
      <c r="E446" s="158"/>
      <c r="F446" s="160"/>
      <c r="G446" s="158"/>
      <c r="H446" s="158"/>
      <c r="I446" s="158"/>
      <c r="J446" s="158"/>
      <c r="K446" s="158"/>
      <c r="L446" s="158"/>
      <c r="M446" s="158"/>
      <c r="N446" s="158"/>
    </row>
    <row r="447">
      <c r="B447" s="158"/>
      <c r="C447" s="158"/>
      <c r="D447" s="158"/>
      <c r="E447" s="158"/>
      <c r="F447" s="160"/>
      <c r="G447" s="158"/>
      <c r="H447" s="158"/>
      <c r="I447" s="158"/>
      <c r="J447" s="158"/>
      <c r="K447" s="158"/>
      <c r="L447" s="158"/>
      <c r="M447" s="158"/>
      <c r="N447" s="158"/>
    </row>
    <row r="448">
      <c r="B448" s="158"/>
      <c r="C448" s="158"/>
      <c r="D448" s="158"/>
      <c r="E448" s="158"/>
      <c r="F448" s="160"/>
      <c r="G448" s="158"/>
      <c r="H448" s="158"/>
      <c r="I448" s="158"/>
      <c r="J448" s="158"/>
      <c r="K448" s="158"/>
      <c r="L448" s="158"/>
      <c r="M448" s="158"/>
      <c r="N448" s="158"/>
    </row>
    <row r="449">
      <c r="B449" s="158"/>
      <c r="C449" s="158"/>
      <c r="D449" s="158"/>
      <c r="E449" s="158"/>
      <c r="F449" s="160"/>
      <c r="G449" s="158"/>
      <c r="H449" s="158"/>
      <c r="I449" s="158"/>
      <c r="J449" s="158"/>
      <c r="K449" s="158"/>
      <c r="L449" s="158"/>
      <c r="M449" s="158"/>
      <c r="N449" s="158"/>
    </row>
    <row r="450">
      <c r="B450" s="158"/>
      <c r="C450" s="158"/>
      <c r="D450" s="158"/>
      <c r="E450" s="158"/>
      <c r="F450" s="160"/>
      <c r="G450" s="158"/>
      <c r="H450" s="158"/>
      <c r="I450" s="158"/>
      <c r="J450" s="158"/>
      <c r="K450" s="158"/>
      <c r="L450" s="158"/>
      <c r="M450" s="158"/>
      <c r="N450" s="158"/>
    </row>
    <row r="451">
      <c r="B451" s="158"/>
      <c r="C451" s="158"/>
      <c r="D451" s="158"/>
      <c r="E451" s="158"/>
      <c r="F451" s="160"/>
      <c r="G451" s="158"/>
      <c r="H451" s="158"/>
      <c r="I451" s="158"/>
      <c r="J451" s="158"/>
      <c r="K451" s="158"/>
      <c r="L451" s="158"/>
      <c r="M451" s="158"/>
      <c r="N451" s="158"/>
    </row>
    <row r="452">
      <c r="B452" s="158"/>
      <c r="C452" s="158"/>
      <c r="D452" s="158"/>
      <c r="E452" s="158"/>
      <c r="F452" s="160"/>
      <c r="G452" s="158"/>
      <c r="H452" s="158"/>
      <c r="I452" s="158"/>
      <c r="J452" s="158"/>
      <c r="K452" s="158"/>
      <c r="L452" s="158"/>
      <c r="M452" s="158"/>
      <c r="N452" s="158"/>
    </row>
    <row r="453">
      <c r="B453" s="158"/>
      <c r="C453" s="158"/>
      <c r="D453" s="158"/>
      <c r="E453" s="158"/>
      <c r="F453" s="160"/>
      <c r="G453" s="158"/>
      <c r="H453" s="158"/>
      <c r="I453" s="158"/>
      <c r="J453" s="158"/>
      <c r="K453" s="158"/>
      <c r="L453" s="158"/>
      <c r="M453" s="158"/>
      <c r="N453" s="158"/>
    </row>
    <row r="454">
      <c r="B454" s="158"/>
      <c r="C454" s="158"/>
      <c r="D454" s="158"/>
      <c r="E454" s="158"/>
      <c r="F454" s="160"/>
      <c r="G454" s="158"/>
      <c r="H454" s="158"/>
      <c r="I454" s="158"/>
      <c r="J454" s="158"/>
      <c r="K454" s="158"/>
      <c r="L454" s="158"/>
      <c r="M454" s="158"/>
      <c r="N454" s="158"/>
    </row>
    <row r="455">
      <c r="B455" s="158"/>
      <c r="C455" s="158"/>
      <c r="D455" s="158"/>
      <c r="E455" s="158"/>
      <c r="F455" s="160"/>
      <c r="G455" s="158"/>
      <c r="H455" s="158"/>
      <c r="I455" s="158"/>
      <c r="J455" s="158"/>
      <c r="K455" s="158"/>
      <c r="L455" s="158"/>
      <c r="M455" s="158"/>
      <c r="N455" s="158"/>
    </row>
    <row r="456">
      <c r="B456" s="158"/>
      <c r="C456" s="158"/>
      <c r="D456" s="158"/>
      <c r="E456" s="158"/>
      <c r="F456" s="160"/>
      <c r="G456" s="158"/>
      <c r="H456" s="158"/>
      <c r="I456" s="158"/>
      <c r="J456" s="158"/>
      <c r="K456" s="158"/>
      <c r="L456" s="158"/>
      <c r="M456" s="158"/>
      <c r="N456" s="158"/>
    </row>
    <row r="457">
      <c r="B457" s="158"/>
      <c r="C457" s="158"/>
      <c r="D457" s="158"/>
      <c r="E457" s="158"/>
      <c r="F457" s="160"/>
      <c r="G457" s="158"/>
      <c r="H457" s="158"/>
      <c r="I457" s="158"/>
      <c r="J457" s="158"/>
      <c r="K457" s="158"/>
      <c r="L457" s="158"/>
      <c r="M457" s="158"/>
      <c r="N457" s="158"/>
    </row>
    <row r="458">
      <c r="B458" s="158"/>
      <c r="C458" s="158"/>
      <c r="D458" s="158"/>
      <c r="E458" s="158"/>
      <c r="F458" s="160"/>
      <c r="G458" s="158"/>
      <c r="H458" s="158"/>
      <c r="I458" s="158"/>
      <c r="J458" s="158"/>
      <c r="K458" s="158"/>
      <c r="L458" s="158"/>
      <c r="M458" s="158"/>
      <c r="N458" s="158"/>
    </row>
    <row r="459">
      <c r="B459" s="158"/>
      <c r="C459" s="158"/>
      <c r="D459" s="158"/>
      <c r="E459" s="158"/>
      <c r="F459" s="160"/>
      <c r="G459" s="158"/>
      <c r="H459" s="158"/>
      <c r="I459" s="158"/>
      <c r="J459" s="158"/>
      <c r="K459" s="158"/>
      <c r="L459" s="158"/>
      <c r="M459" s="158"/>
      <c r="N459" s="158"/>
    </row>
    <row r="460">
      <c r="B460" s="158"/>
      <c r="C460" s="158"/>
      <c r="D460" s="158"/>
      <c r="E460" s="158"/>
      <c r="F460" s="160"/>
      <c r="G460" s="158"/>
      <c r="H460" s="158"/>
      <c r="I460" s="158"/>
      <c r="J460" s="158"/>
      <c r="K460" s="158"/>
      <c r="L460" s="158"/>
      <c r="M460" s="158"/>
      <c r="N460" s="158"/>
    </row>
    <row r="461">
      <c r="B461" s="158"/>
      <c r="C461" s="158"/>
      <c r="D461" s="158"/>
      <c r="E461" s="158"/>
      <c r="F461" s="160"/>
      <c r="G461" s="158"/>
      <c r="H461" s="158"/>
      <c r="I461" s="158"/>
      <c r="J461" s="158"/>
      <c r="K461" s="158"/>
      <c r="L461" s="158"/>
      <c r="M461" s="158"/>
      <c r="N461" s="158"/>
    </row>
    <row r="462">
      <c r="B462" s="158"/>
      <c r="C462" s="158"/>
      <c r="D462" s="158"/>
      <c r="E462" s="158"/>
      <c r="F462" s="160"/>
      <c r="G462" s="158"/>
      <c r="H462" s="158"/>
      <c r="I462" s="158"/>
      <c r="J462" s="158"/>
      <c r="K462" s="158"/>
      <c r="L462" s="158"/>
      <c r="M462" s="158"/>
      <c r="N462" s="158"/>
    </row>
    <row r="463">
      <c r="B463" s="158"/>
      <c r="C463" s="158"/>
      <c r="D463" s="158"/>
      <c r="E463" s="158"/>
      <c r="F463" s="160"/>
      <c r="G463" s="158"/>
      <c r="H463" s="158"/>
      <c r="I463" s="158"/>
      <c r="J463" s="158"/>
      <c r="K463" s="158"/>
      <c r="L463" s="158"/>
      <c r="M463" s="158"/>
      <c r="N463" s="158"/>
    </row>
    <row r="464">
      <c r="B464" s="158"/>
      <c r="C464" s="158"/>
      <c r="D464" s="158"/>
      <c r="E464" s="158"/>
      <c r="F464" s="160"/>
      <c r="G464" s="158"/>
      <c r="H464" s="158"/>
      <c r="I464" s="158"/>
      <c r="J464" s="158"/>
      <c r="K464" s="158"/>
      <c r="L464" s="158"/>
      <c r="M464" s="158"/>
      <c r="N464" s="158"/>
    </row>
    <row r="465">
      <c r="B465" s="158"/>
      <c r="C465" s="158"/>
      <c r="D465" s="158"/>
      <c r="E465" s="158"/>
      <c r="F465" s="160"/>
      <c r="G465" s="158"/>
      <c r="H465" s="158"/>
      <c r="I465" s="158"/>
      <c r="J465" s="158"/>
      <c r="K465" s="158"/>
      <c r="L465" s="158"/>
      <c r="M465" s="158"/>
      <c r="N465" s="158"/>
    </row>
    <row r="466">
      <c r="B466" s="158"/>
      <c r="C466" s="158"/>
      <c r="D466" s="158"/>
      <c r="E466" s="158"/>
      <c r="F466" s="160"/>
      <c r="G466" s="158"/>
      <c r="H466" s="158"/>
      <c r="I466" s="158"/>
      <c r="J466" s="158"/>
      <c r="K466" s="158"/>
      <c r="L466" s="158"/>
      <c r="M466" s="158"/>
      <c r="N466" s="158"/>
    </row>
    <row r="467">
      <c r="B467" s="158"/>
      <c r="C467" s="158"/>
      <c r="D467" s="158"/>
      <c r="E467" s="158"/>
      <c r="F467" s="160"/>
      <c r="G467" s="158"/>
      <c r="H467" s="158"/>
      <c r="I467" s="158"/>
      <c r="J467" s="158"/>
      <c r="K467" s="158"/>
      <c r="L467" s="158"/>
      <c r="M467" s="158"/>
      <c r="N467" s="158"/>
    </row>
    <row r="468">
      <c r="B468" s="158"/>
      <c r="C468" s="158"/>
      <c r="D468" s="158"/>
      <c r="E468" s="158"/>
      <c r="F468" s="160"/>
      <c r="G468" s="158"/>
      <c r="H468" s="158"/>
      <c r="I468" s="158"/>
      <c r="J468" s="158"/>
      <c r="K468" s="158"/>
      <c r="L468" s="158"/>
      <c r="M468" s="158"/>
      <c r="N468" s="158"/>
    </row>
    <row r="469">
      <c r="B469" s="158"/>
      <c r="C469" s="158"/>
      <c r="D469" s="158"/>
      <c r="E469" s="158"/>
      <c r="F469" s="160"/>
      <c r="G469" s="158"/>
      <c r="H469" s="158"/>
      <c r="I469" s="158"/>
      <c r="J469" s="158"/>
      <c r="K469" s="158"/>
      <c r="L469" s="158"/>
      <c r="M469" s="158"/>
      <c r="N469" s="158"/>
    </row>
    <row r="470">
      <c r="B470" s="158"/>
      <c r="C470" s="158"/>
      <c r="D470" s="158"/>
      <c r="E470" s="158"/>
      <c r="F470" s="160"/>
      <c r="G470" s="158"/>
      <c r="H470" s="158"/>
      <c r="I470" s="158"/>
      <c r="J470" s="158"/>
      <c r="K470" s="158"/>
      <c r="L470" s="158"/>
      <c r="M470" s="158"/>
      <c r="N470" s="158"/>
    </row>
    <row r="471">
      <c r="B471" s="158"/>
      <c r="C471" s="158"/>
      <c r="D471" s="158"/>
      <c r="E471" s="158"/>
      <c r="F471" s="160"/>
      <c r="G471" s="158"/>
      <c r="H471" s="158"/>
      <c r="I471" s="158"/>
      <c r="J471" s="158"/>
      <c r="K471" s="158"/>
      <c r="L471" s="158"/>
      <c r="M471" s="158"/>
      <c r="N471" s="158"/>
    </row>
    <row r="472">
      <c r="B472" s="158"/>
      <c r="C472" s="158"/>
      <c r="D472" s="158"/>
      <c r="E472" s="158"/>
      <c r="F472" s="160"/>
      <c r="G472" s="158"/>
      <c r="H472" s="158"/>
      <c r="I472" s="158"/>
      <c r="J472" s="158"/>
      <c r="K472" s="158"/>
      <c r="L472" s="158"/>
      <c r="M472" s="158"/>
      <c r="N472" s="158"/>
    </row>
    <row r="473">
      <c r="B473" s="158"/>
      <c r="C473" s="158"/>
      <c r="D473" s="158"/>
      <c r="E473" s="158"/>
      <c r="F473" s="160"/>
      <c r="G473" s="158"/>
      <c r="H473" s="158"/>
      <c r="I473" s="158"/>
      <c r="J473" s="158"/>
      <c r="K473" s="158"/>
      <c r="L473" s="158"/>
      <c r="M473" s="158"/>
      <c r="N473" s="158"/>
    </row>
    <row r="474">
      <c r="B474" s="158"/>
      <c r="C474" s="158"/>
      <c r="D474" s="158"/>
      <c r="E474" s="158"/>
      <c r="F474" s="160"/>
      <c r="G474" s="158"/>
      <c r="H474" s="158"/>
      <c r="I474" s="158"/>
      <c r="J474" s="158"/>
      <c r="K474" s="158"/>
      <c r="L474" s="158"/>
      <c r="M474" s="158"/>
      <c r="N474" s="158"/>
    </row>
    <row r="475">
      <c r="B475" s="158"/>
      <c r="C475" s="158"/>
      <c r="D475" s="158"/>
      <c r="E475" s="158"/>
      <c r="F475" s="160"/>
      <c r="G475" s="158"/>
      <c r="H475" s="158"/>
      <c r="I475" s="158"/>
      <c r="J475" s="158"/>
      <c r="K475" s="158"/>
      <c r="L475" s="158"/>
      <c r="M475" s="158"/>
      <c r="N475" s="158"/>
    </row>
    <row r="476">
      <c r="B476" s="158"/>
      <c r="C476" s="158"/>
      <c r="D476" s="158"/>
      <c r="E476" s="158"/>
      <c r="F476" s="160"/>
      <c r="G476" s="158"/>
      <c r="H476" s="158"/>
      <c r="I476" s="158"/>
      <c r="J476" s="158"/>
      <c r="K476" s="158"/>
      <c r="L476" s="158"/>
      <c r="M476" s="158"/>
      <c r="N476" s="158"/>
    </row>
    <row r="477">
      <c r="B477" s="158"/>
      <c r="C477" s="158"/>
      <c r="D477" s="158"/>
      <c r="E477" s="158"/>
      <c r="F477" s="160"/>
      <c r="G477" s="158"/>
      <c r="H477" s="158"/>
      <c r="I477" s="158"/>
      <c r="J477" s="158"/>
      <c r="K477" s="158"/>
      <c r="L477" s="158"/>
      <c r="M477" s="158"/>
      <c r="N477" s="158"/>
    </row>
    <row r="478">
      <c r="B478" s="158"/>
      <c r="C478" s="158"/>
      <c r="D478" s="158"/>
      <c r="E478" s="158"/>
      <c r="F478" s="160"/>
      <c r="G478" s="158"/>
      <c r="H478" s="158"/>
      <c r="I478" s="158"/>
      <c r="J478" s="158"/>
      <c r="K478" s="158"/>
      <c r="L478" s="158"/>
      <c r="M478" s="158"/>
      <c r="N478" s="158"/>
    </row>
    <row r="479">
      <c r="B479" s="158"/>
      <c r="C479" s="158"/>
      <c r="D479" s="158"/>
      <c r="E479" s="158"/>
      <c r="F479" s="160"/>
      <c r="G479" s="158"/>
      <c r="H479" s="158"/>
      <c r="I479" s="158"/>
      <c r="J479" s="158"/>
      <c r="K479" s="158"/>
      <c r="L479" s="158"/>
      <c r="M479" s="158"/>
      <c r="N479" s="158"/>
    </row>
    <row r="480">
      <c r="B480" s="158"/>
      <c r="C480" s="158"/>
      <c r="D480" s="158"/>
      <c r="E480" s="158"/>
      <c r="F480" s="160"/>
      <c r="G480" s="158"/>
      <c r="H480" s="158"/>
      <c r="I480" s="158"/>
      <c r="J480" s="158"/>
      <c r="K480" s="158"/>
      <c r="L480" s="158"/>
      <c r="M480" s="158"/>
      <c r="N480" s="158"/>
    </row>
    <row r="481">
      <c r="B481" s="158"/>
      <c r="C481" s="158"/>
      <c r="D481" s="158"/>
      <c r="E481" s="158"/>
      <c r="F481" s="160"/>
      <c r="G481" s="158"/>
      <c r="H481" s="158"/>
      <c r="I481" s="158"/>
      <c r="J481" s="158"/>
      <c r="K481" s="158"/>
      <c r="L481" s="158"/>
      <c r="M481" s="158"/>
      <c r="N481" s="158"/>
    </row>
    <row r="482">
      <c r="B482" s="158"/>
      <c r="C482" s="158"/>
      <c r="D482" s="158"/>
      <c r="E482" s="158"/>
      <c r="F482" s="160"/>
      <c r="G482" s="158"/>
      <c r="H482" s="158"/>
      <c r="I482" s="158"/>
      <c r="J482" s="158"/>
      <c r="K482" s="158"/>
      <c r="L482" s="158"/>
      <c r="M482" s="158"/>
      <c r="N482" s="158"/>
    </row>
    <row r="483">
      <c r="B483" s="158"/>
      <c r="C483" s="158"/>
      <c r="D483" s="158"/>
      <c r="E483" s="158"/>
      <c r="F483" s="160"/>
      <c r="G483" s="158"/>
      <c r="H483" s="158"/>
      <c r="I483" s="158"/>
      <c r="J483" s="158"/>
      <c r="K483" s="158"/>
      <c r="L483" s="158"/>
      <c r="M483" s="158"/>
      <c r="N483" s="158"/>
    </row>
    <row r="484">
      <c r="B484" s="158"/>
      <c r="C484" s="158"/>
      <c r="D484" s="158"/>
      <c r="E484" s="158"/>
      <c r="F484" s="160"/>
      <c r="G484" s="158"/>
      <c r="H484" s="158"/>
      <c r="I484" s="158"/>
      <c r="J484" s="158"/>
      <c r="K484" s="158"/>
      <c r="L484" s="158"/>
      <c r="M484" s="158"/>
      <c r="N484" s="158"/>
    </row>
    <row r="485">
      <c r="B485" s="158"/>
      <c r="C485" s="158"/>
      <c r="D485" s="158"/>
      <c r="E485" s="158"/>
      <c r="F485" s="160"/>
      <c r="G485" s="158"/>
      <c r="H485" s="158"/>
      <c r="I485" s="158"/>
      <c r="J485" s="158"/>
      <c r="K485" s="158"/>
      <c r="L485" s="158"/>
      <c r="M485" s="158"/>
      <c r="N485" s="158"/>
    </row>
    <row r="486">
      <c r="B486" s="158"/>
      <c r="C486" s="158"/>
      <c r="D486" s="158"/>
      <c r="E486" s="158"/>
      <c r="F486" s="160"/>
      <c r="G486" s="158"/>
      <c r="H486" s="158"/>
      <c r="I486" s="158"/>
      <c r="J486" s="158"/>
      <c r="K486" s="158"/>
      <c r="L486" s="158"/>
      <c r="M486" s="158"/>
      <c r="N486" s="158"/>
    </row>
    <row r="487">
      <c r="B487" s="158"/>
      <c r="C487" s="158"/>
      <c r="D487" s="158"/>
      <c r="E487" s="158"/>
      <c r="F487" s="160"/>
      <c r="G487" s="158"/>
      <c r="H487" s="158"/>
      <c r="I487" s="158"/>
      <c r="J487" s="158"/>
      <c r="K487" s="158"/>
      <c r="L487" s="158"/>
      <c r="M487" s="158"/>
      <c r="N487" s="158"/>
    </row>
    <row r="488">
      <c r="B488" s="158"/>
      <c r="C488" s="158"/>
      <c r="D488" s="158"/>
      <c r="E488" s="158"/>
      <c r="F488" s="160"/>
      <c r="G488" s="158"/>
      <c r="H488" s="158"/>
      <c r="I488" s="158"/>
      <c r="J488" s="158"/>
      <c r="K488" s="158"/>
      <c r="L488" s="158"/>
      <c r="M488" s="158"/>
      <c r="N488" s="158"/>
    </row>
    <row r="489">
      <c r="B489" s="158"/>
      <c r="C489" s="158"/>
      <c r="D489" s="158"/>
      <c r="E489" s="158"/>
      <c r="F489" s="160"/>
      <c r="G489" s="158"/>
      <c r="H489" s="158"/>
      <c r="I489" s="158"/>
      <c r="J489" s="158"/>
      <c r="K489" s="158"/>
      <c r="L489" s="158"/>
      <c r="M489" s="158"/>
      <c r="N489" s="158"/>
    </row>
    <row r="490">
      <c r="B490" s="158"/>
      <c r="C490" s="158"/>
      <c r="D490" s="158"/>
      <c r="E490" s="158"/>
      <c r="F490" s="160"/>
      <c r="G490" s="158"/>
      <c r="H490" s="158"/>
      <c r="I490" s="158"/>
      <c r="J490" s="158"/>
      <c r="K490" s="158"/>
      <c r="L490" s="158"/>
      <c r="M490" s="158"/>
      <c r="N490" s="158"/>
    </row>
    <row r="491">
      <c r="B491" s="158"/>
      <c r="C491" s="158"/>
      <c r="D491" s="158"/>
      <c r="E491" s="158"/>
      <c r="F491" s="160"/>
      <c r="G491" s="158"/>
      <c r="H491" s="158"/>
      <c r="I491" s="158"/>
      <c r="J491" s="158"/>
      <c r="K491" s="158"/>
      <c r="L491" s="158"/>
      <c r="M491" s="158"/>
      <c r="N491" s="158"/>
    </row>
    <row r="492">
      <c r="B492" s="158"/>
      <c r="C492" s="158"/>
      <c r="D492" s="158"/>
      <c r="E492" s="158"/>
      <c r="F492" s="160"/>
      <c r="G492" s="158"/>
      <c r="H492" s="158"/>
      <c r="I492" s="158"/>
      <c r="J492" s="158"/>
      <c r="K492" s="158"/>
      <c r="L492" s="158"/>
      <c r="M492" s="158"/>
      <c r="N492" s="158"/>
    </row>
    <row r="493">
      <c r="B493" s="158"/>
      <c r="C493" s="158"/>
      <c r="D493" s="158"/>
      <c r="E493" s="158"/>
      <c r="F493" s="160"/>
      <c r="G493" s="158"/>
      <c r="H493" s="158"/>
      <c r="I493" s="158"/>
      <c r="J493" s="158"/>
      <c r="K493" s="158"/>
      <c r="L493" s="158"/>
      <c r="M493" s="158"/>
      <c r="N493" s="158"/>
    </row>
    <row r="494">
      <c r="B494" s="158"/>
      <c r="C494" s="158"/>
      <c r="D494" s="158"/>
      <c r="E494" s="158"/>
      <c r="F494" s="160"/>
      <c r="G494" s="158"/>
      <c r="H494" s="158"/>
      <c r="I494" s="158"/>
      <c r="J494" s="158"/>
      <c r="K494" s="158"/>
      <c r="L494" s="158"/>
      <c r="M494" s="158"/>
      <c r="N494" s="158"/>
    </row>
    <row r="495">
      <c r="B495" s="158"/>
      <c r="C495" s="158"/>
      <c r="D495" s="158"/>
      <c r="E495" s="158"/>
      <c r="F495" s="160"/>
      <c r="G495" s="158"/>
      <c r="H495" s="158"/>
      <c r="I495" s="158"/>
      <c r="J495" s="158"/>
      <c r="K495" s="158"/>
      <c r="L495" s="158"/>
      <c r="M495" s="158"/>
      <c r="N495" s="158"/>
    </row>
    <row r="496">
      <c r="B496" s="158"/>
      <c r="C496" s="158"/>
      <c r="D496" s="158"/>
      <c r="E496" s="158"/>
      <c r="F496" s="160"/>
      <c r="G496" s="158"/>
      <c r="H496" s="158"/>
      <c r="I496" s="158"/>
      <c r="J496" s="158"/>
      <c r="K496" s="158"/>
      <c r="L496" s="158"/>
      <c r="M496" s="158"/>
      <c r="N496" s="158"/>
    </row>
    <row r="497">
      <c r="B497" s="158"/>
      <c r="C497" s="158"/>
      <c r="D497" s="158"/>
      <c r="E497" s="158"/>
      <c r="F497" s="160"/>
      <c r="G497" s="158"/>
      <c r="H497" s="158"/>
      <c r="I497" s="158"/>
      <c r="J497" s="158"/>
      <c r="K497" s="158"/>
      <c r="L497" s="158"/>
      <c r="M497" s="158"/>
      <c r="N497" s="158"/>
    </row>
    <row r="498">
      <c r="B498" s="158"/>
      <c r="C498" s="158"/>
      <c r="D498" s="158"/>
      <c r="E498" s="158"/>
      <c r="F498" s="160"/>
      <c r="G498" s="158"/>
      <c r="H498" s="158"/>
      <c r="I498" s="158"/>
      <c r="J498" s="158"/>
      <c r="K498" s="158"/>
      <c r="L498" s="158"/>
      <c r="M498" s="158"/>
      <c r="N498" s="158"/>
    </row>
    <row r="499">
      <c r="B499" s="158"/>
      <c r="C499" s="158"/>
      <c r="D499" s="158"/>
      <c r="E499" s="158"/>
      <c r="F499" s="160"/>
      <c r="G499" s="158"/>
      <c r="H499" s="158"/>
      <c r="I499" s="158"/>
      <c r="J499" s="158"/>
      <c r="K499" s="158"/>
      <c r="L499" s="158"/>
      <c r="M499" s="158"/>
      <c r="N499" s="158"/>
    </row>
    <row r="500">
      <c r="B500" s="158"/>
      <c r="C500" s="158"/>
      <c r="D500" s="158"/>
      <c r="E500" s="158"/>
      <c r="F500" s="160"/>
      <c r="G500" s="158"/>
      <c r="H500" s="158"/>
      <c r="I500" s="158"/>
      <c r="J500" s="158"/>
      <c r="K500" s="158"/>
      <c r="L500" s="158"/>
      <c r="M500" s="158"/>
      <c r="N500" s="158"/>
    </row>
    <row r="501">
      <c r="B501" s="158"/>
      <c r="C501" s="158"/>
      <c r="D501" s="158"/>
      <c r="E501" s="158"/>
      <c r="F501" s="160"/>
      <c r="G501" s="158"/>
      <c r="H501" s="158"/>
      <c r="I501" s="158"/>
      <c r="J501" s="158"/>
      <c r="K501" s="158"/>
      <c r="L501" s="158"/>
      <c r="M501" s="158"/>
      <c r="N501" s="158"/>
    </row>
    <row r="502">
      <c r="B502" s="158"/>
      <c r="C502" s="158"/>
      <c r="D502" s="158"/>
      <c r="E502" s="158"/>
      <c r="F502" s="160"/>
      <c r="G502" s="158"/>
      <c r="H502" s="158"/>
      <c r="I502" s="158"/>
      <c r="J502" s="158"/>
      <c r="K502" s="158"/>
      <c r="L502" s="158"/>
      <c r="M502" s="158"/>
      <c r="N502" s="158"/>
    </row>
    <row r="503">
      <c r="B503" s="158"/>
      <c r="C503" s="158"/>
      <c r="D503" s="158"/>
      <c r="E503" s="158"/>
      <c r="F503" s="160"/>
      <c r="G503" s="158"/>
      <c r="H503" s="158"/>
      <c r="I503" s="158"/>
      <c r="J503" s="158"/>
      <c r="K503" s="158"/>
      <c r="L503" s="158"/>
      <c r="M503" s="158"/>
      <c r="N503" s="158"/>
    </row>
    <row r="504">
      <c r="B504" s="158"/>
      <c r="C504" s="158"/>
      <c r="D504" s="158"/>
      <c r="E504" s="158"/>
      <c r="F504" s="160"/>
      <c r="G504" s="158"/>
      <c r="H504" s="158"/>
      <c r="I504" s="158"/>
      <c r="J504" s="158"/>
      <c r="K504" s="158"/>
      <c r="L504" s="158"/>
      <c r="M504" s="158"/>
      <c r="N504" s="158"/>
    </row>
    <row r="505">
      <c r="B505" s="158"/>
      <c r="C505" s="158"/>
      <c r="D505" s="158"/>
      <c r="E505" s="158"/>
      <c r="F505" s="160"/>
      <c r="G505" s="158"/>
      <c r="H505" s="158"/>
      <c r="I505" s="158"/>
      <c r="J505" s="158"/>
      <c r="K505" s="158"/>
      <c r="L505" s="158"/>
      <c r="M505" s="158"/>
      <c r="N505" s="158"/>
    </row>
    <row r="506">
      <c r="B506" s="158"/>
      <c r="C506" s="158"/>
      <c r="D506" s="158"/>
      <c r="E506" s="158"/>
      <c r="F506" s="160"/>
      <c r="G506" s="158"/>
      <c r="H506" s="158"/>
      <c r="I506" s="158"/>
      <c r="J506" s="158"/>
      <c r="K506" s="158"/>
      <c r="L506" s="158"/>
      <c r="M506" s="158"/>
      <c r="N506" s="158"/>
    </row>
    <row r="507">
      <c r="B507" s="158"/>
      <c r="C507" s="158"/>
      <c r="D507" s="158"/>
      <c r="E507" s="158"/>
      <c r="F507" s="160"/>
      <c r="G507" s="158"/>
      <c r="H507" s="158"/>
      <c r="I507" s="158"/>
      <c r="J507" s="158"/>
      <c r="K507" s="158"/>
      <c r="L507" s="158"/>
      <c r="M507" s="158"/>
      <c r="N507" s="158"/>
    </row>
    <row r="508">
      <c r="B508" s="158"/>
      <c r="C508" s="158"/>
      <c r="D508" s="158"/>
      <c r="E508" s="158"/>
      <c r="F508" s="160"/>
      <c r="G508" s="158"/>
      <c r="H508" s="158"/>
      <c r="I508" s="158"/>
      <c r="J508" s="158"/>
      <c r="K508" s="158"/>
      <c r="L508" s="158"/>
      <c r="M508" s="158"/>
      <c r="N508" s="158"/>
    </row>
    <row r="509">
      <c r="B509" s="158"/>
      <c r="C509" s="158"/>
      <c r="D509" s="158"/>
      <c r="E509" s="158"/>
      <c r="F509" s="160"/>
      <c r="G509" s="158"/>
      <c r="H509" s="158"/>
      <c r="I509" s="158"/>
      <c r="J509" s="158"/>
      <c r="K509" s="158"/>
      <c r="L509" s="158"/>
      <c r="M509" s="158"/>
      <c r="N509" s="158"/>
    </row>
    <row r="510">
      <c r="B510" s="158"/>
      <c r="C510" s="158"/>
      <c r="D510" s="158"/>
      <c r="E510" s="158"/>
      <c r="F510" s="160"/>
      <c r="G510" s="158"/>
      <c r="H510" s="158"/>
      <c r="I510" s="158"/>
      <c r="J510" s="158"/>
      <c r="K510" s="158"/>
      <c r="L510" s="158"/>
      <c r="M510" s="158"/>
      <c r="N510" s="158"/>
    </row>
    <row r="511">
      <c r="B511" s="158"/>
      <c r="C511" s="158"/>
      <c r="D511" s="158"/>
      <c r="E511" s="158"/>
      <c r="F511" s="160"/>
      <c r="G511" s="158"/>
      <c r="H511" s="158"/>
      <c r="I511" s="158"/>
      <c r="J511" s="158"/>
      <c r="K511" s="158"/>
      <c r="L511" s="158"/>
      <c r="M511" s="158"/>
      <c r="N511" s="158"/>
    </row>
    <row r="512">
      <c r="B512" s="158"/>
      <c r="C512" s="158"/>
      <c r="D512" s="158"/>
      <c r="E512" s="158"/>
      <c r="F512" s="160"/>
      <c r="G512" s="158"/>
      <c r="H512" s="158"/>
      <c r="I512" s="158"/>
      <c r="J512" s="158"/>
      <c r="K512" s="158"/>
      <c r="L512" s="158"/>
      <c r="M512" s="158"/>
      <c r="N512" s="158"/>
    </row>
    <row r="513">
      <c r="B513" s="158"/>
      <c r="C513" s="158"/>
      <c r="D513" s="158"/>
      <c r="E513" s="158"/>
      <c r="F513" s="160"/>
      <c r="G513" s="158"/>
      <c r="H513" s="158"/>
      <c r="I513" s="158"/>
      <c r="J513" s="158"/>
      <c r="K513" s="158"/>
      <c r="L513" s="158"/>
      <c r="M513" s="158"/>
      <c r="N513" s="158"/>
    </row>
    <row r="514">
      <c r="B514" s="158"/>
      <c r="C514" s="158"/>
      <c r="D514" s="158"/>
      <c r="E514" s="158"/>
      <c r="F514" s="160"/>
      <c r="G514" s="158"/>
      <c r="H514" s="158"/>
      <c r="I514" s="158"/>
      <c r="J514" s="158"/>
      <c r="K514" s="158"/>
      <c r="L514" s="158"/>
      <c r="M514" s="158"/>
      <c r="N514" s="158"/>
    </row>
    <row r="515">
      <c r="B515" s="158"/>
      <c r="C515" s="158"/>
      <c r="D515" s="158"/>
      <c r="E515" s="158"/>
      <c r="F515" s="160"/>
      <c r="G515" s="158"/>
      <c r="H515" s="158"/>
      <c r="I515" s="158"/>
      <c r="J515" s="158"/>
      <c r="K515" s="158"/>
      <c r="L515" s="158"/>
      <c r="M515" s="158"/>
      <c r="N515" s="158"/>
    </row>
    <row r="516">
      <c r="B516" s="158"/>
      <c r="C516" s="158"/>
      <c r="D516" s="158"/>
      <c r="E516" s="158"/>
      <c r="F516" s="160"/>
      <c r="G516" s="158"/>
      <c r="H516" s="158"/>
      <c r="I516" s="158"/>
      <c r="J516" s="158"/>
      <c r="K516" s="158"/>
      <c r="L516" s="158"/>
      <c r="M516" s="158"/>
      <c r="N516" s="158"/>
    </row>
    <row r="517">
      <c r="B517" s="158"/>
      <c r="C517" s="158"/>
      <c r="D517" s="158"/>
      <c r="E517" s="158"/>
      <c r="F517" s="160"/>
      <c r="G517" s="158"/>
      <c r="H517" s="158"/>
      <c r="I517" s="158"/>
      <c r="J517" s="158"/>
      <c r="K517" s="158"/>
      <c r="L517" s="158"/>
      <c r="M517" s="158"/>
      <c r="N517" s="158"/>
    </row>
    <row r="518">
      <c r="B518" s="158"/>
      <c r="C518" s="158"/>
      <c r="D518" s="158"/>
      <c r="E518" s="158"/>
      <c r="F518" s="160"/>
      <c r="G518" s="158"/>
      <c r="H518" s="158"/>
      <c r="I518" s="158"/>
      <c r="J518" s="158"/>
      <c r="K518" s="158"/>
      <c r="L518" s="158"/>
      <c r="M518" s="158"/>
      <c r="N518" s="158"/>
    </row>
    <row r="519">
      <c r="B519" s="158"/>
      <c r="C519" s="158"/>
      <c r="D519" s="158"/>
      <c r="E519" s="158"/>
      <c r="F519" s="160"/>
      <c r="G519" s="158"/>
      <c r="H519" s="158"/>
      <c r="I519" s="158"/>
      <c r="J519" s="158"/>
      <c r="K519" s="158"/>
      <c r="L519" s="158"/>
      <c r="M519" s="158"/>
      <c r="N519" s="158"/>
    </row>
    <row r="520">
      <c r="B520" s="158"/>
      <c r="C520" s="158"/>
      <c r="D520" s="158"/>
      <c r="E520" s="158"/>
      <c r="F520" s="160"/>
      <c r="G520" s="158"/>
      <c r="H520" s="158"/>
      <c r="I520" s="158"/>
      <c r="J520" s="158"/>
      <c r="K520" s="158"/>
      <c r="L520" s="158"/>
      <c r="M520" s="158"/>
      <c r="N520" s="158"/>
    </row>
    <row r="521">
      <c r="B521" s="158"/>
      <c r="C521" s="158"/>
      <c r="D521" s="158"/>
      <c r="E521" s="158"/>
      <c r="F521" s="160"/>
      <c r="G521" s="158"/>
      <c r="H521" s="158"/>
      <c r="I521" s="158"/>
      <c r="J521" s="158"/>
      <c r="K521" s="158"/>
      <c r="L521" s="158"/>
      <c r="M521" s="158"/>
      <c r="N521" s="158"/>
    </row>
    <row r="522">
      <c r="B522" s="158"/>
      <c r="C522" s="158"/>
      <c r="D522" s="158"/>
      <c r="E522" s="158"/>
      <c r="F522" s="160"/>
      <c r="G522" s="158"/>
      <c r="H522" s="158"/>
      <c r="I522" s="158"/>
      <c r="J522" s="158"/>
      <c r="K522" s="158"/>
      <c r="L522" s="158"/>
      <c r="M522" s="158"/>
      <c r="N522" s="158"/>
    </row>
    <row r="523">
      <c r="B523" s="158"/>
      <c r="C523" s="158"/>
      <c r="D523" s="158"/>
      <c r="E523" s="158"/>
      <c r="F523" s="160"/>
      <c r="G523" s="158"/>
      <c r="H523" s="158"/>
      <c r="I523" s="158"/>
      <c r="J523" s="158"/>
      <c r="K523" s="158"/>
      <c r="L523" s="158"/>
      <c r="M523" s="158"/>
      <c r="N523" s="158"/>
    </row>
    <row r="524">
      <c r="B524" s="158"/>
      <c r="C524" s="158"/>
      <c r="D524" s="158"/>
      <c r="E524" s="158"/>
      <c r="F524" s="160"/>
      <c r="G524" s="158"/>
      <c r="H524" s="158"/>
      <c r="I524" s="158"/>
      <c r="J524" s="158"/>
      <c r="K524" s="158"/>
      <c r="L524" s="158"/>
      <c r="M524" s="158"/>
      <c r="N524" s="158"/>
    </row>
    <row r="525">
      <c r="B525" s="158"/>
      <c r="C525" s="158"/>
      <c r="D525" s="158"/>
      <c r="E525" s="158"/>
      <c r="F525" s="160"/>
      <c r="G525" s="158"/>
      <c r="H525" s="158"/>
      <c r="I525" s="158"/>
      <c r="J525" s="158"/>
      <c r="K525" s="158"/>
      <c r="L525" s="158"/>
      <c r="M525" s="158"/>
      <c r="N525" s="158"/>
    </row>
    <row r="526">
      <c r="B526" s="158"/>
      <c r="C526" s="158"/>
      <c r="D526" s="158"/>
      <c r="E526" s="158"/>
      <c r="F526" s="160"/>
      <c r="G526" s="158"/>
      <c r="H526" s="158"/>
      <c r="I526" s="158"/>
      <c r="J526" s="158"/>
      <c r="K526" s="158"/>
      <c r="L526" s="158"/>
      <c r="M526" s="158"/>
      <c r="N526" s="158"/>
    </row>
    <row r="527">
      <c r="B527" s="158"/>
      <c r="C527" s="158"/>
      <c r="D527" s="158"/>
      <c r="E527" s="158"/>
      <c r="F527" s="160"/>
      <c r="G527" s="158"/>
      <c r="H527" s="158"/>
      <c r="I527" s="158"/>
      <c r="J527" s="158"/>
      <c r="K527" s="158"/>
      <c r="L527" s="158"/>
      <c r="M527" s="158"/>
      <c r="N527" s="158"/>
    </row>
    <row r="528">
      <c r="B528" s="158"/>
      <c r="C528" s="158"/>
      <c r="D528" s="158"/>
      <c r="E528" s="158"/>
      <c r="F528" s="160"/>
      <c r="G528" s="158"/>
      <c r="H528" s="158"/>
      <c r="I528" s="158"/>
      <c r="J528" s="158"/>
      <c r="K528" s="158"/>
      <c r="L528" s="158"/>
      <c r="M528" s="158"/>
      <c r="N528" s="158"/>
    </row>
    <row r="529">
      <c r="B529" s="158"/>
      <c r="C529" s="158"/>
      <c r="D529" s="158"/>
      <c r="E529" s="158"/>
      <c r="F529" s="160"/>
      <c r="G529" s="158"/>
      <c r="H529" s="158"/>
      <c r="I529" s="158"/>
      <c r="J529" s="158"/>
      <c r="K529" s="158"/>
      <c r="L529" s="158"/>
      <c r="M529" s="158"/>
      <c r="N529" s="158"/>
    </row>
    <row r="530">
      <c r="B530" s="158"/>
      <c r="C530" s="158"/>
      <c r="D530" s="158"/>
      <c r="E530" s="158"/>
      <c r="F530" s="160"/>
      <c r="G530" s="158"/>
      <c r="H530" s="158"/>
      <c r="I530" s="158"/>
      <c r="J530" s="158"/>
      <c r="K530" s="158"/>
      <c r="L530" s="158"/>
      <c r="M530" s="158"/>
      <c r="N530" s="158"/>
    </row>
    <row r="531">
      <c r="B531" s="158"/>
      <c r="C531" s="158"/>
      <c r="D531" s="158"/>
      <c r="E531" s="158"/>
      <c r="F531" s="160"/>
      <c r="G531" s="158"/>
      <c r="H531" s="158"/>
      <c r="I531" s="158"/>
      <c r="J531" s="158"/>
      <c r="K531" s="158"/>
      <c r="L531" s="158"/>
      <c r="M531" s="158"/>
      <c r="N531" s="158"/>
    </row>
    <row r="532">
      <c r="B532" s="158"/>
      <c r="C532" s="158"/>
      <c r="D532" s="158"/>
      <c r="E532" s="158"/>
      <c r="F532" s="160"/>
      <c r="G532" s="158"/>
      <c r="H532" s="158"/>
      <c r="I532" s="158"/>
      <c r="J532" s="158"/>
      <c r="K532" s="158"/>
      <c r="L532" s="158"/>
      <c r="M532" s="158"/>
      <c r="N532" s="158"/>
    </row>
    <row r="533">
      <c r="B533" s="158"/>
      <c r="C533" s="158"/>
      <c r="D533" s="158"/>
      <c r="E533" s="158"/>
      <c r="F533" s="160"/>
      <c r="G533" s="158"/>
      <c r="H533" s="158"/>
      <c r="I533" s="158"/>
      <c r="J533" s="158"/>
      <c r="K533" s="158"/>
      <c r="L533" s="158"/>
      <c r="M533" s="158"/>
      <c r="N533" s="158"/>
    </row>
    <row r="534">
      <c r="B534" s="158"/>
      <c r="C534" s="158"/>
      <c r="D534" s="158"/>
      <c r="E534" s="158"/>
      <c r="F534" s="160"/>
      <c r="G534" s="158"/>
      <c r="H534" s="158"/>
      <c r="I534" s="158"/>
      <c r="J534" s="158"/>
      <c r="K534" s="158"/>
      <c r="L534" s="158"/>
      <c r="M534" s="158"/>
      <c r="N534" s="158"/>
    </row>
    <row r="535">
      <c r="B535" s="158"/>
      <c r="C535" s="158"/>
      <c r="D535" s="158"/>
      <c r="E535" s="158"/>
      <c r="F535" s="160"/>
      <c r="G535" s="158"/>
      <c r="H535" s="158"/>
      <c r="I535" s="158"/>
      <c r="J535" s="158"/>
      <c r="K535" s="158"/>
      <c r="L535" s="158"/>
      <c r="M535" s="158"/>
      <c r="N535" s="158"/>
    </row>
    <row r="536">
      <c r="B536" s="158"/>
      <c r="C536" s="158"/>
      <c r="D536" s="158"/>
      <c r="E536" s="158"/>
      <c r="F536" s="160"/>
      <c r="G536" s="158"/>
      <c r="H536" s="158"/>
      <c r="I536" s="158"/>
      <c r="J536" s="158"/>
      <c r="K536" s="158"/>
      <c r="L536" s="158"/>
      <c r="M536" s="158"/>
      <c r="N536" s="158"/>
    </row>
    <row r="537">
      <c r="B537" s="158"/>
      <c r="C537" s="158"/>
      <c r="D537" s="158"/>
      <c r="E537" s="158"/>
      <c r="F537" s="160"/>
      <c r="G537" s="158"/>
      <c r="H537" s="158"/>
      <c r="I537" s="158"/>
      <c r="J537" s="158"/>
      <c r="K537" s="158"/>
      <c r="L537" s="158"/>
      <c r="M537" s="158"/>
      <c r="N537" s="158"/>
    </row>
    <row r="538">
      <c r="B538" s="158"/>
      <c r="C538" s="158"/>
      <c r="D538" s="158"/>
      <c r="E538" s="158"/>
      <c r="F538" s="160"/>
      <c r="G538" s="158"/>
      <c r="H538" s="158"/>
      <c r="I538" s="158"/>
      <c r="J538" s="158"/>
      <c r="K538" s="158"/>
      <c r="L538" s="158"/>
      <c r="M538" s="158"/>
      <c r="N538" s="158"/>
    </row>
    <row r="539">
      <c r="B539" s="158"/>
      <c r="C539" s="158"/>
      <c r="D539" s="158"/>
      <c r="E539" s="158"/>
      <c r="F539" s="160"/>
      <c r="G539" s="158"/>
      <c r="H539" s="158"/>
      <c r="I539" s="158"/>
      <c r="J539" s="158"/>
      <c r="K539" s="158"/>
      <c r="L539" s="158"/>
      <c r="M539" s="158"/>
      <c r="N539" s="158"/>
    </row>
    <row r="540">
      <c r="B540" s="158"/>
      <c r="C540" s="158"/>
      <c r="D540" s="158"/>
      <c r="E540" s="158"/>
      <c r="F540" s="160"/>
      <c r="G540" s="158"/>
      <c r="H540" s="158"/>
      <c r="I540" s="158"/>
      <c r="J540" s="158"/>
      <c r="K540" s="158"/>
      <c r="L540" s="158"/>
      <c r="M540" s="158"/>
      <c r="N540" s="158"/>
    </row>
    <row r="541">
      <c r="B541" s="158"/>
      <c r="C541" s="158"/>
      <c r="D541" s="158"/>
      <c r="E541" s="158"/>
      <c r="F541" s="160"/>
      <c r="G541" s="158"/>
      <c r="H541" s="158"/>
      <c r="I541" s="158"/>
      <c r="J541" s="158"/>
      <c r="K541" s="158"/>
      <c r="L541" s="158"/>
      <c r="M541" s="158"/>
      <c r="N541" s="158"/>
    </row>
    <row r="542">
      <c r="B542" s="158"/>
      <c r="C542" s="158"/>
      <c r="D542" s="158"/>
      <c r="E542" s="158"/>
      <c r="F542" s="160"/>
      <c r="G542" s="158"/>
      <c r="H542" s="158"/>
      <c r="I542" s="158"/>
      <c r="J542" s="158"/>
      <c r="K542" s="158"/>
      <c r="L542" s="158"/>
      <c r="M542" s="158"/>
      <c r="N542" s="158"/>
    </row>
    <row r="543">
      <c r="B543" s="158"/>
      <c r="C543" s="158"/>
      <c r="D543" s="158"/>
      <c r="E543" s="158"/>
      <c r="F543" s="160"/>
      <c r="G543" s="158"/>
      <c r="H543" s="158"/>
      <c r="I543" s="158"/>
      <c r="J543" s="158"/>
      <c r="K543" s="158"/>
      <c r="L543" s="158"/>
      <c r="M543" s="158"/>
      <c r="N543" s="158"/>
    </row>
    <row r="544">
      <c r="B544" s="158"/>
      <c r="C544" s="158"/>
      <c r="D544" s="158"/>
      <c r="E544" s="158"/>
      <c r="F544" s="160"/>
      <c r="G544" s="158"/>
      <c r="H544" s="158"/>
      <c r="I544" s="158"/>
      <c r="J544" s="158"/>
      <c r="K544" s="158"/>
      <c r="L544" s="158"/>
      <c r="M544" s="158"/>
      <c r="N544" s="158"/>
    </row>
    <row r="545">
      <c r="B545" s="158"/>
      <c r="C545" s="158"/>
      <c r="D545" s="158"/>
      <c r="E545" s="158"/>
      <c r="F545" s="160"/>
      <c r="G545" s="158"/>
      <c r="H545" s="158"/>
      <c r="I545" s="158"/>
      <c r="J545" s="158"/>
      <c r="K545" s="158"/>
      <c r="L545" s="158"/>
      <c r="M545" s="158"/>
      <c r="N545" s="158"/>
    </row>
    <row r="546">
      <c r="B546" s="158"/>
      <c r="C546" s="158"/>
      <c r="D546" s="158"/>
      <c r="E546" s="158"/>
      <c r="F546" s="160"/>
      <c r="G546" s="158"/>
      <c r="H546" s="158"/>
      <c r="I546" s="158"/>
      <c r="J546" s="158"/>
      <c r="K546" s="158"/>
      <c r="L546" s="158"/>
      <c r="M546" s="158"/>
      <c r="N546" s="158"/>
    </row>
    <row r="547">
      <c r="B547" s="158"/>
      <c r="C547" s="158"/>
      <c r="D547" s="158"/>
      <c r="E547" s="158"/>
      <c r="F547" s="160"/>
      <c r="G547" s="158"/>
      <c r="H547" s="158"/>
      <c r="I547" s="158"/>
      <c r="J547" s="158"/>
      <c r="K547" s="158"/>
      <c r="L547" s="158"/>
      <c r="M547" s="158"/>
      <c r="N547" s="158"/>
    </row>
    <row r="548">
      <c r="B548" s="158"/>
      <c r="C548" s="158"/>
      <c r="D548" s="158"/>
      <c r="E548" s="158"/>
      <c r="F548" s="160"/>
      <c r="G548" s="158"/>
      <c r="H548" s="158"/>
      <c r="I548" s="158"/>
      <c r="J548" s="158"/>
      <c r="K548" s="158"/>
      <c r="L548" s="158"/>
      <c r="M548" s="158"/>
      <c r="N548" s="158"/>
    </row>
    <row r="549">
      <c r="B549" s="158"/>
      <c r="C549" s="158"/>
      <c r="D549" s="158"/>
      <c r="E549" s="158"/>
      <c r="F549" s="160"/>
      <c r="G549" s="158"/>
      <c r="H549" s="158"/>
      <c r="I549" s="158"/>
      <c r="J549" s="158"/>
      <c r="K549" s="158"/>
      <c r="L549" s="158"/>
      <c r="M549" s="158"/>
      <c r="N549" s="158"/>
    </row>
    <row r="550">
      <c r="B550" s="158"/>
      <c r="C550" s="158"/>
      <c r="D550" s="158"/>
      <c r="E550" s="158"/>
      <c r="F550" s="160"/>
      <c r="G550" s="158"/>
      <c r="H550" s="158"/>
      <c r="I550" s="158"/>
      <c r="J550" s="158"/>
      <c r="K550" s="158"/>
      <c r="L550" s="158"/>
      <c r="M550" s="158"/>
      <c r="N550" s="158"/>
    </row>
    <row r="551">
      <c r="B551" s="158"/>
      <c r="C551" s="158"/>
      <c r="D551" s="158"/>
      <c r="E551" s="158"/>
      <c r="F551" s="160"/>
      <c r="G551" s="158"/>
      <c r="H551" s="158"/>
      <c r="I551" s="158"/>
      <c r="J551" s="158"/>
      <c r="K551" s="158"/>
      <c r="L551" s="158"/>
      <c r="M551" s="158"/>
      <c r="N551" s="158"/>
    </row>
    <row r="552">
      <c r="B552" s="158"/>
      <c r="C552" s="158"/>
      <c r="D552" s="158"/>
      <c r="E552" s="158"/>
      <c r="F552" s="160"/>
      <c r="G552" s="158"/>
      <c r="H552" s="158"/>
      <c r="I552" s="158"/>
      <c r="J552" s="158"/>
      <c r="K552" s="158"/>
      <c r="L552" s="158"/>
      <c r="M552" s="158"/>
      <c r="N552" s="158"/>
    </row>
    <row r="553">
      <c r="B553" s="158"/>
      <c r="C553" s="158"/>
      <c r="D553" s="158"/>
      <c r="E553" s="158"/>
      <c r="F553" s="160"/>
      <c r="G553" s="158"/>
      <c r="H553" s="158"/>
      <c r="I553" s="158"/>
      <c r="J553" s="158"/>
      <c r="K553" s="158"/>
      <c r="L553" s="158"/>
      <c r="M553" s="158"/>
      <c r="N553" s="158"/>
    </row>
    <row r="554">
      <c r="B554" s="158"/>
      <c r="C554" s="158"/>
      <c r="D554" s="158"/>
      <c r="E554" s="158"/>
      <c r="F554" s="160"/>
      <c r="G554" s="158"/>
      <c r="H554" s="158"/>
      <c r="I554" s="158"/>
      <c r="J554" s="158"/>
      <c r="K554" s="158"/>
      <c r="L554" s="158"/>
      <c r="M554" s="158"/>
      <c r="N554" s="158"/>
    </row>
    <row r="555">
      <c r="B555" s="158"/>
      <c r="C555" s="158"/>
      <c r="D555" s="158"/>
      <c r="E555" s="158"/>
      <c r="F555" s="160"/>
      <c r="G555" s="158"/>
      <c r="H555" s="158"/>
      <c r="I555" s="158"/>
      <c r="J555" s="158"/>
      <c r="K555" s="158"/>
      <c r="L555" s="158"/>
      <c r="M555" s="158"/>
      <c r="N555" s="158"/>
    </row>
    <row r="556">
      <c r="B556" s="158"/>
      <c r="C556" s="158"/>
      <c r="D556" s="158"/>
      <c r="E556" s="158"/>
      <c r="F556" s="160"/>
      <c r="G556" s="158"/>
      <c r="H556" s="158"/>
      <c r="I556" s="158"/>
      <c r="J556" s="158"/>
      <c r="K556" s="158"/>
      <c r="L556" s="158"/>
      <c r="M556" s="158"/>
      <c r="N556" s="158"/>
    </row>
    <row r="557">
      <c r="B557" s="158"/>
      <c r="C557" s="158"/>
      <c r="D557" s="158"/>
      <c r="E557" s="158"/>
      <c r="F557" s="160"/>
      <c r="G557" s="158"/>
      <c r="H557" s="158"/>
      <c r="I557" s="158"/>
      <c r="J557" s="158"/>
      <c r="K557" s="158"/>
      <c r="L557" s="158"/>
      <c r="M557" s="158"/>
      <c r="N557" s="158"/>
    </row>
    <row r="558">
      <c r="B558" s="158"/>
      <c r="C558" s="158"/>
      <c r="D558" s="158"/>
      <c r="E558" s="158"/>
      <c r="F558" s="160"/>
      <c r="G558" s="158"/>
      <c r="H558" s="158"/>
      <c r="I558" s="158"/>
      <c r="J558" s="158"/>
      <c r="K558" s="158"/>
      <c r="L558" s="158"/>
      <c r="M558" s="158"/>
      <c r="N558" s="158"/>
    </row>
    <row r="559">
      <c r="B559" s="158"/>
      <c r="C559" s="158"/>
      <c r="D559" s="158"/>
      <c r="E559" s="158"/>
      <c r="F559" s="160"/>
      <c r="G559" s="158"/>
      <c r="H559" s="158"/>
      <c r="I559" s="158"/>
      <c r="J559" s="158"/>
      <c r="K559" s="158"/>
      <c r="L559" s="158"/>
      <c r="M559" s="158"/>
      <c r="N559" s="158"/>
    </row>
    <row r="560">
      <c r="B560" s="158"/>
      <c r="C560" s="158"/>
      <c r="D560" s="158"/>
      <c r="E560" s="158"/>
      <c r="F560" s="160"/>
      <c r="G560" s="158"/>
      <c r="H560" s="158"/>
      <c r="I560" s="158"/>
      <c r="J560" s="158"/>
      <c r="K560" s="158"/>
      <c r="L560" s="158"/>
      <c r="M560" s="158"/>
      <c r="N560" s="158"/>
    </row>
    <row r="561">
      <c r="B561" s="158"/>
      <c r="C561" s="158"/>
      <c r="D561" s="158"/>
      <c r="E561" s="158"/>
      <c r="F561" s="160"/>
      <c r="G561" s="158"/>
      <c r="H561" s="158"/>
      <c r="I561" s="158"/>
      <c r="J561" s="158"/>
      <c r="K561" s="158"/>
      <c r="L561" s="158"/>
      <c r="M561" s="158"/>
      <c r="N561" s="158"/>
    </row>
    <row r="562">
      <c r="B562" s="158"/>
      <c r="C562" s="158"/>
      <c r="D562" s="158"/>
      <c r="E562" s="158"/>
      <c r="F562" s="160"/>
      <c r="G562" s="158"/>
      <c r="H562" s="158"/>
      <c r="I562" s="158"/>
      <c r="J562" s="158"/>
      <c r="K562" s="158"/>
      <c r="L562" s="158"/>
      <c r="M562" s="158"/>
      <c r="N562" s="158"/>
    </row>
    <row r="563">
      <c r="B563" s="158"/>
      <c r="C563" s="158"/>
      <c r="D563" s="158"/>
      <c r="E563" s="158"/>
      <c r="F563" s="160"/>
      <c r="G563" s="158"/>
      <c r="H563" s="158"/>
      <c r="I563" s="158"/>
      <c r="J563" s="158"/>
      <c r="K563" s="158"/>
      <c r="L563" s="158"/>
      <c r="M563" s="158"/>
      <c r="N563" s="158"/>
    </row>
    <row r="564">
      <c r="B564" s="158"/>
      <c r="C564" s="158"/>
      <c r="D564" s="158"/>
      <c r="E564" s="158"/>
      <c r="F564" s="160"/>
      <c r="G564" s="158"/>
      <c r="H564" s="158"/>
      <c r="I564" s="158"/>
      <c r="J564" s="158"/>
      <c r="K564" s="158"/>
      <c r="L564" s="158"/>
      <c r="M564" s="158"/>
      <c r="N564" s="158"/>
    </row>
    <row r="565">
      <c r="B565" s="158"/>
      <c r="C565" s="158"/>
      <c r="D565" s="158"/>
      <c r="E565" s="158"/>
      <c r="F565" s="160"/>
      <c r="G565" s="158"/>
      <c r="H565" s="158"/>
      <c r="I565" s="158"/>
      <c r="J565" s="158"/>
      <c r="K565" s="158"/>
      <c r="L565" s="158"/>
      <c r="M565" s="158"/>
      <c r="N565" s="158"/>
    </row>
    <row r="566">
      <c r="B566" s="158"/>
      <c r="C566" s="158"/>
      <c r="D566" s="158"/>
      <c r="E566" s="158"/>
      <c r="F566" s="160"/>
      <c r="G566" s="158"/>
      <c r="H566" s="158"/>
      <c r="I566" s="158"/>
      <c r="J566" s="158"/>
      <c r="K566" s="158"/>
      <c r="L566" s="158"/>
      <c r="M566" s="158"/>
      <c r="N566" s="158"/>
    </row>
    <row r="567">
      <c r="B567" s="158"/>
      <c r="C567" s="158"/>
      <c r="D567" s="158"/>
      <c r="E567" s="158"/>
      <c r="F567" s="160"/>
      <c r="G567" s="158"/>
      <c r="H567" s="158"/>
      <c r="I567" s="158"/>
      <c r="J567" s="158"/>
      <c r="K567" s="158"/>
      <c r="L567" s="158"/>
      <c r="M567" s="158"/>
      <c r="N567" s="158"/>
    </row>
    <row r="568">
      <c r="B568" s="158"/>
      <c r="C568" s="158"/>
      <c r="D568" s="158"/>
      <c r="E568" s="158"/>
      <c r="F568" s="160"/>
      <c r="G568" s="158"/>
      <c r="H568" s="158"/>
      <c r="I568" s="158"/>
      <c r="J568" s="158"/>
      <c r="K568" s="158"/>
      <c r="L568" s="158"/>
      <c r="M568" s="158"/>
      <c r="N568" s="158"/>
    </row>
    <row r="569">
      <c r="B569" s="158"/>
      <c r="C569" s="158"/>
      <c r="D569" s="158"/>
      <c r="E569" s="158"/>
      <c r="F569" s="160"/>
      <c r="G569" s="158"/>
      <c r="H569" s="158"/>
      <c r="I569" s="158"/>
      <c r="J569" s="158"/>
      <c r="K569" s="158"/>
      <c r="L569" s="158"/>
      <c r="M569" s="158"/>
      <c r="N569" s="158"/>
    </row>
    <row r="570">
      <c r="B570" s="158"/>
      <c r="C570" s="158"/>
      <c r="D570" s="158"/>
      <c r="E570" s="158"/>
      <c r="F570" s="160"/>
      <c r="G570" s="158"/>
      <c r="H570" s="158"/>
      <c r="I570" s="158"/>
      <c r="J570" s="158"/>
      <c r="K570" s="158"/>
      <c r="L570" s="158"/>
      <c r="M570" s="158"/>
      <c r="N570" s="158"/>
    </row>
    <row r="571">
      <c r="B571" s="158"/>
      <c r="C571" s="158"/>
      <c r="D571" s="158"/>
      <c r="E571" s="158"/>
      <c r="F571" s="160"/>
      <c r="G571" s="158"/>
      <c r="H571" s="158"/>
      <c r="I571" s="158"/>
      <c r="J571" s="158"/>
      <c r="K571" s="158"/>
      <c r="L571" s="158"/>
      <c r="M571" s="158"/>
      <c r="N571" s="158"/>
    </row>
    <row r="572">
      <c r="B572" s="158"/>
      <c r="C572" s="158"/>
      <c r="D572" s="158"/>
      <c r="E572" s="158"/>
      <c r="F572" s="160"/>
      <c r="G572" s="158"/>
      <c r="H572" s="158"/>
      <c r="I572" s="158"/>
      <c r="J572" s="158"/>
      <c r="K572" s="158"/>
      <c r="L572" s="158"/>
      <c r="M572" s="158"/>
      <c r="N572" s="158"/>
    </row>
    <row r="573">
      <c r="B573" s="158"/>
      <c r="C573" s="158"/>
      <c r="D573" s="158"/>
      <c r="E573" s="158"/>
      <c r="F573" s="160"/>
      <c r="G573" s="158"/>
      <c r="H573" s="158"/>
      <c r="I573" s="158"/>
      <c r="J573" s="158"/>
      <c r="K573" s="158"/>
      <c r="L573" s="158"/>
      <c r="M573" s="158"/>
      <c r="N573" s="158"/>
    </row>
    <row r="574">
      <c r="B574" s="158"/>
      <c r="C574" s="158"/>
      <c r="D574" s="158"/>
      <c r="E574" s="158"/>
      <c r="F574" s="160"/>
      <c r="G574" s="158"/>
      <c r="H574" s="158"/>
      <c r="I574" s="158"/>
      <c r="J574" s="158"/>
      <c r="K574" s="158"/>
      <c r="L574" s="158"/>
      <c r="M574" s="158"/>
      <c r="N574" s="158"/>
    </row>
    <row r="575">
      <c r="B575" s="158"/>
      <c r="C575" s="158"/>
      <c r="D575" s="158"/>
      <c r="E575" s="158"/>
      <c r="F575" s="160"/>
      <c r="G575" s="158"/>
      <c r="H575" s="158"/>
      <c r="I575" s="158"/>
      <c r="J575" s="158"/>
      <c r="K575" s="158"/>
      <c r="L575" s="158"/>
      <c r="M575" s="158"/>
      <c r="N575" s="158"/>
    </row>
    <row r="576">
      <c r="B576" s="158"/>
      <c r="C576" s="158"/>
      <c r="D576" s="158"/>
      <c r="E576" s="158"/>
      <c r="F576" s="160"/>
      <c r="G576" s="158"/>
      <c r="H576" s="158"/>
      <c r="I576" s="158"/>
      <c r="J576" s="158"/>
      <c r="K576" s="158"/>
      <c r="L576" s="158"/>
      <c r="M576" s="158"/>
      <c r="N576" s="158"/>
    </row>
    <row r="577">
      <c r="B577" s="158"/>
      <c r="C577" s="158"/>
      <c r="D577" s="158"/>
      <c r="E577" s="158"/>
      <c r="F577" s="160"/>
      <c r="G577" s="158"/>
      <c r="H577" s="158"/>
      <c r="I577" s="158"/>
      <c r="J577" s="158"/>
      <c r="K577" s="158"/>
      <c r="L577" s="158"/>
      <c r="M577" s="158"/>
      <c r="N577" s="158"/>
    </row>
    <row r="578">
      <c r="B578" s="158"/>
      <c r="C578" s="158"/>
      <c r="D578" s="158"/>
      <c r="E578" s="158"/>
      <c r="F578" s="160"/>
      <c r="G578" s="158"/>
      <c r="H578" s="158"/>
      <c r="I578" s="158"/>
      <c r="J578" s="158"/>
      <c r="K578" s="158"/>
      <c r="L578" s="158"/>
      <c r="M578" s="158"/>
      <c r="N578" s="158"/>
    </row>
    <row r="579">
      <c r="B579" s="158"/>
      <c r="C579" s="158"/>
      <c r="D579" s="158"/>
      <c r="E579" s="158"/>
      <c r="F579" s="160"/>
      <c r="G579" s="158"/>
      <c r="H579" s="158"/>
      <c r="I579" s="158"/>
      <c r="J579" s="158"/>
      <c r="K579" s="158"/>
      <c r="L579" s="158"/>
      <c r="M579" s="158"/>
      <c r="N579" s="158"/>
    </row>
    <row r="580">
      <c r="B580" s="158"/>
      <c r="C580" s="158"/>
      <c r="D580" s="158"/>
      <c r="E580" s="158"/>
      <c r="F580" s="160"/>
      <c r="G580" s="158"/>
      <c r="H580" s="158"/>
      <c r="I580" s="158"/>
      <c r="J580" s="158"/>
      <c r="K580" s="158"/>
      <c r="L580" s="158"/>
      <c r="M580" s="158"/>
      <c r="N580" s="158"/>
    </row>
    <row r="581">
      <c r="B581" s="158"/>
      <c r="C581" s="158"/>
      <c r="D581" s="158"/>
      <c r="E581" s="158"/>
      <c r="F581" s="160"/>
      <c r="G581" s="158"/>
      <c r="H581" s="158"/>
      <c r="I581" s="158"/>
      <c r="J581" s="158"/>
      <c r="K581" s="158"/>
      <c r="L581" s="158"/>
      <c r="M581" s="158"/>
      <c r="N581" s="158"/>
    </row>
    <row r="582">
      <c r="B582" s="158"/>
      <c r="C582" s="158"/>
      <c r="D582" s="158"/>
      <c r="E582" s="158"/>
      <c r="F582" s="160"/>
      <c r="G582" s="158"/>
      <c r="H582" s="158"/>
      <c r="I582" s="158"/>
      <c r="J582" s="158"/>
      <c r="K582" s="158"/>
      <c r="L582" s="158"/>
      <c r="M582" s="158"/>
      <c r="N582" s="158"/>
    </row>
    <row r="583">
      <c r="B583" s="158"/>
      <c r="C583" s="158"/>
      <c r="D583" s="158"/>
      <c r="E583" s="158"/>
      <c r="F583" s="160"/>
      <c r="G583" s="158"/>
      <c r="H583" s="158"/>
      <c r="I583" s="158"/>
      <c r="J583" s="158"/>
      <c r="K583" s="158"/>
      <c r="L583" s="158"/>
      <c r="M583" s="158"/>
      <c r="N583" s="158"/>
    </row>
    <row r="584">
      <c r="B584" s="158"/>
      <c r="C584" s="158"/>
      <c r="D584" s="158"/>
      <c r="E584" s="158"/>
      <c r="F584" s="160"/>
      <c r="G584" s="158"/>
      <c r="H584" s="158"/>
      <c r="I584" s="158"/>
      <c r="J584" s="158"/>
      <c r="K584" s="158"/>
      <c r="L584" s="158"/>
      <c r="M584" s="158"/>
      <c r="N584" s="158"/>
    </row>
    <row r="585">
      <c r="B585" s="158"/>
      <c r="C585" s="158"/>
      <c r="D585" s="158"/>
      <c r="E585" s="158"/>
      <c r="F585" s="160"/>
      <c r="G585" s="158"/>
      <c r="H585" s="158"/>
      <c r="I585" s="158"/>
      <c r="J585" s="158"/>
      <c r="K585" s="158"/>
      <c r="L585" s="158"/>
      <c r="M585" s="158"/>
      <c r="N585" s="158"/>
    </row>
    <row r="586">
      <c r="B586" s="158"/>
      <c r="C586" s="158"/>
      <c r="D586" s="158"/>
      <c r="E586" s="158"/>
      <c r="F586" s="160"/>
      <c r="G586" s="158"/>
      <c r="H586" s="158"/>
      <c r="I586" s="158"/>
      <c r="J586" s="158"/>
      <c r="K586" s="158"/>
      <c r="L586" s="158"/>
      <c r="M586" s="158"/>
      <c r="N586" s="158"/>
    </row>
    <row r="587">
      <c r="B587" s="158"/>
      <c r="C587" s="158"/>
      <c r="D587" s="158"/>
      <c r="E587" s="158"/>
      <c r="F587" s="160"/>
      <c r="G587" s="158"/>
      <c r="H587" s="158"/>
      <c r="I587" s="158"/>
      <c r="J587" s="158"/>
      <c r="K587" s="158"/>
      <c r="L587" s="158"/>
      <c r="M587" s="158"/>
      <c r="N587" s="158"/>
    </row>
    <row r="588">
      <c r="B588" s="158"/>
      <c r="C588" s="158"/>
      <c r="D588" s="158"/>
      <c r="E588" s="158"/>
      <c r="F588" s="160"/>
      <c r="G588" s="158"/>
      <c r="H588" s="158"/>
      <c r="I588" s="158"/>
      <c r="J588" s="158"/>
      <c r="K588" s="158"/>
      <c r="L588" s="158"/>
      <c r="M588" s="158"/>
      <c r="N588" s="158"/>
    </row>
    <row r="589">
      <c r="B589" s="158"/>
      <c r="C589" s="158"/>
      <c r="D589" s="158"/>
      <c r="E589" s="158"/>
      <c r="F589" s="160"/>
      <c r="G589" s="158"/>
      <c r="H589" s="158"/>
      <c r="I589" s="158"/>
      <c r="J589" s="158"/>
      <c r="K589" s="158"/>
      <c r="L589" s="158"/>
      <c r="M589" s="158"/>
      <c r="N589" s="158"/>
    </row>
    <row r="590">
      <c r="B590" s="158"/>
      <c r="C590" s="158"/>
      <c r="D590" s="158"/>
      <c r="E590" s="158"/>
      <c r="F590" s="160"/>
      <c r="G590" s="158"/>
      <c r="H590" s="158"/>
      <c r="I590" s="158"/>
      <c r="J590" s="158"/>
      <c r="K590" s="158"/>
      <c r="L590" s="158"/>
      <c r="M590" s="158"/>
      <c r="N590" s="158"/>
    </row>
    <row r="591">
      <c r="B591" s="158"/>
      <c r="C591" s="158"/>
      <c r="D591" s="158"/>
      <c r="E591" s="158"/>
      <c r="F591" s="160"/>
      <c r="G591" s="158"/>
      <c r="H591" s="158"/>
      <c r="I591" s="158"/>
      <c r="J591" s="158"/>
      <c r="K591" s="158"/>
      <c r="L591" s="158"/>
      <c r="M591" s="158"/>
      <c r="N591" s="158"/>
    </row>
    <row r="592">
      <c r="B592" s="158"/>
      <c r="C592" s="158"/>
      <c r="D592" s="158"/>
      <c r="E592" s="158"/>
      <c r="F592" s="160"/>
      <c r="G592" s="158"/>
      <c r="H592" s="158"/>
      <c r="I592" s="158"/>
      <c r="J592" s="158"/>
      <c r="K592" s="158"/>
      <c r="L592" s="158"/>
      <c r="M592" s="158"/>
      <c r="N592" s="158"/>
    </row>
    <row r="593">
      <c r="B593" s="158"/>
      <c r="C593" s="158"/>
      <c r="D593" s="158"/>
      <c r="E593" s="158"/>
      <c r="F593" s="160"/>
      <c r="G593" s="158"/>
      <c r="H593" s="158"/>
      <c r="I593" s="158"/>
      <c r="J593" s="158"/>
      <c r="K593" s="158"/>
      <c r="L593" s="158"/>
      <c r="M593" s="158"/>
      <c r="N593" s="158"/>
    </row>
    <row r="594">
      <c r="B594" s="158"/>
      <c r="C594" s="158"/>
      <c r="D594" s="158"/>
      <c r="E594" s="158"/>
      <c r="F594" s="160"/>
      <c r="G594" s="158"/>
      <c r="H594" s="158"/>
      <c r="I594" s="158"/>
      <c r="J594" s="158"/>
      <c r="K594" s="158"/>
      <c r="L594" s="158"/>
      <c r="M594" s="158"/>
      <c r="N594" s="158"/>
    </row>
    <row r="595">
      <c r="B595" s="158"/>
      <c r="C595" s="158"/>
      <c r="D595" s="158"/>
      <c r="E595" s="158"/>
      <c r="F595" s="160"/>
      <c r="G595" s="158"/>
      <c r="H595" s="158"/>
      <c r="I595" s="158"/>
      <c r="J595" s="158"/>
      <c r="K595" s="158"/>
      <c r="L595" s="158"/>
      <c r="M595" s="158"/>
      <c r="N595" s="158"/>
    </row>
    <row r="596">
      <c r="B596" s="158"/>
      <c r="C596" s="158"/>
      <c r="D596" s="158"/>
      <c r="E596" s="158"/>
      <c r="F596" s="160"/>
      <c r="G596" s="158"/>
      <c r="H596" s="158"/>
      <c r="I596" s="158"/>
      <c r="J596" s="158"/>
      <c r="K596" s="158"/>
      <c r="L596" s="158"/>
      <c r="M596" s="158"/>
      <c r="N596" s="158"/>
    </row>
    <row r="597">
      <c r="B597" s="158"/>
      <c r="C597" s="158"/>
      <c r="D597" s="158"/>
      <c r="E597" s="158"/>
      <c r="F597" s="160"/>
      <c r="G597" s="158"/>
      <c r="H597" s="158"/>
      <c r="I597" s="158"/>
      <c r="J597" s="158"/>
      <c r="K597" s="158"/>
      <c r="L597" s="158"/>
      <c r="M597" s="158"/>
      <c r="N597" s="158"/>
    </row>
    <row r="598">
      <c r="B598" s="158"/>
      <c r="C598" s="158"/>
      <c r="D598" s="158"/>
      <c r="E598" s="158"/>
      <c r="F598" s="160"/>
      <c r="G598" s="158"/>
      <c r="H598" s="158"/>
      <c r="I598" s="158"/>
      <c r="J598" s="158"/>
      <c r="K598" s="158"/>
      <c r="L598" s="158"/>
      <c r="M598" s="158"/>
      <c r="N598" s="158"/>
    </row>
    <row r="599">
      <c r="B599" s="158"/>
      <c r="C599" s="158"/>
      <c r="D599" s="158"/>
      <c r="E599" s="158"/>
      <c r="F599" s="160"/>
      <c r="G599" s="158"/>
      <c r="H599" s="158"/>
      <c r="I599" s="158"/>
      <c r="J599" s="158"/>
      <c r="K599" s="158"/>
      <c r="L599" s="158"/>
      <c r="M599" s="158"/>
      <c r="N599" s="158"/>
    </row>
    <row r="600">
      <c r="B600" s="158"/>
      <c r="C600" s="158"/>
      <c r="D600" s="158"/>
      <c r="E600" s="158"/>
      <c r="F600" s="160"/>
      <c r="G600" s="158"/>
      <c r="H600" s="158"/>
      <c r="I600" s="158"/>
      <c r="J600" s="158"/>
      <c r="K600" s="158"/>
      <c r="L600" s="158"/>
      <c r="M600" s="158"/>
      <c r="N600" s="158"/>
    </row>
    <row r="601">
      <c r="B601" s="158"/>
      <c r="C601" s="158"/>
      <c r="D601" s="158"/>
      <c r="E601" s="158"/>
      <c r="F601" s="160"/>
      <c r="G601" s="158"/>
      <c r="H601" s="158"/>
      <c r="I601" s="158"/>
      <c r="J601" s="158"/>
      <c r="K601" s="158"/>
      <c r="L601" s="158"/>
      <c r="M601" s="158"/>
      <c r="N601" s="158"/>
    </row>
    <row r="602">
      <c r="B602" s="158"/>
      <c r="C602" s="158"/>
      <c r="D602" s="158"/>
      <c r="E602" s="158"/>
      <c r="F602" s="160"/>
      <c r="G602" s="158"/>
      <c r="H602" s="158"/>
      <c r="I602" s="158"/>
      <c r="J602" s="158"/>
      <c r="K602" s="158"/>
      <c r="L602" s="158"/>
      <c r="M602" s="158"/>
      <c r="N602" s="158"/>
    </row>
    <row r="603">
      <c r="B603" s="158"/>
      <c r="C603" s="158"/>
      <c r="D603" s="158"/>
      <c r="E603" s="158"/>
      <c r="F603" s="160"/>
      <c r="G603" s="158"/>
      <c r="H603" s="158"/>
      <c r="I603" s="158"/>
      <c r="J603" s="158"/>
      <c r="K603" s="158"/>
      <c r="L603" s="158"/>
      <c r="M603" s="158"/>
      <c r="N603" s="158"/>
    </row>
    <row r="604">
      <c r="B604" s="158"/>
      <c r="C604" s="158"/>
      <c r="D604" s="158"/>
      <c r="E604" s="158"/>
      <c r="F604" s="160"/>
      <c r="G604" s="158"/>
      <c r="H604" s="158"/>
      <c r="I604" s="158"/>
      <c r="J604" s="158"/>
      <c r="K604" s="158"/>
      <c r="L604" s="158"/>
      <c r="M604" s="158"/>
      <c r="N604" s="158"/>
    </row>
    <row r="605">
      <c r="B605" s="158"/>
      <c r="C605" s="158"/>
      <c r="D605" s="158"/>
      <c r="E605" s="158"/>
      <c r="F605" s="160"/>
      <c r="G605" s="158"/>
      <c r="H605" s="158"/>
      <c r="I605" s="158"/>
      <c r="J605" s="158"/>
      <c r="K605" s="158"/>
      <c r="L605" s="158"/>
      <c r="M605" s="158"/>
      <c r="N605" s="158"/>
    </row>
    <row r="606">
      <c r="B606" s="158"/>
      <c r="C606" s="158"/>
      <c r="D606" s="158"/>
      <c r="E606" s="158"/>
      <c r="F606" s="160"/>
      <c r="G606" s="158"/>
      <c r="H606" s="158"/>
      <c r="I606" s="158"/>
      <c r="J606" s="158"/>
      <c r="K606" s="158"/>
      <c r="L606" s="158"/>
      <c r="M606" s="158"/>
      <c r="N606" s="158"/>
    </row>
    <row r="607">
      <c r="B607" s="158"/>
      <c r="C607" s="158"/>
      <c r="D607" s="158"/>
      <c r="E607" s="158"/>
      <c r="F607" s="160"/>
      <c r="G607" s="158"/>
      <c r="H607" s="158"/>
      <c r="I607" s="158"/>
      <c r="J607" s="158"/>
      <c r="K607" s="158"/>
      <c r="L607" s="158"/>
      <c r="M607" s="158"/>
      <c r="N607" s="158"/>
    </row>
    <row r="608">
      <c r="B608" s="158"/>
      <c r="C608" s="158"/>
      <c r="D608" s="158"/>
      <c r="E608" s="158"/>
      <c r="F608" s="160"/>
      <c r="G608" s="158"/>
      <c r="H608" s="158"/>
      <c r="I608" s="158"/>
      <c r="J608" s="158"/>
      <c r="K608" s="158"/>
      <c r="L608" s="158"/>
      <c r="M608" s="158"/>
      <c r="N608" s="158"/>
    </row>
    <row r="609">
      <c r="B609" s="158"/>
      <c r="C609" s="158"/>
      <c r="D609" s="158"/>
      <c r="E609" s="158"/>
      <c r="F609" s="160"/>
      <c r="G609" s="158"/>
      <c r="H609" s="158"/>
      <c r="I609" s="158"/>
      <c r="J609" s="158"/>
      <c r="K609" s="158"/>
      <c r="L609" s="158"/>
      <c r="M609" s="158"/>
      <c r="N609" s="158"/>
    </row>
    <row r="610">
      <c r="B610" s="158"/>
      <c r="C610" s="158"/>
      <c r="D610" s="158"/>
      <c r="E610" s="158"/>
      <c r="F610" s="160"/>
      <c r="G610" s="158"/>
      <c r="H610" s="158"/>
      <c r="I610" s="158"/>
      <c r="J610" s="158"/>
      <c r="K610" s="158"/>
      <c r="L610" s="158"/>
      <c r="M610" s="158"/>
      <c r="N610" s="158"/>
    </row>
    <row r="611">
      <c r="B611" s="158"/>
      <c r="C611" s="158"/>
      <c r="D611" s="158"/>
      <c r="E611" s="158"/>
      <c r="F611" s="160"/>
      <c r="G611" s="158"/>
      <c r="H611" s="158"/>
      <c r="I611" s="158"/>
      <c r="J611" s="158"/>
      <c r="K611" s="158"/>
      <c r="L611" s="158"/>
      <c r="M611" s="158"/>
      <c r="N611" s="158"/>
    </row>
    <row r="612">
      <c r="B612" s="158"/>
      <c r="C612" s="158"/>
      <c r="D612" s="158"/>
      <c r="E612" s="158"/>
      <c r="F612" s="160"/>
      <c r="G612" s="158"/>
      <c r="H612" s="158"/>
      <c r="I612" s="158"/>
      <c r="J612" s="158"/>
      <c r="K612" s="158"/>
      <c r="L612" s="158"/>
      <c r="M612" s="158"/>
      <c r="N612" s="158"/>
    </row>
    <row r="613">
      <c r="B613" s="158"/>
      <c r="C613" s="158"/>
      <c r="D613" s="158"/>
      <c r="E613" s="158"/>
      <c r="F613" s="160"/>
      <c r="G613" s="158"/>
      <c r="H613" s="158"/>
      <c r="I613" s="158"/>
      <c r="J613" s="158"/>
      <c r="K613" s="158"/>
      <c r="L613" s="158"/>
      <c r="M613" s="158"/>
      <c r="N613" s="158"/>
    </row>
    <row r="614">
      <c r="B614" s="158"/>
      <c r="C614" s="158"/>
      <c r="D614" s="158"/>
      <c r="E614" s="158"/>
      <c r="F614" s="160"/>
      <c r="G614" s="158"/>
      <c r="H614" s="158"/>
      <c r="I614" s="158"/>
      <c r="J614" s="158"/>
      <c r="K614" s="158"/>
      <c r="L614" s="158"/>
      <c r="M614" s="158"/>
      <c r="N614" s="158"/>
    </row>
    <row r="615">
      <c r="B615" s="158"/>
      <c r="C615" s="158"/>
      <c r="D615" s="158"/>
      <c r="E615" s="158"/>
      <c r="F615" s="160"/>
      <c r="G615" s="158"/>
      <c r="H615" s="158"/>
      <c r="I615" s="158"/>
      <c r="J615" s="158"/>
      <c r="K615" s="158"/>
      <c r="L615" s="158"/>
      <c r="M615" s="158"/>
      <c r="N615" s="158"/>
    </row>
    <row r="616">
      <c r="B616" s="158"/>
      <c r="C616" s="158"/>
      <c r="D616" s="158"/>
      <c r="E616" s="158"/>
      <c r="F616" s="160"/>
      <c r="G616" s="158"/>
      <c r="H616" s="158"/>
      <c r="I616" s="158"/>
      <c r="J616" s="158"/>
      <c r="K616" s="158"/>
      <c r="L616" s="158"/>
      <c r="M616" s="158"/>
      <c r="N616" s="158"/>
    </row>
    <row r="617">
      <c r="B617" s="158"/>
      <c r="C617" s="158"/>
      <c r="D617" s="158"/>
      <c r="E617" s="158"/>
      <c r="F617" s="160"/>
      <c r="G617" s="158"/>
      <c r="H617" s="158"/>
      <c r="I617" s="158"/>
      <c r="J617" s="158"/>
      <c r="K617" s="158"/>
      <c r="L617" s="158"/>
      <c r="M617" s="158"/>
      <c r="N617" s="158"/>
    </row>
    <row r="618">
      <c r="B618" s="158"/>
      <c r="C618" s="158"/>
      <c r="D618" s="158"/>
      <c r="E618" s="158"/>
      <c r="F618" s="160"/>
      <c r="G618" s="158"/>
      <c r="H618" s="158"/>
      <c r="I618" s="158"/>
      <c r="J618" s="158"/>
      <c r="K618" s="158"/>
      <c r="L618" s="158"/>
      <c r="M618" s="158"/>
      <c r="N618" s="158"/>
    </row>
    <row r="619">
      <c r="B619" s="158"/>
      <c r="C619" s="158"/>
      <c r="D619" s="158"/>
      <c r="E619" s="158"/>
      <c r="F619" s="160"/>
      <c r="G619" s="158"/>
      <c r="H619" s="158"/>
      <c r="I619" s="158"/>
      <c r="J619" s="158"/>
      <c r="K619" s="158"/>
      <c r="L619" s="158"/>
      <c r="M619" s="158"/>
      <c r="N619" s="158"/>
    </row>
    <row r="620">
      <c r="B620" s="158"/>
      <c r="C620" s="158"/>
      <c r="D620" s="158"/>
      <c r="E620" s="158"/>
      <c r="F620" s="160"/>
      <c r="G620" s="158"/>
      <c r="H620" s="158"/>
      <c r="I620" s="158"/>
      <c r="J620" s="158"/>
      <c r="K620" s="158"/>
      <c r="L620" s="158"/>
      <c r="M620" s="158"/>
      <c r="N620" s="158"/>
    </row>
    <row r="621">
      <c r="B621" s="158"/>
      <c r="C621" s="158"/>
      <c r="D621" s="158"/>
      <c r="E621" s="158"/>
      <c r="F621" s="160"/>
      <c r="G621" s="158"/>
      <c r="H621" s="158"/>
      <c r="I621" s="158"/>
      <c r="J621" s="158"/>
      <c r="K621" s="158"/>
      <c r="L621" s="158"/>
      <c r="M621" s="158"/>
      <c r="N621" s="158"/>
    </row>
    <row r="622">
      <c r="B622" s="158"/>
      <c r="C622" s="158"/>
      <c r="D622" s="158"/>
      <c r="E622" s="158"/>
      <c r="F622" s="160"/>
      <c r="G622" s="158"/>
      <c r="H622" s="158"/>
      <c r="I622" s="158"/>
      <c r="J622" s="158"/>
      <c r="K622" s="158"/>
      <c r="L622" s="158"/>
      <c r="M622" s="158"/>
      <c r="N622" s="158"/>
    </row>
    <row r="623">
      <c r="B623" s="158"/>
      <c r="C623" s="158"/>
      <c r="D623" s="158"/>
      <c r="E623" s="158"/>
      <c r="F623" s="160"/>
      <c r="G623" s="158"/>
      <c r="H623" s="158"/>
      <c r="I623" s="158"/>
      <c r="J623" s="158"/>
      <c r="K623" s="158"/>
      <c r="L623" s="158"/>
      <c r="M623" s="158"/>
      <c r="N623" s="158"/>
    </row>
    <row r="624">
      <c r="B624" s="158"/>
      <c r="C624" s="158"/>
      <c r="D624" s="158"/>
      <c r="E624" s="158"/>
      <c r="F624" s="160"/>
      <c r="G624" s="158"/>
      <c r="H624" s="158"/>
      <c r="I624" s="158"/>
      <c r="J624" s="158"/>
      <c r="K624" s="158"/>
      <c r="L624" s="158"/>
      <c r="M624" s="158"/>
      <c r="N624" s="158"/>
    </row>
    <row r="625">
      <c r="B625" s="158"/>
      <c r="C625" s="158"/>
      <c r="D625" s="158"/>
      <c r="E625" s="158"/>
      <c r="F625" s="160"/>
      <c r="G625" s="158"/>
      <c r="H625" s="158"/>
      <c r="I625" s="158"/>
      <c r="J625" s="158"/>
      <c r="K625" s="158"/>
      <c r="L625" s="158"/>
      <c r="M625" s="158"/>
      <c r="N625" s="158"/>
    </row>
    <row r="626">
      <c r="B626" s="158"/>
      <c r="C626" s="158"/>
      <c r="D626" s="158"/>
      <c r="E626" s="158"/>
      <c r="F626" s="160"/>
      <c r="G626" s="158"/>
      <c r="H626" s="158"/>
      <c r="I626" s="158"/>
      <c r="J626" s="158"/>
      <c r="K626" s="158"/>
      <c r="L626" s="158"/>
      <c r="M626" s="158"/>
      <c r="N626" s="158"/>
    </row>
    <row r="627">
      <c r="B627" s="158"/>
      <c r="C627" s="158"/>
      <c r="D627" s="158"/>
      <c r="E627" s="158"/>
      <c r="F627" s="160"/>
      <c r="G627" s="158"/>
      <c r="H627" s="158"/>
      <c r="I627" s="158"/>
      <c r="J627" s="158"/>
      <c r="K627" s="158"/>
      <c r="L627" s="158"/>
      <c r="M627" s="158"/>
      <c r="N627" s="158"/>
    </row>
    <row r="628">
      <c r="B628" s="158"/>
      <c r="C628" s="158"/>
      <c r="D628" s="158"/>
      <c r="E628" s="158"/>
      <c r="F628" s="160"/>
      <c r="G628" s="158"/>
      <c r="H628" s="158"/>
      <c r="I628" s="158"/>
      <c r="J628" s="158"/>
      <c r="K628" s="158"/>
      <c r="L628" s="158"/>
      <c r="M628" s="158"/>
      <c r="N628" s="158"/>
    </row>
    <row r="629">
      <c r="B629" s="158"/>
      <c r="C629" s="158"/>
      <c r="D629" s="158"/>
      <c r="E629" s="158"/>
      <c r="F629" s="160"/>
      <c r="G629" s="158"/>
      <c r="H629" s="158"/>
      <c r="I629" s="158"/>
      <c r="J629" s="158"/>
      <c r="K629" s="158"/>
      <c r="L629" s="158"/>
      <c r="M629" s="158"/>
      <c r="N629" s="158"/>
    </row>
    <row r="630">
      <c r="B630" s="158"/>
      <c r="C630" s="158"/>
      <c r="D630" s="158"/>
      <c r="E630" s="158"/>
      <c r="F630" s="160"/>
      <c r="G630" s="158"/>
      <c r="H630" s="158"/>
      <c r="I630" s="158"/>
      <c r="J630" s="158"/>
      <c r="K630" s="158"/>
      <c r="L630" s="158"/>
      <c r="M630" s="158"/>
      <c r="N630" s="158"/>
    </row>
    <row r="631">
      <c r="B631" s="158"/>
      <c r="C631" s="158"/>
      <c r="D631" s="158"/>
      <c r="E631" s="158"/>
      <c r="F631" s="160"/>
      <c r="G631" s="158"/>
      <c r="H631" s="158"/>
      <c r="I631" s="158"/>
      <c r="J631" s="158"/>
      <c r="K631" s="158"/>
      <c r="L631" s="158"/>
      <c r="M631" s="158"/>
      <c r="N631" s="158"/>
    </row>
    <row r="632">
      <c r="B632" s="158"/>
      <c r="C632" s="158"/>
      <c r="D632" s="158"/>
      <c r="E632" s="158"/>
      <c r="F632" s="160"/>
      <c r="G632" s="158"/>
      <c r="H632" s="158"/>
      <c r="I632" s="158"/>
      <c r="J632" s="158"/>
      <c r="K632" s="158"/>
      <c r="L632" s="158"/>
      <c r="M632" s="158"/>
      <c r="N632" s="158"/>
    </row>
    <row r="633">
      <c r="B633" s="158"/>
      <c r="C633" s="158"/>
      <c r="D633" s="158"/>
      <c r="E633" s="158"/>
      <c r="F633" s="160"/>
      <c r="G633" s="158"/>
      <c r="H633" s="158"/>
      <c r="I633" s="158"/>
      <c r="J633" s="158"/>
      <c r="K633" s="158"/>
      <c r="L633" s="158"/>
      <c r="M633" s="158"/>
      <c r="N633" s="158"/>
    </row>
    <row r="634">
      <c r="B634" s="158"/>
      <c r="C634" s="158"/>
      <c r="D634" s="158"/>
      <c r="E634" s="158"/>
      <c r="F634" s="160"/>
      <c r="G634" s="158"/>
      <c r="H634" s="158"/>
      <c r="I634" s="158"/>
      <c r="J634" s="158"/>
      <c r="K634" s="158"/>
      <c r="L634" s="158"/>
      <c r="M634" s="158"/>
      <c r="N634" s="158"/>
    </row>
    <row r="635">
      <c r="B635" s="158"/>
      <c r="C635" s="158"/>
      <c r="D635" s="158"/>
      <c r="E635" s="158"/>
      <c r="F635" s="160"/>
      <c r="G635" s="158"/>
      <c r="H635" s="158"/>
      <c r="I635" s="158"/>
      <c r="J635" s="158"/>
      <c r="K635" s="158"/>
      <c r="L635" s="158"/>
      <c r="M635" s="158"/>
      <c r="N635" s="158"/>
    </row>
    <row r="636">
      <c r="B636" s="158"/>
      <c r="C636" s="158"/>
      <c r="D636" s="158"/>
      <c r="E636" s="158"/>
      <c r="F636" s="160"/>
      <c r="G636" s="158"/>
      <c r="H636" s="158"/>
      <c r="I636" s="158"/>
      <c r="J636" s="158"/>
      <c r="K636" s="158"/>
      <c r="L636" s="158"/>
      <c r="M636" s="158"/>
      <c r="N636" s="158"/>
    </row>
    <row r="637">
      <c r="B637" s="158"/>
      <c r="C637" s="158"/>
      <c r="D637" s="158"/>
      <c r="E637" s="158"/>
      <c r="F637" s="160"/>
      <c r="G637" s="158"/>
      <c r="H637" s="158"/>
      <c r="I637" s="158"/>
      <c r="J637" s="158"/>
      <c r="K637" s="158"/>
      <c r="L637" s="158"/>
      <c r="M637" s="158"/>
      <c r="N637" s="158"/>
    </row>
    <row r="638">
      <c r="B638" s="158"/>
      <c r="C638" s="158"/>
      <c r="D638" s="158"/>
      <c r="E638" s="158"/>
      <c r="F638" s="160"/>
      <c r="G638" s="158"/>
      <c r="H638" s="158"/>
      <c r="I638" s="158"/>
      <c r="J638" s="158"/>
      <c r="K638" s="158"/>
      <c r="L638" s="158"/>
      <c r="M638" s="158"/>
      <c r="N638" s="158"/>
    </row>
    <row r="639">
      <c r="B639" s="158"/>
      <c r="C639" s="158"/>
      <c r="D639" s="158"/>
      <c r="E639" s="158"/>
      <c r="F639" s="160"/>
      <c r="G639" s="158"/>
      <c r="H639" s="158"/>
      <c r="I639" s="158"/>
      <c r="J639" s="158"/>
      <c r="K639" s="158"/>
      <c r="L639" s="158"/>
      <c r="M639" s="158"/>
      <c r="N639" s="158"/>
    </row>
    <row r="640">
      <c r="B640" s="158"/>
      <c r="C640" s="158"/>
      <c r="D640" s="158"/>
      <c r="E640" s="158"/>
      <c r="F640" s="160"/>
      <c r="G640" s="158"/>
      <c r="H640" s="158"/>
      <c r="I640" s="158"/>
      <c r="J640" s="158"/>
      <c r="K640" s="158"/>
      <c r="L640" s="158"/>
      <c r="M640" s="158"/>
      <c r="N640" s="158"/>
    </row>
    <row r="641">
      <c r="B641" s="158"/>
      <c r="C641" s="158"/>
      <c r="D641" s="158"/>
      <c r="E641" s="158"/>
      <c r="F641" s="160"/>
      <c r="G641" s="158"/>
      <c r="H641" s="158"/>
      <c r="I641" s="158"/>
      <c r="J641" s="158"/>
      <c r="K641" s="158"/>
      <c r="L641" s="158"/>
      <c r="M641" s="158"/>
      <c r="N641" s="158"/>
    </row>
    <row r="642">
      <c r="B642" s="158"/>
      <c r="C642" s="158"/>
      <c r="D642" s="158"/>
      <c r="E642" s="158"/>
      <c r="F642" s="160"/>
      <c r="G642" s="158"/>
      <c r="H642" s="158"/>
      <c r="I642" s="158"/>
      <c r="J642" s="158"/>
      <c r="K642" s="158"/>
      <c r="L642" s="158"/>
      <c r="M642" s="158"/>
      <c r="N642" s="158"/>
    </row>
    <row r="643">
      <c r="B643" s="158"/>
      <c r="C643" s="158"/>
      <c r="D643" s="158"/>
      <c r="E643" s="158"/>
      <c r="F643" s="160"/>
      <c r="G643" s="158"/>
      <c r="H643" s="158"/>
      <c r="I643" s="158"/>
      <c r="J643" s="158"/>
      <c r="K643" s="158"/>
      <c r="L643" s="158"/>
      <c r="M643" s="158"/>
      <c r="N643" s="158"/>
    </row>
    <row r="644">
      <c r="B644" s="158"/>
      <c r="C644" s="158"/>
      <c r="D644" s="158"/>
      <c r="E644" s="158"/>
      <c r="F644" s="160"/>
      <c r="G644" s="158"/>
      <c r="H644" s="158"/>
      <c r="I644" s="158"/>
      <c r="J644" s="158"/>
      <c r="K644" s="158"/>
      <c r="L644" s="158"/>
      <c r="M644" s="158"/>
      <c r="N644" s="158"/>
    </row>
    <row r="645">
      <c r="B645" s="158"/>
      <c r="C645" s="158"/>
      <c r="D645" s="158"/>
      <c r="E645" s="158"/>
      <c r="F645" s="160"/>
      <c r="G645" s="158"/>
      <c r="H645" s="158"/>
      <c r="I645" s="158"/>
      <c r="J645" s="158"/>
      <c r="K645" s="158"/>
      <c r="L645" s="158"/>
      <c r="M645" s="158"/>
      <c r="N645" s="158"/>
    </row>
    <row r="646">
      <c r="B646" s="158"/>
      <c r="C646" s="158"/>
      <c r="D646" s="158"/>
      <c r="E646" s="158"/>
      <c r="F646" s="160"/>
      <c r="G646" s="158"/>
      <c r="H646" s="158"/>
      <c r="I646" s="158"/>
      <c r="J646" s="158"/>
      <c r="K646" s="158"/>
      <c r="L646" s="158"/>
      <c r="M646" s="158"/>
      <c r="N646" s="158"/>
    </row>
    <row r="647">
      <c r="B647" s="158"/>
      <c r="C647" s="158"/>
      <c r="D647" s="158"/>
      <c r="E647" s="158"/>
      <c r="F647" s="160"/>
      <c r="G647" s="158"/>
      <c r="H647" s="158"/>
      <c r="I647" s="158"/>
      <c r="J647" s="158"/>
      <c r="K647" s="158"/>
      <c r="L647" s="158"/>
      <c r="M647" s="158"/>
      <c r="N647" s="158"/>
    </row>
    <row r="648">
      <c r="B648" s="158"/>
      <c r="C648" s="158"/>
      <c r="D648" s="158"/>
      <c r="E648" s="158"/>
      <c r="F648" s="160"/>
      <c r="G648" s="158"/>
      <c r="H648" s="158"/>
      <c r="I648" s="158"/>
      <c r="J648" s="158"/>
      <c r="K648" s="158"/>
      <c r="L648" s="158"/>
      <c r="M648" s="158"/>
      <c r="N648" s="158"/>
    </row>
    <row r="649">
      <c r="B649" s="158"/>
      <c r="C649" s="158"/>
      <c r="D649" s="158"/>
      <c r="E649" s="158"/>
      <c r="F649" s="160"/>
      <c r="G649" s="158"/>
      <c r="H649" s="158"/>
      <c r="I649" s="158"/>
      <c r="J649" s="158"/>
      <c r="K649" s="158"/>
      <c r="L649" s="158"/>
      <c r="M649" s="158"/>
      <c r="N649" s="158"/>
    </row>
    <row r="650">
      <c r="B650" s="158"/>
      <c r="C650" s="158"/>
      <c r="D650" s="158"/>
      <c r="E650" s="158"/>
      <c r="F650" s="160"/>
      <c r="G650" s="158"/>
      <c r="H650" s="158"/>
      <c r="I650" s="158"/>
      <c r="J650" s="158"/>
      <c r="K650" s="158"/>
      <c r="L650" s="158"/>
      <c r="M650" s="158"/>
      <c r="N650" s="158"/>
    </row>
    <row r="651">
      <c r="B651" s="158"/>
      <c r="C651" s="158"/>
      <c r="D651" s="158"/>
      <c r="E651" s="158"/>
      <c r="F651" s="160"/>
      <c r="G651" s="158"/>
      <c r="H651" s="158"/>
      <c r="I651" s="158"/>
      <c r="J651" s="158"/>
      <c r="K651" s="158"/>
      <c r="L651" s="158"/>
      <c r="M651" s="158"/>
      <c r="N651" s="158"/>
    </row>
    <row r="652">
      <c r="B652" s="158"/>
      <c r="C652" s="158"/>
      <c r="D652" s="158"/>
      <c r="E652" s="158"/>
      <c r="F652" s="160"/>
      <c r="G652" s="158"/>
      <c r="H652" s="158"/>
      <c r="I652" s="158"/>
      <c r="J652" s="158"/>
      <c r="K652" s="158"/>
      <c r="L652" s="158"/>
      <c r="M652" s="158"/>
      <c r="N652" s="158"/>
    </row>
    <row r="653">
      <c r="B653" s="158"/>
      <c r="C653" s="158"/>
      <c r="D653" s="158"/>
      <c r="E653" s="158"/>
      <c r="F653" s="160"/>
      <c r="G653" s="158"/>
      <c r="H653" s="158"/>
      <c r="I653" s="158"/>
      <c r="J653" s="158"/>
      <c r="K653" s="158"/>
      <c r="L653" s="158"/>
      <c r="M653" s="158"/>
      <c r="N653" s="158"/>
    </row>
    <row r="654">
      <c r="B654" s="158"/>
      <c r="C654" s="158"/>
      <c r="D654" s="158"/>
      <c r="E654" s="158"/>
      <c r="F654" s="160"/>
      <c r="G654" s="158"/>
      <c r="H654" s="158"/>
      <c r="I654" s="158"/>
      <c r="J654" s="158"/>
      <c r="K654" s="158"/>
      <c r="L654" s="158"/>
      <c r="M654" s="158"/>
      <c r="N654" s="158"/>
    </row>
    <row r="655">
      <c r="B655" s="158"/>
      <c r="C655" s="158"/>
      <c r="D655" s="158"/>
      <c r="E655" s="158"/>
      <c r="F655" s="160"/>
      <c r="G655" s="158"/>
      <c r="H655" s="158"/>
      <c r="I655" s="158"/>
      <c r="J655" s="158"/>
      <c r="K655" s="158"/>
      <c r="L655" s="158"/>
      <c r="M655" s="158"/>
      <c r="N655" s="158"/>
    </row>
    <row r="656">
      <c r="B656" s="158"/>
      <c r="C656" s="158"/>
      <c r="D656" s="158"/>
      <c r="E656" s="158"/>
      <c r="F656" s="160"/>
      <c r="G656" s="158"/>
      <c r="H656" s="158"/>
      <c r="I656" s="158"/>
      <c r="J656" s="158"/>
      <c r="K656" s="158"/>
      <c r="L656" s="158"/>
      <c r="M656" s="158"/>
      <c r="N656" s="158"/>
    </row>
    <row r="657">
      <c r="B657" s="158"/>
      <c r="C657" s="158"/>
      <c r="D657" s="158"/>
      <c r="E657" s="158"/>
      <c r="F657" s="160"/>
      <c r="G657" s="158"/>
      <c r="H657" s="158"/>
      <c r="I657" s="158"/>
      <c r="J657" s="158"/>
      <c r="K657" s="158"/>
      <c r="L657" s="158"/>
      <c r="M657" s="158"/>
      <c r="N657" s="158"/>
    </row>
    <row r="658">
      <c r="B658" s="158"/>
      <c r="C658" s="158"/>
      <c r="D658" s="158"/>
      <c r="E658" s="158"/>
      <c r="F658" s="160"/>
      <c r="G658" s="158"/>
      <c r="H658" s="158"/>
      <c r="I658" s="158"/>
      <c r="J658" s="158"/>
      <c r="K658" s="158"/>
      <c r="L658" s="158"/>
      <c r="M658" s="158"/>
      <c r="N658" s="158"/>
    </row>
    <row r="659">
      <c r="B659" s="158"/>
      <c r="C659" s="158"/>
      <c r="D659" s="158"/>
      <c r="E659" s="158"/>
      <c r="F659" s="160"/>
      <c r="G659" s="158"/>
      <c r="H659" s="158"/>
      <c r="I659" s="158"/>
      <c r="J659" s="158"/>
      <c r="K659" s="158"/>
      <c r="L659" s="158"/>
      <c r="M659" s="158"/>
      <c r="N659" s="158"/>
    </row>
    <row r="660">
      <c r="B660" s="158"/>
      <c r="C660" s="158"/>
      <c r="D660" s="158"/>
      <c r="E660" s="158"/>
      <c r="F660" s="160"/>
      <c r="G660" s="158"/>
      <c r="H660" s="158"/>
      <c r="I660" s="158"/>
      <c r="J660" s="158"/>
      <c r="K660" s="158"/>
      <c r="L660" s="158"/>
      <c r="M660" s="158"/>
      <c r="N660" s="158"/>
    </row>
    <row r="661">
      <c r="B661" s="158"/>
      <c r="C661" s="158"/>
      <c r="D661" s="158"/>
      <c r="E661" s="158"/>
      <c r="F661" s="160"/>
      <c r="G661" s="158"/>
      <c r="H661" s="158"/>
      <c r="I661" s="158"/>
      <c r="J661" s="158"/>
      <c r="K661" s="158"/>
      <c r="L661" s="158"/>
      <c r="M661" s="158"/>
      <c r="N661" s="158"/>
    </row>
    <row r="662">
      <c r="B662" s="158"/>
      <c r="C662" s="158"/>
      <c r="D662" s="158"/>
      <c r="E662" s="158"/>
      <c r="F662" s="160"/>
      <c r="G662" s="158"/>
      <c r="H662" s="158"/>
      <c r="I662" s="158"/>
      <c r="J662" s="158"/>
      <c r="K662" s="158"/>
      <c r="L662" s="158"/>
      <c r="M662" s="158"/>
      <c r="N662" s="158"/>
    </row>
    <row r="663">
      <c r="B663" s="158"/>
      <c r="C663" s="158"/>
      <c r="D663" s="158"/>
      <c r="E663" s="158"/>
      <c r="F663" s="160"/>
      <c r="G663" s="158"/>
      <c r="H663" s="158"/>
      <c r="I663" s="158"/>
      <c r="J663" s="158"/>
      <c r="K663" s="158"/>
      <c r="L663" s="158"/>
      <c r="M663" s="158"/>
      <c r="N663" s="158"/>
    </row>
    <row r="664">
      <c r="B664" s="158"/>
      <c r="C664" s="158"/>
      <c r="D664" s="158"/>
      <c r="E664" s="158"/>
      <c r="F664" s="160"/>
      <c r="G664" s="158"/>
      <c r="H664" s="158"/>
      <c r="I664" s="158"/>
      <c r="J664" s="158"/>
      <c r="K664" s="158"/>
      <c r="L664" s="158"/>
      <c r="M664" s="158"/>
      <c r="N664" s="158"/>
    </row>
    <row r="665">
      <c r="B665" s="158"/>
      <c r="C665" s="158"/>
      <c r="D665" s="158"/>
      <c r="E665" s="158"/>
      <c r="F665" s="160"/>
      <c r="G665" s="158"/>
      <c r="H665" s="158"/>
      <c r="I665" s="158"/>
      <c r="J665" s="158"/>
      <c r="K665" s="158"/>
      <c r="L665" s="158"/>
      <c r="M665" s="158"/>
      <c r="N665" s="158"/>
    </row>
    <row r="666">
      <c r="B666" s="158"/>
      <c r="C666" s="158"/>
      <c r="D666" s="158"/>
      <c r="E666" s="158"/>
      <c r="F666" s="160"/>
      <c r="G666" s="158"/>
      <c r="H666" s="158"/>
      <c r="I666" s="158"/>
      <c r="J666" s="158"/>
      <c r="K666" s="158"/>
      <c r="L666" s="158"/>
      <c r="M666" s="158"/>
      <c r="N666" s="158"/>
    </row>
    <row r="667">
      <c r="B667" s="158"/>
      <c r="C667" s="158"/>
      <c r="D667" s="158"/>
      <c r="E667" s="158"/>
      <c r="F667" s="160"/>
      <c r="G667" s="158"/>
      <c r="H667" s="158"/>
      <c r="I667" s="158"/>
      <c r="J667" s="158"/>
      <c r="K667" s="158"/>
      <c r="L667" s="158"/>
      <c r="M667" s="158"/>
      <c r="N667" s="158"/>
    </row>
    <row r="668">
      <c r="B668" s="158"/>
      <c r="C668" s="158"/>
      <c r="D668" s="158"/>
      <c r="E668" s="158"/>
      <c r="F668" s="160"/>
      <c r="G668" s="158"/>
      <c r="H668" s="158"/>
      <c r="I668" s="158"/>
      <c r="J668" s="158"/>
      <c r="K668" s="158"/>
      <c r="L668" s="158"/>
      <c r="M668" s="158"/>
      <c r="N668" s="158"/>
    </row>
    <row r="669">
      <c r="B669" s="158"/>
      <c r="C669" s="158"/>
      <c r="D669" s="158"/>
      <c r="E669" s="158"/>
      <c r="F669" s="160"/>
      <c r="G669" s="158"/>
      <c r="H669" s="158"/>
      <c r="I669" s="158"/>
      <c r="J669" s="158"/>
      <c r="K669" s="158"/>
      <c r="L669" s="158"/>
      <c r="M669" s="158"/>
      <c r="N669" s="158"/>
    </row>
    <row r="670">
      <c r="B670" s="158"/>
      <c r="C670" s="158"/>
      <c r="D670" s="158"/>
      <c r="E670" s="158"/>
      <c r="F670" s="160"/>
      <c r="G670" s="158"/>
      <c r="H670" s="158"/>
      <c r="I670" s="158"/>
      <c r="J670" s="158"/>
      <c r="K670" s="158"/>
      <c r="L670" s="158"/>
      <c r="M670" s="158"/>
      <c r="N670" s="158"/>
    </row>
    <row r="671">
      <c r="B671" s="158"/>
      <c r="C671" s="158"/>
      <c r="D671" s="158"/>
      <c r="E671" s="158"/>
      <c r="F671" s="160"/>
      <c r="G671" s="158"/>
      <c r="H671" s="158"/>
      <c r="I671" s="158"/>
      <c r="J671" s="158"/>
      <c r="K671" s="158"/>
      <c r="L671" s="158"/>
      <c r="M671" s="158"/>
      <c r="N671" s="158"/>
    </row>
    <row r="672">
      <c r="B672" s="158"/>
      <c r="C672" s="158"/>
      <c r="D672" s="158"/>
      <c r="E672" s="158"/>
      <c r="F672" s="160"/>
      <c r="G672" s="158"/>
      <c r="H672" s="158"/>
      <c r="I672" s="158"/>
      <c r="J672" s="158"/>
      <c r="K672" s="158"/>
      <c r="L672" s="158"/>
      <c r="M672" s="158"/>
      <c r="N672" s="158"/>
    </row>
    <row r="673">
      <c r="B673" s="158"/>
      <c r="C673" s="158"/>
      <c r="D673" s="158"/>
      <c r="E673" s="158"/>
      <c r="F673" s="160"/>
      <c r="G673" s="158"/>
      <c r="H673" s="158"/>
      <c r="I673" s="158"/>
      <c r="J673" s="158"/>
      <c r="K673" s="158"/>
      <c r="L673" s="158"/>
      <c r="M673" s="158"/>
      <c r="N673" s="158"/>
    </row>
    <row r="674">
      <c r="B674" s="158"/>
      <c r="C674" s="158"/>
      <c r="D674" s="158"/>
      <c r="E674" s="158"/>
      <c r="F674" s="160"/>
      <c r="G674" s="158"/>
      <c r="H674" s="158"/>
      <c r="I674" s="158"/>
      <c r="J674" s="158"/>
      <c r="K674" s="158"/>
      <c r="L674" s="158"/>
      <c r="M674" s="158"/>
      <c r="N674" s="158"/>
    </row>
    <row r="675">
      <c r="B675" s="158"/>
      <c r="C675" s="158"/>
      <c r="D675" s="158"/>
      <c r="E675" s="158"/>
      <c r="F675" s="160"/>
      <c r="G675" s="158"/>
      <c r="H675" s="158"/>
      <c r="I675" s="158"/>
      <c r="J675" s="158"/>
      <c r="K675" s="158"/>
      <c r="L675" s="158"/>
      <c r="M675" s="158"/>
      <c r="N675" s="158"/>
    </row>
    <row r="676">
      <c r="B676" s="158"/>
      <c r="C676" s="158"/>
      <c r="D676" s="158"/>
      <c r="E676" s="158"/>
      <c r="F676" s="160"/>
      <c r="G676" s="158"/>
      <c r="H676" s="158"/>
      <c r="I676" s="158"/>
      <c r="J676" s="158"/>
      <c r="K676" s="158"/>
      <c r="L676" s="158"/>
      <c r="M676" s="158"/>
      <c r="N676" s="158"/>
    </row>
    <row r="677">
      <c r="B677" s="158"/>
      <c r="C677" s="158"/>
      <c r="D677" s="158"/>
      <c r="E677" s="158"/>
      <c r="F677" s="160"/>
      <c r="G677" s="158"/>
      <c r="H677" s="158"/>
      <c r="I677" s="158"/>
      <c r="J677" s="158"/>
      <c r="K677" s="158"/>
      <c r="L677" s="158"/>
      <c r="M677" s="158"/>
      <c r="N677" s="158"/>
    </row>
    <row r="678">
      <c r="B678" s="158"/>
      <c r="C678" s="158"/>
      <c r="D678" s="158"/>
      <c r="E678" s="158"/>
      <c r="F678" s="160"/>
      <c r="G678" s="158"/>
      <c r="H678" s="158"/>
      <c r="I678" s="158"/>
      <c r="J678" s="158"/>
      <c r="K678" s="158"/>
      <c r="L678" s="158"/>
      <c r="M678" s="158"/>
      <c r="N678" s="158"/>
    </row>
    <row r="679">
      <c r="B679" s="158"/>
      <c r="C679" s="158"/>
      <c r="D679" s="158"/>
      <c r="E679" s="158"/>
      <c r="F679" s="160"/>
      <c r="G679" s="158"/>
      <c r="H679" s="158"/>
      <c r="I679" s="158"/>
      <c r="J679" s="158"/>
      <c r="K679" s="158"/>
      <c r="L679" s="158"/>
      <c r="M679" s="158"/>
      <c r="N679" s="158"/>
    </row>
    <row r="680">
      <c r="B680" s="158"/>
      <c r="C680" s="158"/>
      <c r="D680" s="158"/>
      <c r="E680" s="158"/>
      <c r="F680" s="160"/>
      <c r="G680" s="158"/>
      <c r="H680" s="158"/>
      <c r="I680" s="158"/>
      <c r="J680" s="158"/>
      <c r="K680" s="158"/>
      <c r="L680" s="158"/>
      <c r="M680" s="158"/>
      <c r="N680" s="158"/>
    </row>
    <row r="681">
      <c r="B681" s="158"/>
      <c r="C681" s="158"/>
      <c r="D681" s="158"/>
      <c r="E681" s="158"/>
      <c r="F681" s="160"/>
      <c r="G681" s="158"/>
      <c r="H681" s="158"/>
      <c r="I681" s="158"/>
      <c r="J681" s="158"/>
      <c r="K681" s="158"/>
      <c r="L681" s="158"/>
      <c r="M681" s="158"/>
      <c r="N681" s="158"/>
    </row>
    <row r="682">
      <c r="B682" s="158"/>
      <c r="C682" s="158"/>
      <c r="D682" s="158"/>
      <c r="E682" s="158"/>
      <c r="F682" s="160"/>
      <c r="G682" s="158"/>
      <c r="H682" s="158"/>
      <c r="I682" s="158"/>
      <c r="J682" s="158"/>
      <c r="K682" s="158"/>
      <c r="L682" s="158"/>
      <c r="M682" s="158"/>
      <c r="N682" s="158"/>
    </row>
    <row r="683">
      <c r="B683" s="158"/>
      <c r="C683" s="158"/>
      <c r="D683" s="158"/>
      <c r="E683" s="158"/>
      <c r="F683" s="160"/>
      <c r="G683" s="158"/>
      <c r="H683" s="158"/>
      <c r="I683" s="158"/>
      <c r="J683" s="158"/>
      <c r="K683" s="158"/>
      <c r="L683" s="158"/>
      <c r="M683" s="158"/>
      <c r="N683" s="158"/>
    </row>
    <row r="684">
      <c r="B684" s="158"/>
      <c r="C684" s="158"/>
      <c r="D684" s="158"/>
      <c r="E684" s="158"/>
      <c r="F684" s="160"/>
      <c r="G684" s="158"/>
      <c r="H684" s="158"/>
      <c r="I684" s="158"/>
      <c r="J684" s="158"/>
      <c r="K684" s="158"/>
      <c r="L684" s="158"/>
      <c r="M684" s="158"/>
      <c r="N684" s="158"/>
    </row>
    <row r="685">
      <c r="B685" s="158"/>
      <c r="C685" s="158"/>
      <c r="D685" s="158"/>
      <c r="E685" s="158"/>
      <c r="F685" s="160"/>
      <c r="G685" s="158"/>
      <c r="H685" s="158"/>
      <c r="I685" s="158"/>
      <c r="J685" s="158"/>
      <c r="K685" s="158"/>
      <c r="L685" s="158"/>
      <c r="M685" s="158"/>
      <c r="N685" s="158"/>
    </row>
    <row r="686">
      <c r="B686" s="158"/>
      <c r="C686" s="158"/>
      <c r="D686" s="158"/>
      <c r="E686" s="158"/>
      <c r="F686" s="160"/>
      <c r="G686" s="158"/>
      <c r="H686" s="158"/>
      <c r="I686" s="158"/>
      <c r="J686" s="158"/>
      <c r="K686" s="158"/>
      <c r="L686" s="158"/>
      <c r="M686" s="158"/>
      <c r="N686" s="158"/>
    </row>
    <row r="687">
      <c r="B687" s="158"/>
      <c r="C687" s="158"/>
      <c r="D687" s="158"/>
      <c r="E687" s="158"/>
      <c r="F687" s="160"/>
      <c r="G687" s="158"/>
      <c r="H687" s="158"/>
      <c r="I687" s="158"/>
      <c r="J687" s="158"/>
      <c r="K687" s="158"/>
      <c r="L687" s="158"/>
      <c r="M687" s="158"/>
      <c r="N687" s="158"/>
    </row>
    <row r="688">
      <c r="B688" s="158"/>
      <c r="C688" s="158"/>
      <c r="D688" s="158"/>
      <c r="E688" s="158"/>
      <c r="F688" s="160"/>
      <c r="G688" s="158"/>
      <c r="H688" s="158"/>
      <c r="I688" s="158"/>
      <c r="J688" s="158"/>
      <c r="K688" s="158"/>
      <c r="L688" s="158"/>
      <c r="M688" s="158"/>
      <c r="N688" s="158"/>
    </row>
    <row r="689">
      <c r="B689" s="158"/>
      <c r="C689" s="158"/>
      <c r="D689" s="158"/>
      <c r="E689" s="158"/>
      <c r="F689" s="160"/>
      <c r="G689" s="158"/>
      <c r="H689" s="158"/>
      <c r="I689" s="158"/>
      <c r="J689" s="158"/>
      <c r="K689" s="158"/>
      <c r="L689" s="158"/>
      <c r="M689" s="158"/>
      <c r="N689" s="158"/>
    </row>
    <row r="690">
      <c r="B690" s="158"/>
      <c r="C690" s="158"/>
      <c r="D690" s="158"/>
      <c r="E690" s="158"/>
      <c r="F690" s="160"/>
      <c r="G690" s="158"/>
      <c r="H690" s="158"/>
      <c r="I690" s="158"/>
      <c r="J690" s="158"/>
      <c r="K690" s="158"/>
      <c r="L690" s="158"/>
      <c r="M690" s="158"/>
      <c r="N690" s="158"/>
    </row>
    <row r="691">
      <c r="B691" s="158"/>
      <c r="C691" s="158"/>
      <c r="D691" s="158"/>
      <c r="E691" s="158"/>
      <c r="F691" s="160"/>
      <c r="G691" s="158"/>
      <c r="H691" s="158"/>
      <c r="I691" s="158"/>
      <c r="J691" s="158"/>
      <c r="K691" s="158"/>
      <c r="L691" s="158"/>
      <c r="M691" s="158"/>
      <c r="N691" s="158"/>
    </row>
    <row r="692">
      <c r="B692" s="158"/>
      <c r="C692" s="158"/>
      <c r="D692" s="158"/>
      <c r="E692" s="158"/>
      <c r="F692" s="160"/>
      <c r="G692" s="158"/>
      <c r="H692" s="158"/>
      <c r="I692" s="158"/>
      <c r="J692" s="158"/>
      <c r="K692" s="158"/>
      <c r="L692" s="158"/>
      <c r="M692" s="158"/>
      <c r="N692" s="158"/>
    </row>
    <row r="693">
      <c r="B693" s="158"/>
      <c r="C693" s="158"/>
      <c r="D693" s="158"/>
      <c r="E693" s="158"/>
      <c r="F693" s="160"/>
      <c r="G693" s="158"/>
      <c r="H693" s="158"/>
      <c r="I693" s="158"/>
      <c r="J693" s="158"/>
      <c r="K693" s="158"/>
      <c r="L693" s="158"/>
      <c r="M693" s="158"/>
      <c r="N693" s="158"/>
    </row>
    <row r="694">
      <c r="B694" s="158"/>
      <c r="C694" s="158"/>
      <c r="D694" s="158"/>
      <c r="E694" s="158"/>
      <c r="F694" s="160"/>
      <c r="G694" s="158"/>
      <c r="H694" s="158"/>
      <c r="I694" s="158"/>
      <c r="J694" s="158"/>
      <c r="K694" s="158"/>
      <c r="L694" s="158"/>
      <c r="M694" s="158"/>
      <c r="N694" s="158"/>
    </row>
    <row r="695">
      <c r="B695" s="158"/>
      <c r="C695" s="158"/>
      <c r="D695" s="158"/>
      <c r="E695" s="158"/>
      <c r="F695" s="160"/>
      <c r="G695" s="158"/>
      <c r="H695" s="158"/>
      <c r="I695" s="158"/>
      <c r="J695" s="158"/>
      <c r="K695" s="158"/>
      <c r="L695" s="158"/>
      <c r="M695" s="158"/>
      <c r="N695" s="158"/>
    </row>
    <row r="696">
      <c r="B696" s="158"/>
      <c r="C696" s="158"/>
      <c r="D696" s="158"/>
      <c r="E696" s="158"/>
      <c r="F696" s="160"/>
      <c r="G696" s="158"/>
      <c r="H696" s="158"/>
      <c r="I696" s="158"/>
      <c r="J696" s="158"/>
      <c r="K696" s="158"/>
      <c r="L696" s="158"/>
      <c r="M696" s="158"/>
      <c r="N696" s="158"/>
    </row>
    <row r="697">
      <c r="B697" s="158"/>
      <c r="C697" s="158"/>
      <c r="D697" s="158"/>
      <c r="E697" s="158"/>
      <c r="F697" s="160"/>
      <c r="G697" s="158"/>
      <c r="H697" s="158"/>
      <c r="I697" s="158"/>
      <c r="J697" s="158"/>
      <c r="K697" s="158"/>
      <c r="L697" s="158"/>
      <c r="M697" s="158"/>
      <c r="N697" s="158"/>
    </row>
    <row r="698">
      <c r="B698" s="158"/>
      <c r="C698" s="158"/>
      <c r="D698" s="158"/>
      <c r="E698" s="158"/>
      <c r="F698" s="160"/>
      <c r="G698" s="158"/>
      <c r="H698" s="158"/>
      <c r="I698" s="158"/>
      <c r="J698" s="158"/>
      <c r="K698" s="158"/>
      <c r="L698" s="158"/>
      <c r="M698" s="158"/>
      <c r="N698" s="158"/>
    </row>
    <row r="699">
      <c r="B699" s="158"/>
      <c r="C699" s="158"/>
      <c r="D699" s="158"/>
      <c r="E699" s="158"/>
      <c r="F699" s="160"/>
      <c r="G699" s="158"/>
      <c r="H699" s="158"/>
      <c r="I699" s="158"/>
      <c r="J699" s="158"/>
      <c r="K699" s="158"/>
      <c r="L699" s="158"/>
      <c r="M699" s="158"/>
      <c r="N699" s="158"/>
    </row>
    <row r="700">
      <c r="B700" s="158"/>
      <c r="C700" s="158"/>
      <c r="D700" s="158"/>
      <c r="E700" s="158"/>
      <c r="F700" s="160"/>
      <c r="G700" s="158"/>
      <c r="H700" s="158"/>
      <c r="I700" s="158"/>
      <c r="J700" s="158"/>
      <c r="K700" s="158"/>
      <c r="L700" s="158"/>
      <c r="M700" s="158"/>
      <c r="N700" s="158"/>
    </row>
    <row r="701">
      <c r="B701" s="158"/>
      <c r="C701" s="158"/>
      <c r="D701" s="158"/>
      <c r="E701" s="158"/>
      <c r="F701" s="160"/>
      <c r="G701" s="158"/>
      <c r="H701" s="158"/>
      <c r="I701" s="158"/>
      <c r="J701" s="158"/>
      <c r="K701" s="158"/>
      <c r="L701" s="158"/>
      <c r="M701" s="158"/>
      <c r="N701" s="158"/>
    </row>
    <row r="702">
      <c r="B702" s="158"/>
      <c r="C702" s="158"/>
      <c r="D702" s="158"/>
      <c r="E702" s="158"/>
      <c r="F702" s="160"/>
      <c r="G702" s="158"/>
      <c r="H702" s="158"/>
      <c r="I702" s="158"/>
      <c r="J702" s="158"/>
      <c r="K702" s="158"/>
      <c r="L702" s="158"/>
      <c r="M702" s="158"/>
      <c r="N702" s="158"/>
    </row>
    <row r="703">
      <c r="B703" s="158"/>
      <c r="C703" s="158"/>
      <c r="D703" s="158"/>
      <c r="E703" s="158"/>
      <c r="F703" s="160"/>
      <c r="G703" s="158"/>
      <c r="H703" s="158"/>
      <c r="I703" s="158"/>
      <c r="J703" s="158"/>
      <c r="K703" s="158"/>
      <c r="L703" s="158"/>
      <c r="M703" s="158"/>
      <c r="N703" s="158"/>
    </row>
    <row r="704">
      <c r="B704" s="158"/>
      <c r="C704" s="158"/>
      <c r="D704" s="158"/>
      <c r="E704" s="158"/>
      <c r="F704" s="160"/>
      <c r="G704" s="158"/>
      <c r="H704" s="158"/>
      <c r="I704" s="158"/>
      <c r="J704" s="158"/>
      <c r="K704" s="158"/>
      <c r="L704" s="158"/>
      <c r="M704" s="158"/>
      <c r="N704" s="158"/>
    </row>
    <row r="705">
      <c r="B705" s="158"/>
      <c r="C705" s="158"/>
      <c r="D705" s="158"/>
      <c r="E705" s="158"/>
      <c r="F705" s="160"/>
      <c r="G705" s="158"/>
      <c r="H705" s="158"/>
      <c r="I705" s="158"/>
      <c r="J705" s="158"/>
      <c r="K705" s="158"/>
      <c r="L705" s="158"/>
      <c r="M705" s="158"/>
      <c r="N705" s="158"/>
    </row>
    <row r="706">
      <c r="B706" s="158"/>
      <c r="C706" s="158"/>
      <c r="D706" s="158"/>
      <c r="E706" s="158"/>
      <c r="F706" s="160"/>
      <c r="G706" s="158"/>
      <c r="H706" s="158"/>
      <c r="I706" s="158"/>
      <c r="J706" s="158"/>
      <c r="K706" s="158"/>
      <c r="L706" s="158"/>
      <c r="M706" s="158"/>
      <c r="N706" s="158"/>
    </row>
    <row r="707">
      <c r="B707" s="158"/>
      <c r="C707" s="158"/>
      <c r="D707" s="158"/>
      <c r="E707" s="158"/>
      <c r="F707" s="160"/>
      <c r="G707" s="158"/>
      <c r="H707" s="158"/>
      <c r="I707" s="158"/>
      <c r="J707" s="158"/>
      <c r="K707" s="158"/>
      <c r="L707" s="158"/>
      <c r="M707" s="158"/>
      <c r="N707" s="158"/>
    </row>
    <row r="708">
      <c r="B708" s="158"/>
      <c r="C708" s="158"/>
      <c r="D708" s="158"/>
      <c r="E708" s="158"/>
      <c r="F708" s="160"/>
      <c r="G708" s="158"/>
      <c r="H708" s="158"/>
      <c r="I708" s="158"/>
      <c r="J708" s="158"/>
      <c r="K708" s="158"/>
      <c r="L708" s="158"/>
      <c r="M708" s="158"/>
      <c r="N708" s="158"/>
    </row>
    <row r="709">
      <c r="B709" s="158"/>
      <c r="C709" s="158"/>
      <c r="D709" s="158"/>
      <c r="E709" s="158"/>
      <c r="F709" s="160"/>
      <c r="G709" s="158"/>
      <c r="H709" s="158"/>
      <c r="I709" s="158"/>
      <c r="J709" s="158"/>
      <c r="K709" s="158"/>
      <c r="L709" s="158"/>
      <c r="M709" s="158"/>
      <c r="N709" s="158"/>
    </row>
    <row r="710">
      <c r="B710" s="158"/>
      <c r="C710" s="158"/>
      <c r="D710" s="158"/>
      <c r="E710" s="158"/>
      <c r="F710" s="160"/>
      <c r="G710" s="158"/>
      <c r="H710" s="158"/>
      <c r="I710" s="158"/>
      <c r="J710" s="158"/>
      <c r="K710" s="158"/>
      <c r="L710" s="158"/>
      <c r="M710" s="158"/>
      <c r="N710" s="158"/>
    </row>
    <row r="711">
      <c r="B711" s="158"/>
      <c r="C711" s="158"/>
      <c r="D711" s="158"/>
      <c r="E711" s="158"/>
      <c r="F711" s="160"/>
      <c r="G711" s="158"/>
      <c r="H711" s="158"/>
      <c r="I711" s="158"/>
      <c r="J711" s="158"/>
      <c r="K711" s="158"/>
      <c r="L711" s="158"/>
      <c r="M711" s="158"/>
      <c r="N711" s="158"/>
    </row>
    <row r="712">
      <c r="B712" s="158"/>
      <c r="C712" s="158"/>
      <c r="D712" s="158"/>
      <c r="E712" s="158"/>
      <c r="F712" s="160"/>
      <c r="G712" s="158"/>
      <c r="H712" s="158"/>
      <c r="I712" s="158"/>
      <c r="J712" s="158"/>
      <c r="K712" s="158"/>
      <c r="L712" s="158"/>
      <c r="M712" s="158"/>
      <c r="N712" s="158"/>
    </row>
    <row r="713">
      <c r="B713" s="158"/>
      <c r="C713" s="158"/>
      <c r="D713" s="158"/>
      <c r="E713" s="158"/>
      <c r="F713" s="160"/>
      <c r="G713" s="158"/>
      <c r="H713" s="158"/>
      <c r="I713" s="158"/>
      <c r="J713" s="158"/>
      <c r="K713" s="158"/>
      <c r="L713" s="158"/>
      <c r="M713" s="158"/>
      <c r="N713" s="158"/>
    </row>
    <row r="714">
      <c r="B714" s="158"/>
      <c r="C714" s="158"/>
      <c r="D714" s="158"/>
      <c r="E714" s="158"/>
      <c r="F714" s="160"/>
      <c r="G714" s="158"/>
      <c r="H714" s="158"/>
      <c r="I714" s="158"/>
      <c r="J714" s="158"/>
      <c r="K714" s="158"/>
      <c r="L714" s="158"/>
      <c r="M714" s="158"/>
      <c r="N714" s="158"/>
    </row>
    <row r="715">
      <c r="B715" s="158"/>
      <c r="C715" s="158"/>
      <c r="D715" s="158"/>
      <c r="E715" s="158"/>
      <c r="F715" s="160"/>
      <c r="G715" s="158"/>
      <c r="H715" s="158"/>
      <c r="I715" s="158"/>
      <c r="J715" s="158"/>
      <c r="K715" s="158"/>
      <c r="L715" s="158"/>
      <c r="M715" s="158"/>
      <c r="N715" s="158"/>
    </row>
    <row r="716">
      <c r="B716" s="158"/>
      <c r="C716" s="158"/>
      <c r="D716" s="158"/>
      <c r="E716" s="158"/>
      <c r="F716" s="160"/>
      <c r="G716" s="158"/>
      <c r="H716" s="158"/>
      <c r="I716" s="158"/>
      <c r="J716" s="158"/>
      <c r="K716" s="158"/>
      <c r="L716" s="158"/>
      <c r="M716" s="158"/>
      <c r="N716" s="158"/>
    </row>
    <row r="717">
      <c r="B717" s="158"/>
      <c r="C717" s="158"/>
      <c r="D717" s="158"/>
      <c r="E717" s="158"/>
      <c r="F717" s="160"/>
      <c r="G717" s="158"/>
      <c r="H717" s="158"/>
      <c r="I717" s="158"/>
      <c r="J717" s="158"/>
      <c r="K717" s="158"/>
      <c r="L717" s="158"/>
      <c r="M717" s="158"/>
      <c r="N717" s="158"/>
    </row>
    <row r="718">
      <c r="B718" s="158"/>
      <c r="C718" s="158"/>
      <c r="D718" s="158"/>
      <c r="E718" s="158"/>
      <c r="F718" s="160"/>
      <c r="G718" s="158"/>
      <c r="H718" s="158"/>
      <c r="I718" s="158"/>
      <c r="J718" s="158"/>
      <c r="K718" s="158"/>
      <c r="L718" s="158"/>
      <c r="M718" s="158"/>
      <c r="N718" s="158"/>
    </row>
    <row r="719">
      <c r="B719" s="158"/>
      <c r="C719" s="158"/>
      <c r="D719" s="158"/>
      <c r="E719" s="158"/>
      <c r="F719" s="160"/>
      <c r="G719" s="158"/>
      <c r="H719" s="158"/>
      <c r="I719" s="158"/>
      <c r="J719" s="158"/>
      <c r="K719" s="158"/>
      <c r="L719" s="158"/>
      <c r="M719" s="158"/>
      <c r="N719" s="158"/>
    </row>
    <row r="720">
      <c r="B720" s="158"/>
      <c r="C720" s="158"/>
      <c r="D720" s="158"/>
      <c r="E720" s="158"/>
      <c r="F720" s="160"/>
      <c r="G720" s="158"/>
      <c r="H720" s="158"/>
      <c r="I720" s="158"/>
      <c r="J720" s="158"/>
      <c r="K720" s="158"/>
      <c r="L720" s="158"/>
      <c r="M720" s="158"/>
      <c r="N720" s="158"/>
    </row>
    <row r="721">
      <c r="B721" s="158"/>
      <c r="C721" s="158"/>
      <c r="D721" s="158"/>
      <c r="E721" s="158"/>
      <c r="F721" s="160"/>
      <c r="G721" s="158"/>
      <c r="H721" s="158"/>
      <c r="I721" s="158"/>
      <c r="J721" s="158"/>
      <c r="K721" s="158"/>
      <c r="L721" s="158"/>
      <c r="M721" s="158"/>
      <c r="N721" s="158"/>
    </row>
    <row r="722">
      <c r="B722" s="158"/>
      <c r="C722" s="158"/>
      <c r="D722" s="158"/>
      <c r="E722" s="158"/>
      <c r="F722" s="160"/>
      <c r="G722" s="158"/>
      <c r="H722" s="158"/>
      <c r="I722" s="158"/>
      <c r="J722" s="158"/>
      <c r="K722" s="158"/>
      <c r="L722" s="158"/>
      <c r="M722" s="158"/>
      <c r="N722" s="158"/>
    </row>
    <row r="723">
      <c r="B723" s="158"/>
      <c r="C723" s="158"/>
      <c r="D723" s="158"/>
      <c r="E723" s="158"/>
      <c r="F723" s="160"/>
      <c r="G723" s="158"/>
      <c r="H723" s="158"/>
      <c r="I723" s="158"/>
      <c r="J723" s="158"/>
      <c r="K723" s="158"/>
      <c r="L723" s="158"/>
      <c r="M723" s="158"/>
      <c r="N723" s="158"/>
    </row>
    <row r="724">
      <c r="B724" s="158"/>
      <c r="C724" s="158"/>
      <c r="D724" s="158"/>
      <c r="E724" s="158"/>
      <c r="F724" s="160"/>
      <c r="G724" s="158"/>
      <c r="H724" s="158"/>
      <c r="I724" s="158"/>
      <c r="J724" s="158"/>
      <c r="K724" s="158"/>
      <c r="L724" s="158"/>
      <c r="M724" s="158"/>
      <c r="N724" s="158"/>
    </row>
    <row r="725">
      <c r="B725" s="158"/>
      <c r="C725" s="158"/>
      <c r="D725" s="158"/>
      <c r="E725" s="158"/>
      <c r="F725" s="160"/>
      <c r="G725" s="158"/>
      <c r="H725" s="158"/>
      <c r="I725" s="158"/>
      <c r="J725" s="158"/>
      <c r="K725" s="158"/>
      <c r="L725" s="158"/>
      <c r="M725" s="158"/>
      <c r="N725" s="158"/>
    </row>
    <row r="726">
      <c r="B726" s="158"/>
      <c r="C726" s="158"/>
      <c r="D726" s="158"/>
      <c r="E726" s="158"/>
      <c r="F726" s="160"/>
      <c r="G726" s="158"/>
      <c r="H726" s="158"/>
      <c r="I726" s="158"/>
      <c r="J726" s="158"/>
      <c r="K726" s="158"/>
      <c r="L726" s="158"/>
      <c r="M726" s="158"/>
      <c r="N726" s="158"/>
    </row>
    <row r="727">
      <c r="B727" s="158"/>
      <c r="C727" s="158"/>
      <c r="D727" s="158"/>
      <c r="E727" s="158"/>
      <c r="F727" s="160"/>
      <c r="G727" s="158"/>
      <c r="H727" s="158"/>
      <c r="I727" s="158"/>
      <c r="J727" s="158"/>
      <c r="K727" s="158"/>
      <c r="L727" s="158"/>
      <c r="M727" s="158"/>
      <c r="N727" s="158"/>
    </row>
    <row r="728">
      <c r="B728" s="158"/>
      <c r="C728" s="158"/>
      <c r="D728" s="158"/>
      <c r="E728" s="158"/>
      <c r="F728" s="160"/>
      <c r="G728" s="158"/>
      <c r="H728" s="158"/>
      <c r="I728" s="158"/>
      <c r="J728" s="158"/>
      <c r="K728" s="158"/>
      <c r="L728" s="158"/>
      <c r="M728" s="158"/>
      <c r="N728" s="158"/>
    </row>
    <row r="729">
      <c r="B729" s="158"/>
      <c r="C729" s="158"/>
      <c r="D729" s="158"/>
      <c r="E729" s="158"/>
      <c r="F729" s="160"/>
      <c r="G729" s="158"/>
      <c r="H729" s="158"/>
      <c r="I729" s="158"/>
      <c r="J729" s="158"/>
      <c r="K729" s="158"/>
      <c r="L729" s="158"/>
      <c r="M729" s="158"/>
      <c r="N729" s="158"/>
    </row>
    <row r="730">
      <c r="B730" s="158"/>
      <c r="C730" s="158"/>
      <c r="D730" s="158"/>
      <c r="E730" s="158"/>
      <c r="F730" s="160"/>
      <c r="G730" s="158"/>
      <c r="H730" s="158"/>
      <c r="I730" s="158"/>
      <c r="J730" s="158"/>
      <c r="K730" s="158"/>
      <c r="L730" s="158"/>
      <c r="M730" s="158"/>
      <c r="N730" s="158"/>
    </row>
    <row r="731">
      <c r="B731" s="158"/>
      <c r="C731" s="158"/>
      <c r="D731" s="158"/>
      <c r="E731" s="158"/>
      <c r="F731" s="160"/>
      <c r="G731" s="158"/>
      <c r="H731" s="158"/>
      <c r="I731" s="158"/>
      <c r="J731" s="158"/>
      <c r="K731" s="158"/>
      <c r="L731" s="158"/>
      <c r="M731" s="158"/>
      <c r="N731" s="158"/>
    </row>
    <row r="732">
      <c r="B732" s="158"/>
      <c r="C732" s="158"/>
      <c r="D732" s="158"/>
      <c r="E732" s="158"/>
      <c r="F732" s="160"/>
      <c r="G732" s="158"/>
      <c r="H732" s="158"/>
      <c r="I732" s="158"/>
      <c r="J732" s="158"/>
      <c r="K732" s="158"/>
      <c r="L732" s="158"/>
      <c r="M732" s="158"/>
      <c r="N732" s="158"/>
    </row>
    <row r="733">
      <c r="B733" s="158"/>
      <c r="C733" s="158"/>
      <c r="D733" s="158"/>
      <c r="E733" s="158"/>
      <c r="F733" s="160"/>
      <c r="G733" s="158"/>
      <c r="H733" s="158"/>
      <c r="I733" s="158"/>
      <c r="J733" s="158"/>
      <c r="K733" s="158"/>
      <c r="L733" s="158"/>
      <c r="M733" s="158"/>
      <c r="N733" s="158"/>
    </row>
    <row r="734">
      <c r="B734" s="158"/>
      <c r="C734" s="158"/>
      <c r="D734" s="158"/>
      <c r="E734" s="158"/>
      <c r="F734" s="160"/>
      <c r="G734" s="158"/>
      <c r="H734" s="158"/>
      <c r="I734" s="158"/>
      <c r="J734" s="158"/>
      <c r="K734" s="158"/>
      <c r="L734" s="158"/>
      <c r="M734" s="158"/>
      <c r="N734" s="158"/>
    </row>
    <row r="735">
      <c r="B735" s="158"/>
      <c r="C735" s="158"/>
      <c r="D735" s="158"/>
      <c r="E735" s="158"/>
      <c r="F735" s="160"/>
      <c r="G735" s="158"/>
      <c r="H735" s="158"/>
      <c r="I735" s="158"/>
      <c r="J735" s="158"/>
      <c r="K735" s="158"/>
      <c r="L735" s="158"/>
      <c r="M735" s="158"/>
      <c r="N735" s="158"/>
    </row>
    <row r="736">
      <c r="B736" s="158"/>
      <c r="C736" s="158"/>
      <c r="D736" s="158"/>
      <c r="E736" s="158"/>
      <c r="F736" s="160"/>
      <c r="G736" s="158"/>
      <c r="H736" s="158"/>
      <c r="I736" s="158"/>
      <c r="J736" s="158"/>
      <c r="K736" s="158"/>
      <c r="L736" s="158"/>
      <c r="M736" s="158"/>
      <c r="N736" s="158"/>
    </row>
    <row r="737">
      <c r="B737" s="158"/>
      <c r="C737" s="158"/>
      <c r="D737" s="158"/>
      <c r="E737" s="158"/>
      <c r="F737" s="160"/>
      <c r="G737" s="158"/>
      <c r="H737" s="158"/>
      <c r="I737" s="158"/>
      <c r="J737" s="158"/>
      <c r="K737" s="158"/>
      <c r="L737" s="158"/>
      <c r="M737" s="158"/>
      <c r="N737" s="158"/>
    </row>
    <row r="738">
      <c r="B738" s="158"/>
      <c r="C738" s="158"/>
      <c r="D738" s="158"/>
      <c r="E738" s="158"/>
      <c r="F738" s="160"/>
      <c r="G738" s="158"/>
      <c r="H738" s="158"/>
      <c r="I738" s="158"/>
      <c r="J738" s="158"/>
      <c r="K738" s="158"/>
      <c r="L738" s="158"/>
      <c r="M738" s="158"/>
      <c r="N738" s="158"/>
    </row>
    <row r="739">
      <c r="B739" s="158"/>
      <c r="C739" s="158"/>
      <c r="D739" s="158"/>
      <c r="E739" s="158"/>
      <c r="F739" s="160"/>
      <c r="G739" s="158"/>
      <c r="H739" s="158"/>
      <c r="I739" s="158"/>
      <c r="J739" s="158"/>
      <c r="K739" s="158"/>
      <c r="L739" s="158"/>
      <c r="M739" s="158"/>
      <c r="N739" s="158"/>
    </row>
    <row r="740">
      <c r="B740" s="158"/>
      <c r="C740" s="158"/>
      <c r="D740" s="158"/>
      <c r="E740" s="158"/>
      <c r="F740" s="160"/>
      <c r="G740" s="158"/>
      <c r="H740" s="158"/>
      <c r="I740" s="158"/>
      <c r="J740" s="158"/>
      <c r="K740" s="158"/>
      <c r="L740" s="158"/>
      <c r="M740" s="158"/>
      <c r="N740" s="158"/>
    </row>
    <row r="741">
      <c r="B741" s="158"/>
      <c r="C741" s="158"/>
      <c r="D741" s="158"/>
      <c r="E741" s="158"/>
      <c r="F741" s="160"/>
      <c r="G741" s="158"/>
      <c r="H741" s="158"/>
      <c r="I741" s="158"/>
      <c r="J741" s="158"/>
      <c r="K741" s="158"/>
      <c r="L741" s="158"/>
      <c r="M741" s="158"/>
      <c r="N741" s="158"/>
    </row>
    <row r="742">
      <c r="B742" s="158"/>
      <c r="C742" s="158"/>
      <c r="D742" s="158"/>
      <c r="E742" s="158"/>
      <c r="F742" s="160"/>
      <c r="G742" s="158"/>
      <c r="H742" s="158"/>
      <c r="I742" s="158"/>
      <c r="J742" s="158"/>
      <c r="K742" s="158"/>
      <c r="L742" s="158"/>
      <c r="M742" s="158"/>
      <c r="N742" s="158"/>
    </row>
    <row r="743">
      <c r="B743" s="158"/>
      <c r="C743" s="158"/>
      <c r="D743" s="158"/>
      <c r="E743" s="158"/>
      <c r="F743" s="160"/>
      <c r="G743" s="158"/>
      <c r="H743" s="158"/>
      <c r="I743" s="158"/>
      <c r="J743" s="158"/>
      <c r="K743" s="158"/>
      <c r="L743" s="158"/>
      <c r="M743" s="158"/>
      <c r="N743" s="158"/>
    </row>
    <row r="744">
      <c r="B744" s="158"/>
      <c r="C744" s="158"/>
      <c r="D744" s="158"/>
      <c r="E744" s="158"/>
      <c r="F744" s="160"/>
      <c r="G744" s="158"/>
      <c r="H744" s="158"/>
      <c r="I744" s="158"/>
      <c r="J744" s="158"/>
      <c r="K744" s="158"/>
      <c r="L744" s="158"/>
      <c r="M744" s="158"/>
      <c r="N744" s="158"/>
    </row>
    <row r="745">
      <c r="B745" s="158"/>
      <c r="C745" s="158"/>
      <c r="D745" s="158"/>
      <c r="E745" s="158"/>
      <c r="F745" s="160"/>
      <c r="G745" s="158"/>
      <c r="H745" s="158"/>
      <c r="I745" s="158"/>
      <c r="J745" s="158"/>
      <c r="K745" s="158"/>
      <c r="L745" s="158"/>
      <c r="M745" s="158"/>
      <c r="N745" s="158"/>
    </row>
    <row r="746">
      <c r="B746" s="158"/>
      <c r="C746" s="158"/>
      <c r="D746" s="158"/>
      <c r="E746" s="158"/>
      <c r="F746" s="160"/>
      <c r="G746" s="158"/>
      <c r="H746" s="158"/>
      <c r="I746" s="158"/>
      <c r="J746" s="158"/>
      <c r="K746" s="158"/>
      <c r="L746" s="158"/>
      <c r="M746" s="158"/>
      <c r="N746" s="158"/>
    </row>
    <row r="747">
      <c r="B747" s="158"/>
      <c r="C747" s="158"/>
      <c r="D747" s="158"/>
      <c r="E747" s="158"/>
      <c r="F747" s="160"/>
      <c r="G747" s="158"/>
      <c r="H747" s="158"/>
      <c r="I747" s="158"/>
      <c r="J747" s="158"/>
      <c r="K747" s="158"/>
      <c r="L747" s="158"/>
      <c r="M747" s="158"/>
      <c r="N747" s="158"/>
    </row>
    <row r="748">
      <c r="B748" s="158"/>
      <c r="C748" s="158"/>
      <c r="D748" s="158"/>
      <c r="E748" s="158"/>
      <c r="F748" s="160"/>
      <c r="G748" s="158"/>
      <c r="H748" s="158"/>
      <c r="I748" s="158"/>
      <c r="J748" s="158"/>
      <c r="K748" s="158"/>
      <c r="L748" s="158"/>
      <c r="M748" s="158"/>
      <c r="N748" s="158"/>
    </row>
    <row r="749">
      <c r="B749" s="158"/>
      <c r="C749" s="158"/>
      <c r="D749" s="158"/>
      <c r="E749" s="158"/>
      <c r="F749" s="160"/>
      <c r="G749" s="158"/>
      <c r="H749" s="158"/>
      <c r="I749" s="158"/>
      <c r="J749" s="158"/>
      <c r="K749" s="158"/>
      <c r="L749" s="158"/>
      <c r="M749" s="158"/>
      <c r="N749" s="158"/>
    </row>
    <row r="750">
      <c r="B750" s="158"/>
      <c r="C750" s="158"/>
      <c r="D750" s="158"/>
      <c r="E750" s="158"/>
      <c r="F750" s="160"/>
      <c r="G750" s="158"/>
      <c r="H750" s="158"/>
      <c r="I750" s="158"/>
      <c r="J750" s="158"/>
      <c r="K750" s="158"/>
      <c r="L750" s="158"/>
      <c r="M750" s="158"/>
      <c r="N750" s="158"/>
    </row>
    <row r="751">
      <c r="B751" s="158"/>
      <c r="C751" s="158"/>
      <c r="D751" s="158"/>
      <c r="E751" s="158"/>
      <c r="F751" s="160"/>
      <c r="G751" s="158"/>
      <c r="H751" s="158"/>
      <c r="I751" s="158"/>
      <c r="J751" s="158"/>
      <c r="K751" s="158"/>
      <c r="L751" s="158"/>
      <c r="M751" s="158"/>
      <c r="N751" s="158"/>
    </row>
    <row r="752">
      <c r="B752" s="158"/>
      <c r="C752" s="158"/>
      <c r="D752" s="158"/>
      <c r="E752" s="158"/>
      <c r="F752" s="160"/>
      <c r="G752" s="158"/>
      <c r="H752" s="158"/>
      <c r="I752" s="158"/>
      <c r="J752" s="158"/>
      <c r="K752" s="158"/>
      <c r="L752" s="158"/>
      <c r="M752" s="158"/>
      <c r="N752" s="158"/>
    </row>
    <row r="753">
      <c r="B753" s="158"/>
      <c r="C753" s="158"/>
      <c r="D753" s="158"/>
      <c r="E753" s="158"/>
      <c r="F753" s="160"/>
      <c r="G753" s="158"/>
      <c r="H753" s="158"/>
      <c r="I753" s="158"/>
      <c r="J753" s="158"/>
      <c r="K753" s="158"/>
      <c r="L753" s="158"/>
      <c r="M753" s="158"/>
      <c r="N753" s="158"/>
    </row>
    <row r="754">
      <c r="B754" s="158"/>
      <c r="C754" s="158"/>
      <c r="D754" s="158"/>
      <c r="E754" s="158"/>
      <c r="F754" s="160"/>
      <c r="G754" s="158"/>
      <c r="H754" s="158"/>
      <c r="I754" s="158"/>
      <c r="J754" s="158"/>
      <c r="K754" s="158"/>
      <c r="L754" s="158"/>
      <c r="M754" s="158"/>
      <c r="N754" s="158"/>
    </row>
    <row r="755">
      <c r="B755" s="158"/>
      <c r="C755" s="158"/>
      <c r="D755" s="158"/>
      <c r="E755" s="158"/>
      <c r="F755" s="160"/>
      <c r="G755" s="158"/>
      <c r="H755" s="158"/>
      <c r="I755" s="158"/>
      <c r="J755" s="158"/>
      <c r="K755" s="158"/>
      <c r="L755" s="158"/>
      <c r="M755" s="158"/>
      <c r="N755" s="158"/>
    </row>
    <row r="756">
      <c r="B756" s="158"/>
      <c r="C756" s="158"/>
      <c r="D756" s="158"/>
      <c r="E756" s="158"/>
      <c r="F756" s="160"/>
      <c r="G756" s="158"/>
      <c r="H756" s="158"/>
      <c r="I756" s="158"/>
      <c r="J756" s="158"/>
      <c r="K756" s="158"/>
      <c r="L756" s="158"/>
      <c r="M756" s="158"/>
      <c r="N756" s="158"/>
    </row>
    <row r="757">
      <c r="B757" s="158"/>
      <c r="C757" s="158"/>
      <c r="D757" s="158"/>
      <c r="E757" s="158"/>
      <c r="F757" s="160"/>
      <c r="G757" s="158"/>
      <c r="H757" s="158"/>
      <c r="I757" s="158"/>
      <c r="J757" s="158"/>
      <c r="K757" s="158"/>
      <c r="L757" s="158"/>
      <c r="M757" s="158"/>
      <c r="N757" s="158"/>
    </row>
    <row r="758">
      <c r="B758" s="158"/>
      <c r="C758" s="158"/>
      <c r="D758" s="158"/>
      <c r="E758" s="158"/>
      <c r="F758" s="160"/>
      <c r="G758" s="158"/>
      <c r="H758" s="158"/>
      <c r="I758" s="158"/>
      <c r="J758" s="158"/>
      <c r="K758" s="158"/>
      <c r="L758" s="158"/>
      <c r="M758" s="158"/>
      <c r="N758" s="158"/>
    </row>
    <row r="759">
      <c r="B759" s="158"/>
      <c r="C759" s="158"/>
      <c r="D759" s="158"/>
      <c r="E759" s="158"/>
      <c r="F759" s="160"/>
      <c r="G759" s="158"/>
      <c r="H759" s="158"/>
      <c r="I759" s="158"/>
      <c r="J759" s="158"/>
      <c r="K759" s="158"/>
      <c r="L759" s="158"/>
      <c r="M759" s="158"/>
      <c r="N759" s="158"/>
    </row>
    <row r="760">
      <c r="B760" s="158"/>
      <c r="C760" s="158"/>
      <c r="D760" s="158"/>
      <c r="E760" s="158"/>
      <c r="F760" s="160"/>
      <c r="G760" s="158"/>
      <c r="H760" s="158"/>
      <c r="I760" s="158"/>
      <c r="J760" s="158"/>
      <c r="K760" s="158"/>
      <c r="L760" s="158"/>
      <c r="M760" s="158"/>
      <c r="N760" s="158"/>
    </row>
    <row r="761">
      <c r="B761" s="158"/>
      <c r="C761" s="158"/>
      <c r="D761" s="158"/>
      <c r="E761" s="158"/>
      <c r="F761" s="160"/>
      <c r="G761" s="158"/>
      <c r="H761" s="158"/>
      <c r="I761" s="158"/>
      <c r="J761" s="158"/>
      <c r="K761" s="158"/>
      <c r="L761" s="158"/>
      <c r="M761" s="158"/>
      <c r="N761" s="158"/>
    </row>
    <row r="762">
      <c r="B762" s="158"/>
      <c r="C762" s="158"/>
      <c r="D762" s="158"/>
      <c r="E762" s="158"/>
      <c r="F762" s="160"/>
      <c r="G762" s="158"/>
      <c r="H762" s="158"/>
      <c r="I762" s="158"/>
      <c r="J762" s="158"/>
      <c r="K762" s="158"/>
      <c r="L762" s="158"/>
      <c r="M762" s="158"/>
      <c r="N762" s="158"/>
    </row>
    <row r="763">
      <c r="B763" s="158"/>
      <c r="C763" s="158"/>
      <c r="D763" s="158"/>
      <c r="E763" s="158"/>
      <c r="F763" s="160"/>
      <c r="G763" s="158"/>
      <c r="H763" s="158"/>
      <c r="I763" s="158"/>
      <c r="J763" s="158"/>
      <c r="K763" s="158"/>
      <c r="L763" s="158"/>
      <c r="M763" s="158"/>
      <c r="N763" s="158"/>
    </row>
    <row r="764">
      <c r="B764" s="158"/>
      <c r="C764" s="158"/>
      <c r="D764" s="158"/>
      <c r="E764" s="158"/>
      <c r="F764" s="160"/>
      <c r="G764" s="158"/>
      <c r="H764" s="158"/>
      <c r="I764" s="158"/>
      <c r="J764" s="158"/>
      <c r="K764" s="158"/>
      <c r="L764" s="158"/>
      <c r="M764" s="158"/>
      <c r="N764" s="158"/>
    </row>
    <row r="765">
      <c r="B765" s="158"/>
      <c r="C765" s="158"/>
      <c r="D765" s="158"/>
      <c r="E765" s="158"/>
      <c r="F765" s="160"/>
      <c r="G765" s="158"/>
      <c r="H765" s="158"/>
      <c r="I765" s="158"/>
      <c r="J765" s="158"/>
      <c r="K765" s="158"/>
      <c r="L765" s="158"/>
      <c r="M765" s="158"/>
      <c r="N765" s="158"/>
    </row>
    <row r="766">
      <c r="B766" s="158"/>
      <c r="C766" s="158"/>
      <c r="D766" s="158"/>
      <c r="E766" s="158"/>
      <c r="F766" s="160"/>
      <c r="G766" s="158"/>
      <c r="H766" s="158"/>
      <c r="I766" s="158"/>
      <c r="J766" s="158"/>
      <c r="K766" s="158"/>
      <c r="L766" s="158"/>
      <c r="M766" s="158"/>
      <c r="N766" s="158"/>
    </row>
    <row r="767">
      <c r="B767" s="158"/>
      <c r="C767" s="158"/>
      <c r="D767" s="158"/>
      <c r="E767" s="158"/>
      <c r="F767" s="160"/>
      <c r="G767" s="158"/>
      <c r="H767" s="158"/>
      <c r="I767" s="158"/>
      <c r="J767" s="158"/>
      <c r="K767" s="158"/>
      <c r="L767" s="158"/>
      <c r="M767" s="158"/>
      <c r="N767" s="158"/>
    </row>
    <row r="768">
      <c r="B768" s="158"/>
      <c r="C768" s="158"/>
      <c r="D768" s="158"/>
      <c r="E768" s="158"/>
      <c r="F768" s="160"/>
      <c r="G768" s="158"/>
      <c r="H768" s="158"/>
      <c r="I768" s="158"/>
      <c r="J768" s="158"/>
      <c r="K768" s="158"/>
      <c r="L768" s="158"/>
      <c r="M768" s="158"/>
      <c r="N768" s="158"/>
    </row>
    <row r="769">
      <c r="B769" s="158"/>
      <c r="C769" s="158"/>
      <c r="D769" s="158"/>
      <c r="E769" s="158"/>
      <c r="F769" s="160"/>
      <c r="G769" s="158"/>
      <c r="H769" s="158"/>
      <c r="I769" s="158"/>
      <c r="J769" s="158"/>
      <c r="K769" s="158"/>
      <c r="L769" s="158"/>
      <c r="M769" s="158"/>
      <c r="N769" s="158"/>
    </row>
    <row r="770">
      <c r="B770" s="158"/>
      <c r="C770" s="158"/>
      <c r="D770" s="158"/>
      <c r="E770" s="158"/>
      <c r="F770" s="160"/>
      <c r="G770" s="158"/>
      <c r="H770" s="158"/>
      <c r="I770" s="158"/>
      <c r="J770" s="158"/>
      <c r="K770" s="158"/>
      <c r="L770" s="158"/>
      <c r="M770" s="158"/>
      <c r="N770" s="158"/>
    </row>
    <row r="771">
      <c r="B771" s="158"/>
      <c r="C771" s="158"/>
      <c r="D771" s="158"/>
      <c r="E771" s="158"/>
      <c r="F771" s="160"/>
      <c r="G771" s="158"/>
      <c r="H771" s="158"/>
      <c r="I771" s="158"/>
      <c r="J771" s="158"/>
      <c r="K771" s="158"/>
      <c r="L771" s="158"/>
      <c r="M771" s="158"/>
      <c r="N771" s="158"/>
    </row>
    <row r="772">
      <c r="B772" s="158"/>
      <c r="C772" s="158"/>
      <c r="D772" s="158"/>
      <c r="E772" s="158"/>
      <c r="F772" s="160"/>
      <c r="G772" s="158"/>
      <c r="H772" s="158"/>
      <c r="I772" s="158"/>
      <c r="J772" s="158"/>
      <c r="K772" s="158"/>
      <c r="L772" s="158"/>
      <c r="M772" s="158"/>
      <c r="N772" s="158"/>
    </row>
    <row r="773">
      <c r="B773" s="158"/>
      <c r="C773" s="158"/>
      <c r="D773" s="158"/>
      <c r="E773" s="158"/>
      <c r="F773" s="160"/>
      <c r="G773" s="158"/>
      <c r="H773" s="158"/>
      <c r="I773" s="158"/>
      <c r="J773" s="158"/>
      <c r="K773" s="158"/>
      <c r="L773" s="158"/>
      <c r="M773" s="158"/>
      <c r="N773" s="158"/>
    </row>
    <row r="774">
      <c r="B774" s="158"/>
      <c r="C774" s="158"/>
      <c r="D774" s="158"/>
      <c r="E774" s="158"/>
      <c r="F774" s="160"/>
      <c r="G774" s="158"/>
      <c r="H774" s="158"/>
      <c r="I774" s="158"/>
      <c r="J774" s="158"/>
      <c r="K774" s="158"/>
      <c r="L774" s="158"/>
      <c r="M774" s="158"/>
      <c r="N774" s="158"/>
    </row>
    <row r="775">
      <c r="B775" s="158"/>
      <c r="C775" s="158"/>
      <c r="D775" s="158"/>
      <c r="E775" s="158"/>
      <c r="F775" s="160"/>
      <c r="G775" s="158"/>
      <c r="H775" s="158"/>
      <c r="I775" s="158"/>
      <c r="J775" s="158"/>
      <c r="K775" s="158"/>
      <c r="L775" s="158"/>
      <c r="M775" s="158"/>
      <c r="N775" s="158"/>
    </row>
    <row r="776">
      <c r="B776" s="158"/>
      <c r="C776" s="158"/>
      <c r="D776" s="158"/>
      <c r="E776" s="158"/>
      <c r="F776" s="160"/>
      <c r="G776" s="158"/>
      <c r="H776" s="158"/>
      <c r="I776" s="158"/>
      <c r="J776" s="158"/>
      <c r="K776" s="158"/>
      <c r="L776" s="158"/>
      <c r="M776" s="158"/>
      <c r="N776" s="158"/>
    </row>
    <row r="777">
      <c r="B777" s="158"/>
      <c r="C777" s="158"/>
      <c r="D777" s="158"/>
      <c r="E777" s="158"/>
      <c r="F777" s="160"/>
      <c r="G777" s="158"/>
      <c r="H777" s="158"/>
      <c r="I777" s="158"/>
      <c r="J777" s="158"/>
      <c r="K777" s="158"/>
      <c r="L777" s="158"/>
      <c r="M777" s="158"/>
      <c r="N777" s="158"/>
    </row>
    <row r="778">
      <c r="B778" s="158"/>
      <c r="C778" s="158"/>
      <c r="D778" s="158"/>
      <c r="E778" s="158"/>
      <c r="F778" s="160"/>
      <c r="G778" s="158"/>
      <c r="H778" s="158"/>
      <c r="I778" s="158"/>
      <c r="J778" s="158"/>
      <c r="K778" s="158"/>
      <c r="L778" s="158"/>
      <c r="M778" s="158"/>
      <c r="N778" s="158"/>
    </row>
    <row r="779">
      <c r="B779" s="158"/>
      <c r="C779" s="158"/>
      <c r="D779" s="158"/>
      <c r="E779" s="158"/>
      <c r="F779" s="160"/>
      <c r="G779" s="158"/>
      <c r="H779" s="158"/>
      <c r="I779" s="158"/>
      <c r="J779" s="158"/>
      <c r="K779" s="158"/>
      <c r="L779" s="158"/>
      <c r="M779" s="158"/>
      <c r="N779" s="158"/>
    </row>
    <row r="780">
      <c r="B780" s="158"/>
      <c r="C780" s="158"/>
      <c r="D780" s="158"/>
      <c r="E780" s="158"/>
      <c r="F780" s="160"/>
      <c r="G780" s="158"/>
      <c r="H780" s="158"/>
      <c r="I780" s="158"/>
      <c r="J780" s="158"/>
      <c r="K780" s="158"/>
      <c r="L780" s="158"/>
      <c r="M780" s="158"/>
      <c r="N780" s="158"/>
    </row>
    <row r="781">
      <c r="B781" s="158"/>
      <c r="C781" s="158"/>
      <c r="D781" s="158"/>
      <c r="E781" s="158"/>
      <c r="F781" s="160"/>
      <c r="G781" s="158"/>
      <c r="H781" s="158"/>
      <c r="I781" s="158"/>
      <c r="J781" s="158"/>
      <c r="K781" s="158"/>
      <c r="L781" s="158"/>
      <c r="M781" s="158"/>
      <c r="N781" s="158"/>
    </row>
    <row r="782">
      <c r="B782" s="158"/>
      <c r="C782" s="158"/>
      <c r="D782" s="158"/>
      <c r="E782" s="158"/>
      <c r="F782" s="160"/>
      <c r="G782" s="158"/>
      <c r="H782" s="158"/>
      <c r="I782" s="158"/>
      <c r="J782" s="158"/>
      <c r="K782" s="158"/>
      <c r="L782" s="158"/>
      <c r="M782" s="158"/>
      <c r="N782" s="158"/>
    </row>
    <row r="783">
      <c r="B783" s="158"/>
      <c r="C783" s="158"/>
      <c r="D783" s="158"/>
      <c r="E783" s="158"/>
      <c r="F783" s="160"/>
      <c r="G783" s="158"/>
      <c r="H783" s="158"/>
      <c r="I783" s="158"/>
      <c r="J783" s="158"/>
      <c r="K783" s="158"/>
      <c r="L783" s="158"/>
      <c r="M783" s="158"/>
      <c r="N783" s="158"/>
    </row>
    <row r="784">
      <c r="B784" s="158"/>
      <c r="C784" s="158"/>
      <c r="D784" s="158"/>
      <c r="E784" s="158"/>
      <c r="F784" s="160"/>
      <c r="G784" s="158"/>
      <c r="H784" s="158"/>
      <c r="I784" s="158"/>
      <c r="J784" s="158"/>
      <c r="K784" s="158"/>
      <c r="L784" s="158"/>
      <c r="M784" s="158"/>
      <c r="N784" s="158"/>
    </row>
    <row r="785">
      <c r="B785" s="158"/>
      <c r="C785" s="158"/>
      <c r="D785" s="158"/>
      <c r="E785" s="158"/>
      <c r="F785" s="160"/>
      <c r="G785" s="158"/>
      <c r="H785" s="158"/>
      <c r="I785" s="158"/>
      <c r="J785" s="158"/>
      <c r="K785" s="158"/>
      <c r="L785" s="158"/>
      <c r="M785" s="158"/>
      <c r="N785" s="158"/>
    </row>
    <row r="786">
      <c r="B786" s="158"/>
      <c r="C786" s="158"/>
      <c r="D786" s="158"/>
      <c r="E786" s="158"/>
      <c r="F786" s="160"/>
      <c r="G786" s="158"/>
      <c r="H786" s="158"/>
      <c r="I786" s="158"/>
      <c r="J786" s="158"/>
      <c r="K786" s="158"/>
      <c r="L786" s="158"/>
      <c r="M786" s="158"/>
      <c r="N786" s="158"/>
    </row>
    <row r="787">
      <c r="B787" s="158"/>
      <c r="C787" s="158"/>
      <c r="D787" s="158"/>
      <c r="E787" s="158"/>
      <c r="F787" s="160"/>
      <c r="G787" s="158"/>
      <c r="H787" s="158"/>
      <c r="I787" s="158"/>
      <c r="J787" s="158"/>
      <c r="K787" s="158"/>
      <c r="L787" s="158"/>
      <c r="M787" s="158"/>
      <c r="N787" s="158"/>
    </row>
    <row r="788">
      <c r="B788" s="158"/>
      <c r="C788" s="158"/>
      <c r="D788" s="158"/>
      <c r="E788" s="158"/>
      <c r="F788" s="160"/>
      <c r="G788" s="158"/>
      <c r="H788" s="158"/>
      <c r="I788" s="158"/>
      <c r="J788" s="158"/>
      <c r="K788" s="158"/>
      <c r="L788" s="158"/>
      <c r="M788" s="158"/>
      <c r="N788" s="158"/>
    </row>
    <row r="789">
      <c r="B789" s="158"/>
      <c r="C789" s="158"/>
      <c r="D789" s="158"/>
      <c r="E789" s="158"/>
      <c r="F789" s="160"/>
      <c r="G789" s="158"/>
      <c r="H789" s="158"/>
      <c r="I789" s="158"/>
      <c r="J789" s="158"/>
      <c r="K789" s="158"/>
      <c r="L789" s="158"/>
      <c r="M789" s="158"/>
      <c r="N789" s="158"/>
    </row>
    <row r="790">
      <c r="B790" s="158"/>
      <c r="C790" s="158"/>
      <c r="D790" s="158"/>
      <c r="E790" s="158"/>
      <c r="F790" s="160"/>
      <c r="G790" s="158"/>
      <c r="H790" s="158"/>
      <c r="I790" s="158"/>
      <c r="J790" s="158"/>
      <c r="K790" s="158"/>
      <c r="L790" s="158"/>
      <c r="M790" s="158"/>
      <c r="N790" s="158"/>
    </row>
    <row r="791">
      <c r="B791" s="158"/>
      <c r="C791" s="158"/>
      <c r="D791" s="158"/>
      <c r="E791" s="158"/>
      <c r="F791" s="160"/>
      <c r="G791" s="158"/>
      <c r="H791" s="158"/>
      <c r="I791" s="158"/>
      <c r="J791" s="158"/>
      <c r="K791" s="158"/>
      <c r="L791" s="158"/>
      <c r="M791" s="158"/>
      <c r="N791" s="158"/>
    </row>
    <row r="792">
      <c r="B792" s="158"/>
      <c r="C792" s="158"/>
      <c r="D792" s="158"/>
      <c r="E792" s="158"/>
      <c r="F792" s="160"/>
      <c r="G792" s="158"/>
      <c r="H792" s="158"/>
      <c r="I792" s="158"/>
      <c r="J792" s="158"/>
      <c r="K792" s="158"/>
      <c r="L792" s="158"/>
      <c r="M792" s="158"/>
      <c r="N792" s="158"/>
    </row>
    <row r="793">
      <c r="B793" s="158"/>
      <c r="C793" s="158"/>
      <c r="D793" s="158"/>
      <c r="E793" s="158"/>
      <c r="F793" s="160"/>
      <c r="G793" s="158"/>
      <c r="H793" s="158"/>
      <c r="I793" s="158"/>
      <c r="J793" s="158"/>
      <c r="K793" s="158"/>
      <c r="L793" s="158"/>
      <c r="M793" s="158"/>
      <c r="N793" s="158"/>
    </row>
    <row r="794">
      <c r="B794" s="158"/>
      <c r="C794" s="158"/>
      <c r="D794" s="158"/>
      <c r="E794" s="158"/>
      <c r="F794" s="160"/>
      <c r="G794" s="158"/>
      <c r="H794" s="158"/>
      <c r="I794" s="158"/>
      <c r="J794" s="158"/>
      <c r="K794" s="158"/>
      <c r="L794" s="158"/>
      <c r="M794" s="158"/>
      <c r="N794" s="158"/>
    </row>
    <row r="795">
      <c r="B795" s="158"/>
      <c r="C795" s="158"/>
      <c r="D795" s="158"/>
      <c r="E795" s="158"/>
      <c r="F795" s="160"/>
      <c r="G795" s="158"/>
      <c r="H795" s="158"/>
      <c r="I795" s="158"/>
      <c r="J795" s="158"/>
      <c r="K795" s="158"/>
      <c r="L795" s="158"/>
      <c r="M795" s="158"/>
      <c r="N795" s="158"/>
    </row>
    <row r="796">
      <c r="B796" s="158"/>
      <c r="C796" s="158"/>
      <c r="D796" s="158"/>
      <c r="E796" s="158"/>
      <c r="F796" s="160"/>
      <c r="G796" s="158"/>
      <c r="H796" s="158"/>
      <c r="I796" s="158"/>
      <c r="J796" s="158"/>
      <c r="K796" s="158"/>
      <c r="L796" s="158"/>
      <c r="M796" s="158"/>
      <c r="N796" s="158"/>
    </row>
    <row r="797">
      <c r="B797" s="158"/>
      <c r="C797" s="158"/>
      <c r="D797" s="158"/>
      <c r="E797" s="158"/>
      <c r="F797" s="160"/>
      <c r="G797" s="158"/>
      <c r="H797" s="158"/>
      <c r="I797" s="158"/>
      <c r="J797" s="158"/>
      <c r="K797" s="158"/>
      <c r="L797" s="158"/>
      <c r="M797" s="158"/>
      <c r="N797" s="158"/>
    </row>
    <row r="798">
      <c r="B798" s="158"/>
      <c r="C798" s="158"/>
      <c r="D798" s="158"/>
      <c r="E798" s="158"/>
      <c r="F798" s="160"/>
      <c r="G798" s="158"/>
      <c r="H798" s="158"/>
      <c r="I798" s="158"/>
      <c r="J798" s="158"/>
      <c r="K798" s="158"/>
      <c r="L798" s="158"/>
      <c r="M798" s="158"/>
      <c r="N798" s="158"/>
    </row>
    <row r="799">
      <c r="B799" s="158"/>
      <c r="C799" s="158"/>
      <c r="D799" s="158"/>
      <c r="E799" s="158"/>
      <c r="F799" s="160"/>
      <c r="G799" s="158"/>
      <c r="H799" s="158"/>
      <c r="I799" s="158"/>
      <c r="J799" s="158"/>
      <c r="K799" s="158"/>
      <c r="L799" s="158"/>
      <c r="M799" s="158"/>
      <c r="N799" s="158"/>
    </row>
    <row r="800">
      <c r="B800" s="158"/>
      <c r="C800" s="158"/>
      <c r="D800" s="158"/>
      <c r="E800" s="158"/>
      <c r="F800" s="160"/>
      <c r="G800" s="158"/>
      <c r="H800" s="158"/>
      <c r="I800" s="158"/>
      <c r="J800" s="158"/>
      <c r="K800" s="158"/>
      <c r="L800" s="158"/>
      <c r="M800" s="158"/>
      <c r="N800" s="158"/>
    </row>
    <row r="801">
      <c r="B801" s="158"/>
      <c r="C801" s="158"/>
      <c r="D801" s="158"/>
      <c r="E801" s="158"/>
      <c r="F801" s="160"/>
      <c r="G801" s="158"/>
      <c r="H801" s="158"/>
      <c r="I801" s="158"/>
      <c r="J801" s="158"/>
      <c r="K801" s="158"/>
      <c r="L801" s="158"/>
      <c r="M801" s="158"/>
      <c r="N801" s="158"/>
    </row>
    <row r="802">
      <c r="B802" s="158"/>
      <c r="C802" s="158"/>
      <c r="D802" s="158"/>
      <c r="E802" s="158"/>
      <c r="F802" s="160"/>
      <c r="G802" s="158"/>
      <c r="H802" s="158"/>
      <c r="I802" s="158"/>
      <c r="J802" s="158"/>
      <c r="K802" s="158"/>
      <c r="L802" s="158"/>
      <c r="M802" s="158"/>
      <c r="N802" s="158"/>
    </row>
    <row r="803">
      <c r="B803" s="158"/>
      <c r="C803" s="158"/>
      <c r="D803" s="158"/>
      <c r="E803" s="158"/>
      <c r="F803" s="160"/>
      <c r="G803" s="158"/>
      <c r="H803" s="158"/>
      <c r="I803" s="158"/>
      <c r="J803" s="158"/>
      <c r="K803" s="158"/>
      <c r="L803" s="158"/>
      <c r="M803" s="158"/>
      <c r="N803" s="158"/>
    </row>
    <row r="804">
      <c r="B804" s="158"/>
      <c r="C804" s="158"/>
      <c r="D804" s="158"/>
      <c r="E804" s="158"/>
      <c r="F804" s="160"/>
      <c r="G804" s="158"/>
      <c r="H804" s="158"/>
      <c r="I804" s="158"/>
      <c r="J804" s="158"/>
      <c r="K804" s="158"/>
      <c r="L804" s="158"/>
      <c r="M804" s="158"/>
      <c r="N804" s="158"/>
    </row>
    <row r="805">
      <c r="B805" s="158"/>
      <c r="C805" s="158"/>
      <c r="D805" s="158"/>
      <c r="E805" s="158"/>
      <c r="F805" s="160"/>
      <c r="G805" s="158"/>
      <c r="H805" s="158"/>
      <c r="I805" s="158"/>
      <c r="J805" s="158"/>
      <c r="K805" s="158"/>
      <c r="L805" s="158"/>
      <c r="M805" s="158"/>
      <c r="N805" s="158"/>
    </row>
    <row r="806">
      <c r="B806" s="158"/>
      <c r="C806" s="158"/>
      <c r="D806" s="158"/>
      <c r="E806" s="158"/>
      <c r="F806" s="160"/>
      <c r="G806" s="158"/>
      <c r="H806" s="158"/>
      <c r="I806" s="158"/>
      <c r="J806" s="158"/>
      <c r="K806" s="158"/>
      <c r="L806" s="158"/>
      <c r="M806" s="158"/>
      <c r="N806" s="158"/>
    </row>
    <row r="807">
      <c r="B807" s="158"/>
      <c r="C807" s="158"/>
      <c r="D807" s="158"/>
      <c r="E807" s="158"/>
      <c r="F807" s="160"/>
      <c r="G807" s="158"/>
      <c r="H807" s="158"/>
      <c r="I807" s="158"/>
      <c r="J807" s="158"/>
      <c r="K807" s="158"/>
      <c r="L807" s="158"/>
      <c r="M807" s="158"/>
      <c r="N807" s="158"/>
    </row>
    <row r="808">
      <c r="B808" s="158"/>
      <c r="C808" s="158"/>
      <c r="D808" s="158"/>
      <c r="E808" s="158"/>
      <c r="F808" s="160"/>
      <c r="G808" s="158"/>
      <c r="H808" s="158"/>
      <c r="I808" s="158"/>
      <c r="J808" s="158"/>
      <c r="K808" s="158"/>
      <c r="L808" s="158"/>
      <c r="M808" s="158"/>
      <c r="N808" s="158"/>
    </row>
    <row r="809">
      <c r="B809" s="158"/>
      <c r="C809" s="158"/>
      <c r="D809" s="158"/>
      <c r="E809" s="158"/>
      <c r="F809" s="160"/>
      <c r="G809" s="158"/>
      <c r="H809" s="158"/>
      <c r="I809" s="158"/>
      <c r="J809" s="158"/>
      <c r="K809" s="158"/>
      <c r="L809" s="158"/>
      <c r="M809" s="158"/>
      <c r="N809" s="158"/>
    </row>
    <row r="810">
      <c r="B810" s="158"/>
      <c r="C810" s="158"/>
      <c r="D810" s="158"/>
      <c r="E810" s="158"/>
      <c r="F810" s="160"/>
      <c r="G810" s="158"/>
      <c r="H810" s="158"/>
      <c r="I810" s="158"/>
      <c r="J810" s="158"/>
      <c r="K810" s="158"/>
      <c r="L810" s="158"/>
      <c r="M810" s="158"/>
      <c r="N810" s="158"/>
    </row>
    <row r="811">
      <c r="B811" s="158"/>
      <c r="C811" s="158"/>
      <c r="D811" s="158"/>
      <c r="E811" s="158"/>
      <c r="F811" s="160"/>
      <c r="G811" s="158"/>
      <c r="H811" s="158"/>
      <c r="I811" s="158"/>
      <c r="J811" s="158"/>
      <c r="K811" s="158"/>
      <c r="L811" s="158"/>
      <c r="M811" s="158"/>
      <c r="N811" s="158"/>
    </row>
    <row r="812">
      <c r="B812" s="158"/>
      <c r="C812" s="158"/>
      <c r="D812" s="158"/>
      <c r="E812" s="158"/>
      <c r="F812" s="160"/>
      <c r="G812" s="158"/>
      <c r="H812" s="158"/>
      <c r="I812" s="158"/>
      <c r="J812" s="158"/>
      <c r="K812" s="158"/>
      <c r="L812" s="158"/>
      <c r="M812" s="158"/>
      <c r="N812" s="158"/>
    </row>
    <row r="813">
      <c r="B813" s="158"/>
      <c r="C813" s="158"/>
      <c r="D813" s="158"/>
      <c r="E813" s="158"/>
      <c r="F813" s="160"/>
      <c r="G813" s="158"/>
      <c r="H813" s="158"/>
      <c r="I813" s="158"/>
      <c r="J813" s="158"/>
      <c r="K813" s="158"/>
      <c r="L813" s="158"/>
      <c r="M813" s="158"/>
      <c r="N813" s="158"/>
    </row>
    <row r="814">
      <c r="B814" s="158"/>
      <c r="C814" s="158"/>
      <c r="D814" s="158"/>
      <c r="E814" s="158"/>
      <c r="F814" s="160"/>
      <c r="G814" s="158"/>
      <c r="H814" s="158"/>
      <c r="I814" s="158"/>
      <c r="J814" s="158"/>
      <c r="K814" s="158"/>
      <c r="L814" s="158"/>
      <c r="M814" s="158"/>
      <c r="N814" s="158"/>
    </row>
    <row r="815">
      <c r="B815" s="158"/>
      <c r="C815" s="158"/>
      <c r="D815" s="158"/>
      <c r="E815" s="158"/>
      <c r="F815" s="160"/>
      <c r="G815" s="158"/>
      <c r="H815" s="158"/>
      <c r="I815" s="158"/>
      <c r="J815" s="158"/>
      <c r="K815" s="158"/>
      <c r="L815" s="158"/>
      <c r="M815" s="158"/>
      <c r="N815" s="158"/>
    </row>
    <row r="816">
      <c r="B816" s="158"/>
      <c r="C816" s="158"/>
      <c r="D816" s="158"/>
      <c r="E816" s="158"/>
      <c r="F816" s="160"/>
      <c r="G816" s="158"/>
      <c r="H816" s="158"/>
      <c r="I816" s="158"/>
      <c r="J816" s="158"/>
      <c r="K816" s="158"/>
      <c r="L816" s="158"/>
      <c r="M816" s="158"/>
      <c r="N816" s="158"/>
    </row>
    <row r="817">
      <c r="B817" s="158"/>
      <c r="C817" s="158"/>
      <c r="D817" s="158"/>
      <c r="E817" s="158"/>
      <c r="F817" s="160"/>
      <c r="G817" s="158"/>
      <c r="H817" s="158"/>
      <c r="I817" s="158"/>
      <c r="J817" s="158"/>
      <c r="K817" s="158"/>
      <c r="L817" s="158"/>
      <c r="M817" s="158"/>
      <c r="N817" s="158"/>
    </row>
    <row r="818">
      <c r="B818" s="158"/>
      <c r="C818" s="158"/>
      <c r="D818" s="158"/>
      <c r="E818" s="158"/>
      <c r="F818" s="160"/>
      <c r="G818" s="158"/>
      <c r="H818" s="158"/>
      <c r="I818" s="158"/>
      <c r="J818" s="158"/>
      <c r="K818" s="158"/>
      <c r="L818" s="158"/>
      <c r="M818" s="158"/>
      <c r="N818" s="158"/>
    </row>
    <row r="819">
      <c r="B819" s="158"/>
      <c r="C819" s="158"/>
      <c r="D819" s="158"/>
      <c r="E819" s="158"/>
      <c r="F819" s="160"/>
      <c r="G819" s="158"/>
      <c r="H819" s="158"/>
      <c r="I819" s="158"/>
      <c r="J819" s="158"/>
      <c r="K819" s="158"/>
      <c r="L819" s="158"/>
      <c r="M819" s="158"/>
      <c r="N819" s="158"/>
    </row>
    <row r="820">
      <c r="B820" s="158"/>
      <c r="C820" s="158"/>
      <c r="D820" s="158"/>
      <c r="E820" s="158"/>
      <c r="F820" s="160"/>
      <c r="G820" s="158"/>
      <c r="H820" s="158"/>
      <c r="I820" s="158"/>
      <c r="J820" s="158"/>
      <c r="K820" s="158"/>
      <c r="L820" s="158"/>
      <c r="M820" s="158"/>
      <c r="N820" s="158"/>
    </row>
    <row r="821">
      <c r="B821" s="158"/>
      <c r="C821" s="158"/>
      <c r="D821" s="158"/>
      <c r="E821" s="158"/>
      <c r="F821" s="160"/>
      <c r="G821" s="158"/>
      <c r="H821" s="158"/>
      <c r="I821" s="158"/>
      <c r="J821" s="158"/>
      <c r="K821" s="158"/>
      <c r="L821" s="158"/>
      <c r="M821" s="158"/>
      <c r="N821" s="158"/>
    </row>
    <row r="822">
      <c r="B822" s="158"/>
      <c r="C822" s="158"/>
      <c r="D822" s="158"/>
      <c r="E822" s="158"/>
      <c r="F822" s="160"/>
      <c r="G822" s="158"/>
      <c r="H822" s="158"/>
      <c r="I822" s="158"/>
      <c r="J822" s="158"/>
      <c r="K822" s="158"/>
      <c r="L822" s="158"/>
      <c r="M822" s="158"/>
      <c r="N822" s="158"/>
    </row>
    <row r="823">
      <c r="B823" s="158"/>
      <c r="C823" s="158"/>
      <c r="D823" s="158"/>
      <c r="E823" s="158"/>
      <c r="F823" s="160"/>
      <c r="G823" s="158"/>
      <c r="H823" s="158"/>
      <c r="I823" s="158"/>
      <c r="J823" s="158"/>
      <c r="K823" s="158"/>
      <c r="L823" s="158"/>
      <c r="M823" s="158"/>
      <c r="N823" s="158"/>
    </row>
    <row r="824">
      <c r="B824" s="158"/>
      <c r="C824" s="158"/>
      <c r="D824" s="158"/>
      <c r="E824" s="158"/>
      <c r="F824" s="160"/>
      <c r="G824" s="158"/>
      <c r="H824" s="158"/>
      <c r="I824" s="158"/>
      <c r="J824" s="158"/>
      <c r="K824" s="158"/>
      <c r="L824" s="158"/>
      <c r="M824" s="158"/>
      <c r="N824" s="158"/>
    </row>
    <row r="825">
      <c r="B825" s="158"/>
      <c r="C825" s="158"/>
      <c r="D825" s="158"/>
      <c r="E825" s="158"/>
      <c r="F825" s="160"/>
      <c r="G825" s="158"/>
      <c r="H825" s="158"/>
      <c r="I825" s="158"/>
      <c r="J825" s="158"/>
      <c r="K825" s="158"/>
      <c r="L825" s="158"/>
      <c r="M825" s="158"/>
      <c r="N825" s="158"/>
    </row>
    <row r="826">
      <c r="B826" s="158"/>
      <c r="C826" s="158"/>
      <c r="D826" s="158"/>
      <c r="E826" s="158"/>
      <c r="F826" s="160"/>
      <c r="G826" s="158"/>
      <c r="H826" s="158"/>
      <c r="I826" s="158"/>
      <c r="J826" s="158"/>
      <c r="K826" s="158"/>
      <c r="L826" s="158"/>
      <c r="M826" s="158"/>
      <c r="N826" s="158"/>
    </row>
    <row r="827">
      <c r="B827" s="158"/>
      <c r="C827" s="158"/>
      <c r="D827" s="158"/>
      <c r="E827" s="158"/>
      <c r="F827" s="160"/>
      <c r="G827" s="158"/>
      <c r="H827" s="158"/>
      <c r="I827" s="158"/>
      <c r="J827" s="158"/>
      <c r="K827" s="158"/>
      <c r="L827" s="158"/>
      <c r="M827" s="158"/>
      <c r="N827" s="158"/>
    </row>
    <row r="828">
      <c r="B828" s="158"/>
      <c r="C828" s="158"/>
      <c r="D828" s="158"/>
      <c r="E828" s="158"/>
      <c r="F828" s="160"/>
      <c r="G828" s="158"/>
      <c r="H828" s="158"/>
      <c r="I828" s="158"/>
      <c r="J828" s="158"/>
      <c r="K828" s="158"/>
      <c r="L828" s="158"/>
      <c r="M828" s="158"/>
      <c r="N828" s="158"/>
    </row>
    <row r="829">
      <c r="B829" s="158"/>
      <c r="C829" s="158"/>
      <c r="D829" s="158"/>
      <c r="E829" s="158"/>
      <c r="F829" s="160"/>
      <c r="G829" s="158"/>
      <c r="H829" s="158"/>
      <c r="I829" s="158"/>
      <c r="J829" s="158"/>
      <c r="K829" s="158"/>
      <c r="L829" s="158"/>
      <c r="M829" s="158"/>
      <c r="N829" s="158"/>
    </row>
    <row r="830">
      <c r="B830" s="158"/>
      <c r="C830" s="158"/>
      <c r="D830" s="158"/>
      <c r="E830" s="158"/>
      <c r="F830" s="160"/>
      <c r="G830" s="158"/>
      <c r="H830" s="158"/>
      <c r="I830" s="158"/>
      <c r="J830" s="158"/>
      <c r="K830" s="158"/>
      <c r="L830" s="158"/>
      <c r="M830" s="158"/>
      <c r="N830" s="158"/>
    </row>
    <row r="831">
      <c r="B831" s="158"/>
      <c r="C831" s="158"/>
      <c r="D831" s="158"/>
      <c r="E831" s="158"/>
      <c r="F831" s="160"/>
      <c r="G831" s="158"/>
      <c r="H831" s="158"/>
      <c r="I831" s="158"/>
      <c r="J831" s="158"/>
      <c r="K831" s="158"/>
      <c r="L831" s="158"/>
      <c r="M831" s="158"/>
      <c r="N831" s="158"/>
    </row>
    <row r="832">
      <c r="B832" s="158"/>
      <c r="C832" s="158"/>
      <c r="D832" s="158"/>
      <c r="E832" s="158"/>
      <c r="F832" s="160"/>
      <c r="G832" s="158"/>
      <c r="H832" s="158"/>
      <c r="I832" s="158"/>
      <c r="J832" s="158"/>
      <c r="K832" s="158"/>
      <c r="L832" s="158"/>
      <c r="M832" s="158"/>
      <c r="N832" s="158"/>
    </row>
    <row r="833">
      <c r="B833" s="158"/>
      <c r="C833" s="158"/>
      <c r="D833" s="158"/>
      <c r="E833" s="158"/>
      <c r="F833" s="160"/>
      <c r="G833" s="158"/>
      <c r="H833" s="158"/>
      <c r="I833" s="158"/>
      <c r="J833" s="158"/>
      <c r="K833" s="158"/>
      <c r="L833" s="158"/>
      <c r="M833" s="158"/>
      <c r="N833" s="158"/>
    </row>
    <row r="834">
      <c r="B834" s="158"/>
      <c r="C834" s="158"/>
      <c r="D834" s="158"/>
      <c r="E834" s="158"/>
      <c r="F834" s="160"/>
      <c r="G834" s="158"/>
      <c r="H834" s="158"/>
      <c r="I834" s="158"/>
      <c r="J834" s="158"/>
      <c r="K834" s="158"/>
      <c r="L834" s="158"/>
      <c r="M834" s="158"/>
      <c r="N834" s="158"/>
    </row>
    <row r="835">
      <c r="B835" s="158"/>
      <c r="C835" s="158"/>
      <c r="D835" s="158"/>
      <c r="E835" s="158"/>
      <c r="F835" s="160"/>
      <c r="G835" s="158"/>
      <c r="H835" s="158"/>
      <c r="I835" s="158"/>
      <c r="J835" s="158"/>
      <c r="K835" s="158"/>
      <c r="L835" s="158"/>
      <c r="M835" s="158"/>
      <c r="N835" s="158"/>
    </row>
    <row r="836">
      <c r="B836" s="158"/>
      <c r="C836" s="158"/>
      <c r="D836" s="158"/>
      <c r="E836" s="158"/>
      <c r="F836" s="160"/>
      <c r="G836" s="158"/>
      <c r="H836" s="158"/>
      <c r="I836" s="158"/>
      <c r="J836" s="158"/>
      <c r="K836" s="158"/>
      <c r="L836" s="158"/>
      <c r="M836" s="158"/>
      <c r="N836" s="158"/>
    </row>
    <row r="837">
      <c r="B837" s="158"/>
      <c r="C837" s="158"/>
      <c r="D837" s="158"/>
      <c r="E837" s="158"/>
      <c r="F837" s="160"/>
      <c r="G837" s="158"/>
      <c r="H837" s="158"/>
      <c r="I837" s="158"/>
      <c r="J837" s="158"/>
      <c r="K837" s="158"/>
      <c r="L837" s="158"/>
      <c r="M837" s="158"/>
      <c r="N837" s="158"/>
    </row>
    <row r="838">
      <c r="B838" s="158"/>
      <c r="C838" s="158"/>
      <c r="D838" s="158"/>
      <c r="E838" s="158"/>
      <c r="F838" s="160"/>
      <c r="G838" s="158"/>
      <c r="H838" s="158"/>
      <c r="I838" s="158"/>
      <c r="J838" s="158"/>
      <c r="K838" s="158"/>
      <c r="L838" s="158"/>
      <c r="M838" s="158"/>
      <c r="N838" s="158"/>
    </row>
    <row r="839">
      <c r="B839" s="158"/>
      <c r="C839" s="158"/>
      <c r="D839" s="158"/>
      <c r="E839" s="158"/>
      <c r="F839" s="160"/>
      <c r="G839" s="158"/>
      <c r="H839" s="158"/>
      <c r="I839" s="158"/>
      <c r="J839" s="158"/>
      <c r="K839" s="158"/>
      <c r="L839" s="158"/>
      <c r="M839" s="158"/>
      <c r="N839" s="158"/>
    </row>
    <row r="840">
      <c r="B840" s="158"/>
      <c r="C840" s="158"/>
      <c r="D840" s="158"/>
      <c r="E840" s="158"/>
      <c r="F840" s="160"/>
      <c r="G840" s="158"/>
      <c r="H840" s="158"/>
      <c r="I840" s="158"/>
      <c r="J840" s="158"/>
      <c r="K840" s="158"/>
      <c r="L840" s="158"/>
      <c r="M840" s="158"/>
      <c r="N840" s="158"/>
    </row>
    <row r="841">
      <c r="B841" s="158"/>
      <c r="C841" s="158"/>
      <c r="D841" s="158"/>
      <c r="E841" s="158"/>
      <c r="F841" s="160"/>
      <c r="G841" s="158"/>
      <c r="H841" s="158"/>
      <c r="I841" s="158"/>
      <c r="J841" s="158"/>
      <c r="K841" s="158"/>
      <c r="L841" s="158"/>
      <c r="M841" s="158"/>
      <c r="N841" s="158"/>
    </row>
    <row r="842">
      <c r="B842" s="158"/>
      <c r="C842" s="158"/>
      <c r="D842" s="158"/>
      <c r="E842" s="158"/>
      <c r="F842" s="160"/>
      <c r="G842" s="158"/>
      <c r="H842" s="158"/>
      <c r="I842" s="158"/>
      <c r="J842" s="158"/>
      <c r="K842" s="158"/>
      <c r="L842" s="158"/>
      <c r="M842" s="158"/>
      <c r="N842" s="158"/>
    </row>
    <row r="843">
      <c r="B843" s="158"/>
      <c r="C843" s="158"/>
      <c r="D843" s="158"/>
      <c r="E843" s="158"/>
      <c r="F843" s="160"/>
      <c r="G843" s="158"/>
      <c r="H843" s="158"/>
      <c r="I843" s="158"/>
      <c r="J843" s="158"/>
      <c r="K843" s="158"/>
      <c r="L843" s="158"/>
      <c r="M843" s="158"/>
      <c r="N843" s="158"/>
    </row>
    <row r="844">
      <c r="B844" s="158"/>
      <c r="C844" s="158"/>
      <c r="D844" s="158"/>
      <c r="E844" s="158"/>
      <c r="F844" s="160"/>
      <c r="G844" s="158"/>
      <c r="H844" s="158"/>
      <c r="I844" s="158"/>
      <c r="J844" s="158"/>
      <c r="K844" s="158"/>
      <c r="L844" s="158"/>
      <c r="M844" s="158"/>
      <c r="N844" s="158"/>
    </row>
    <row r="845">
      <c r="B845" s="158"/>
      <c r="C845" s="158"/>
      <c r="D845" s="158"/>
      <c r="E845" s="158"/>
      <c r="F845" s="160"/>
      <c r="G845" s="158"/>
      <c r="H845" s="158"/>
      <c r="I845" s="158"/>
      <c r="J845" s="158"/>
      <c r="K845" s="158"/>
      <c r="L845" s="158"/>
      <c r="M845" s="158"/>
      <c r="N845" s="158"/>
    </row>
    <row r="846">
      <c r="B846" s="158"/>
      <c r="C846" s="158"/>
      <c r="D846" s="158"/>
      <c r="E846" s="158"/>
      <c r="F846" s="160"/>
      <c r="G846" s="158"/>
      <c r="H846" s="158"/>
      <c r="I846" s="158"/>
      <c r="J846" s="158"/>
      <c r="K846" s="158"/>
      <c r="L846" s="158"/>
      <c r="M846" s="158"/>
      <c r="N846" s="158"/>
    </row>
    <row r="847">
      <c r="B847" s="158"/>
      <c r="C847" s="158"/>
      <c r="D847" s="158"/>
      <c r="E847" s="158"/>
      <c r="F847" s="160"/>
      <c r="G847" s="158"/>
      <c r="H847" s="158"/>
      <c r="I847" s="158"/>
      <c r="J847" s="158"/>
      <c r="K847" s="158"/>
      <c r="L847" s="158"/>
      <c r="M847" s="158"/>
      <c r="N847" s="158"/>
    </row>
    <row r="848">
      <c r="B848" s="158"/>
      <c r="C848" s="158"/>
      <c r="D848" s="158"/>
      <c r="E848" s="158"/>
      <c r="F848" s="160"/>
      <c r="G848" s="158"/>
      <c r="H848" s="158"/>
      <c r="I848" s="158"/>
      <c r="J848" s="158"/>
      <c r="K848" s="158"/>
      <c r="L848" s="158"/>
      <c r="M848" s="158"/>
      <c r="N848" s="158"/>
    </row>
    <row r="849">
      <c r="B849" s="158"/>
      <c r="C849" s="158"/>
      <c r="D849" s="158"/>
      <c r="E849" s="158"/>
      <c r="F849" s="160"/>
      <c r="G849" s="158"/>
      <c r="H849" s="158"/>
      <c r="I849" s="158"/>
      <c r="J849" s="158"/>
      <c r="K849" s="158"/>
      <c r="L849" s="158"/>
      <c r="M849" s="158"/>
      <c r="N849" s="158"/>
    </row>
    <row r="850">
      <c r="B850" s="158"/>
      <c r="C850" s="158"/>
      <c r="D850" s="158"/>
      <c r="E850" s="158"/>
      <c r="F850" s="160"/>
      <c r="G850" s="158"/>
      <c r="H850" s="158"/>
      <c r="I850" s="158"/>
      <c r="J850" s="158"/>
      <c r="K850" s="158"/>
      <c r="L850" s="158"/>
      <c r="M850" s="158"/>
      <c r="N850" s="158"/>
    </row>
    <row r="851">
      <c r="B851" s="158"/>
      <c r="C851" s="158"/>
      <c r="D851" s="158"/>
      <c r="E851" s="158"/>
      <c r="F851" s="160"/>
      <c r="G851" s="158"/>
      <c r="H851" s="158"/>
      <c r="I851" s="158"/>
      <c r="J851" s="158"/>
      <c r="K851" s="158"/>
      <c r="L851" s="158"/>
      <c r="M851" s="158"/>
      <c r="N851" s="158"/>
    </row>
    <row r="852">
      <c r="B852" s="158"/>
      <c r="C852" s="158"/>
      <c r="D852" s="158"/>
      <c r="E852" s="158"/>
      <c r="F852" s="160"/>
      <c r="G852" s="158"/>
      <c r="H852" s="158"/>
      <c r="I852" s="158"/>
      <c r="J852" s="158"/>
      <c r="K852" s="158"/>
      <c r="L852" s="158"/>
      <c r="M852" s="158"/>
      <c r="N852" s="158"/>
    </row>
    <row r="853">
      <c r="B853" s="158"/>
      <c r="C853" s="158"/>
      <c r="D853" s="158"/>
      <c r="E853" s="158"/>
      <c r="F853" s="160"/>
      <c r="G853" s="158"/>
      <c r="H853" s="158"/>
      <c r="I853" s="158"/>
      <c r="J853" s="158"/>
      <c r="K853" s="158"/>
      <c r="L853" s="158"/>
      <c r="M853" s="158"/>
      <c r="N853" s="158"/>
    </row>
    <row r="854">
      <c r="B854" s="158"/>
      <c r="C854" s="158"/>
      <c r="D854" s="158"/>
      <c r="E854" s="158"/>
      <c r="F854" s="160"/>
      <c r="G854" s="158"/>
      <c r="H854" s="158"/>
      <c r="I854" s="158"/>
      <c r="J854" s="158"/>
      <c r="K854" s="158"/>
      <c r="L854" s="158"/>
      <c r="M854" s="158"/>
      <c r="N854" s="158"/>
    </row>
    <row r="855">
      <c r="B855" s="158"/>
      <c r="C855" s="158"/>
      <c r="D855" s="158"/>
      <c r="E855" s="158"/>
      <c r="F855" s="160"/>
      <c r="G855" s="158"/>
      <c r="H855" s="158"/>
      <c r="I855" s="158"/>
      <c r="J855" s="158"/>
      <c r="K855" s="158"/>
      <c r="L855" s="158"/>
      <c r="M855" s="158"/>
      <c r="N855" s="158"/>
    </row>
    <row r="856">
      <c r="B856" s="158"/>
      <c r="C856" s="158"/>
      <c r="D856" s="158"/>
      <c r="E856" s="158"/>
      <c r="F856" s="160"/>
      <c r="G856" s="158"/>
      <c r="H856" s="158"/>
      <c r="I856" s="158"/>
      <c r="J856" s="158"/>
      <c r="K856" s="158"/>
      <c r="L856" s="158"/>
      <c r="M856" s="158"/>
      <c r="N856" s="158"/>
    </row>
    <row r="857">
      <c r="B857" s="158"/>
      <c r="C857" s="158"/>
      <c r="D857" s="158"/>
      <c r="E857" s="158"/>
      <c r="F857" s="160"/>
      <c r="G857" s="158"/>
      <c r="H857" s="158"/>
      <c r="I857" s="158"/>
      <c r="J857" s="158"/>
      <c r="K857" s="158"/>
      <c r="L857" s="158"/>
      <c r="M857" s="158"/>
      <c r="N857" s="158"/>
    </row>
    <row r="858">
      <c r="B858" s="158"/>
      <c r="C858" s="158"/>
      <c r="D858" s="158"/>
      <c r="E858" s="158"/>
      <c r="F858" s="160"/>
      <c r="G858" s="158"/>
      <c r="H858" s="158"/>
      <c r="I858" s="158"/>
      <c r="J858" s="158"/>
      <c r="K858" s="158"/>
      <c r="L858" s="158"/>
      <c r="M858" s="158"/>
      <c r="N858" s="158"/>
    </row>
    <row r="859">
      <c r="B859" s="158"/>
      <c r="C859" s="158"/>
      <c r="D859" s="158"/>
      <c r="E859" s="158"/>
      <c r="F859" s="160"/>
      <c r="G859" s="158"/>
      <c r="H859" s="158"/>
      <c r="I859" s="158"/>
      <c r="J859" s="158"/>
      <c r="K859" s="158"/>
      <c r="L859" s="158"/>
      <c r="M859" s="158"/>
      <c r="N859" s="158"/>
    </row>
    <row r="860">
      <c r="B860" s="158"/>
      <c r="C860" s="158"/>
      <c r="D860" s="158"/>
      <c r="E860" s="158"/>
      <c r="F860" s="160"/>
      <c r="G860" s="158"/>
      <c r="H860" s="158"/>
      <c r="I860" s="158"/>
      <c r="J860" s="158"/>
      <c r="K860" s="158"/>
      <c r="L860" s="158"/>
      <c r="M860" s="158"/>
      <c r="N860" s="158"/>
    </row>
    <row r="861">
      <c r="B861" s="158"/>
      <c r="C861" s="158"/>
      <c r="D861" s="158"/>
      <c r="E861" s="158"/>
      <c r="F861" s="160"/>
      <c r="G861" s="158"/>
      <c r="H861" s="158"/>
      <c r="I861" s="158"/>
      <c r="J861" s="158"/>
      <c r="K861" s="158"/>
      <c r="L861" s="158"/>
      <c r="M861" s="158"/>
      <c r="N861" s="158"/>
    </row>
    <row r="862">
      <c r="B862" s="158"/>
      <c r="C862" s="158"/>
      <c r="D862" s="158"/>
      <c r="E862" s="158"/>
      <c r="F862" s="160"/>
      <c r="G862" s="158"/>
      <c r="H862" s="158"/>
      <c r="I862" s="158"/>
      <c r="J862" s="158"/>
      <c r="K862" s="158"/>
      <c r="L862" s="158"/>
      <c r="M862" s="158"/>
      <c r="N862" s="158"/>
    </row>
    <row r="863">
      <c r="B863" s="158"/>
      <c r="C863" s="158"/>
      <c r="D863" s="158"/>
      <c r="E863" s="158"/>
      <c r="F863" s="160"/>
      <c r="G863" s="158"/>
      <c r="H863" s="158"/>
      <c r="I863" s="158"/>
      <c r="J863" s="158"/>
      <c r="K863" s="158"/>
      <c r="L863" s="158"/>
      <c r="M863" s="158"/>
      <c r="N863" s="158"/>
    </row>
    <row r="864">
      <c r="B864" s="158"/>
      <c r="C864" s="158"/>
      <c r="D864" s="158"/>
      <c r="E864" s="158"/>
      <c r="F864" s="160"/>
      <c r="G864" s="158"/>
      <c r="H864" s="158"/>
      <c r="I864" s="158"/>
      <c r="J864" s="158"/>
      <c r="K864" s="158"/>
      <c r="L864" s="158"/>
      <c r="M864" s="158"/>
      <c r="N864" s="158"/>
    </row>
    <row r="865">
      <c r="B865" s="158"/>
      <c r="C865" s="158"/>
      <c r="D865" s="158"/>
      <c r="E865" s="158"/>
      <c r="F865" s="160"/>
      <c r="G865" s="158"/>
      <c r="H865" s="158"/>
      <c r="I865" s="158"/>
      <c r="J865" s="158"/>
      <c r="K865" s="158"/>
      <c r="L865" s="158"/>
      <c r="M865" s="158"/>
      <c r="N865" s="158"/>
    </row>
    <row r="866">
      <c r="B866" s="158"/>
      <c r="C866" s="158"/>
      <c r="D866" s="158"/>
      <c r="E866" s="158"/>
      <c r="F866" s="160"/>
      <c r="G866" s="158"/>
      <c r="H866" s="158"/>
      <c r="I866" s="158"/>
      <c r="J866" s="158"/>
      <c r="K866" s="158"/>
      <c r="L866" s="158"/>
      <c r="M866" s="158"/>
      <c r="N866" s="158"/>
    </row>
    <row r="867">
      <c r="B867" s="158"/>
      <c r="C867" s="158"/>
      <c r="D867" s="158"/>
      <c r="E867" s="158"/>
      <c r="F867" s="160"/>
      <c r="G867" s="158"/>
      <c r="H867" s="158"/>
      <c r="I867" s="158"/>
      <c r="J867" s="158"/>
      <c r="K867" s="158"/>
      <c r="L867" s="158"/>
      <c r="M867" s="158"/>
      <c r="N867" s="158"/>
    </row>
    <row r="868">
      <c r="B868" s="158"/>
      <c r="C868" s="158"/>
      <c r="D868" s="158"/>
      <c r="E868" s="158"/>
      <c r="F868" s="160"/>
      <c r="G868" s="158"/>
      <c r="H868" s="158"/>
      <c r="I868" s="158"/>
      <c r="J868" s="158"/>
      <c r="K868" s="158"/>
      <c r="L868" s="158"/>
      <c r="M868" s="158"/>
      <c r="N868" s="158"/>
    </row>
    <row r="869">
      <c r="B869" s="158"/>
      <c r="C869" s="158"/>
      <c r="D869" s="158"/>
      <c r="E869" s="158"/>
      <c r="F869" s="160"/>
      <c r="G869" s="158"/>
      <c r="H869" s="158"/>
      <c r="I869" s="158"/>
      <c r="J869" s="158"/>
      <c r="K869" s="158"/>
      <c r="L869" s="158"/>
      <c r="M869" s="158"/>
      <c r="N869" s="158"/>
    </row>
    <row r="870">
      <c r="B870" s="158"/>
      <c r="C870" s="158"/>
      <c r="D870" s="158"/>
      <c r="E870" s="158"/>
      <c r="F870" s="160"/>
      <c r="G870" s="158"/>
      <c r="H870" s="158"/>
      <c r="I870" s="158"/>
      <c r="J870" s="158"/>
      <c r="K870" s="158"/>
      <c r="L870" s="158"/>
      <c r="M870" s="158"/>
      <c r="N870" s="158"/>
    </row>
    <row r="871">
      <c r="B871" s="158"/>
      <c r="C871" s="158"/>
      <c r="D871" s="158"/>
      <c r="E871" s="158"/>
      <c r="F871" s="160"/>
      <c r="G871" s="158"/>
      <c r="H871" s="158"/>
      <c r="I871" s="158"/>
      <c r="J871" s="158"/>
      <c r="K871" s="158"/>
      <c r="L871" s="158"/>
      <c r="M871" s="158"/>
      <c r="N871" s="158"/>
    </row>
    <row r="872">
      <c r="B872" s="158"/>
      <c r="C872" s="158"/>
      <c r="D872" s="158"/>
      <c r="E872" s="158"/>
      <c r="F872" s="160"/>
      <c r="G872" s="158"/>
      <c r="H872" s="158"/>
      <c r="I872" s="158"/>
      <c r="J872" s="158"/>
      <c r="K872" s="158"/>
      <c r="L872" s="158"/>
      <c r="M872" s="158"/>
      <c r="N872" s="158"/>
    </row>
    <row r="873">
      <c r="B873" s="158"/>
      <c r="C873" s="158"/>
      <c r="D873" s="158"/>
      <c r="E873" s="158"/>
      <c r="F873" s="160"/>
      <c r="G873" s="158"/>
      <c r="H873" s="158"/>
      <c r="I873" s="158"/>
      <c r="J873" s="158"/>
      <c r="K873" s="158"/>
      <c r="L873" s="158"/>
      <c r="M873" s="158"/>
      <c r="N873" s="158"/>
    </row>
    <row r="874">
      <c r="B874" s="158"/>
      <c r="C874" s="158"/>
      <c r="D874" s="158"/>
      <c r="E874" s="158"/>
      <c r="F874" s="160"/>
      <c r="G874" s="158"/>
      <c r="H874" s="158"/>
      <c r="I874" s="158"/>
      <c r="J874" s="158"/>
      <c r="K874" s="158"/>
      <c r="L874" s="158"/>
      <c r="M874" s="158"/>
      <c r="N874" s="158"/>
    </row>
    <row r="875">
      <c r="B875" s="158"/>
      <c r="C875" s="158"/>
      <c r="D875" s="158"/>
      <c r="E875" s="158"/>
      <c r="F875" s="160"/>
      <c r="G875" s="158"/>
      <c r="H875" s="158"/>
      <c r="I875" s="158"/>
      <c r="J875" s="158"/>
      <c r="K875" s="158"/>
      <c r="L875" s="158"/>
      <c r="M875" s="158"/>
      <c r="N875" s="158"/>
    </row>
    <row r="876">
      <c r="B876" s="158"/>
      <c r="C876" s="158"/>
      <c r="D876" s="158"/>
      <c r="E876" s="158"/>
      <c r="F876" s="160"/>
      <c r="G876" s="158"/>
      <c r="H876" s="158"/>
      <c r="I876" s="158"/>
      <c r="J876" s="158"/>
      <c r="K876" s="158"/>
      <c r="L876" s="158"/>
      <c r="M876" s="158"/>
      <c r="N876" s="158"/>
    </row>
    <row r="877">
      <c r="B877" s="158"/>
      <c r="C877" s="158"/>
      <c r="D877" s="158"/>
      <c r="E877" s="158"/>
      <c r="F877" s="160"/>
      <c r="G877" s="158"/>
      <c r="H877" s="158"/>
      <c r="I877" s="158"/>
      <c r="J877" s="158"/>
      <c r="K877" s="158"/>
      <c r="L877" s="158"/>
      <c r="M877" s="158"/>
      <c r="N877" s="158"/>
    </row>
    <row r="878">
      <c r="B878" s="158"/>
      <c r="C878" s="158"/>
      <c r="D878" s="158"/>
      <c r="E878" s="158"/>
      <c r="F878" s="160"/>
      <c r="G878" s="158"/>
      <c r="H878" s="158"/>
      <c r="I878" s="158"/>
      <c r="J878" s="158"/>
      <c r="K878" s="158"/>
      <c r="L878" s="158"/>
      <c r="M878" s="158"/>
      <c r="N878" s="158"/>
    </row>
    <row r="879">
      <c r="B879" s="158"/>
      <c r="C879" s="158"/>
      <c r="D879" s="158"/>
      <c r="E879" s="158"/>
      <c r="F879" s="160"/>
      <c r="G879" s="158"/>
      <c r="H879" s="158"/>
      <c r="I879" s="158"/>
      <c r="J879" s="158"/>
      <c r="K879" s="158"/>
      <c r="L879" s="158"/>
      <c r="M879" s="158"/>
      <c r="N879" s="158"/>
    </row>
    <row r="880">
      <c r="B880" s="158"/>
      <c r="C880" s="158"/>
      <c r="D880" s="158"/>
      <c r="E880" s="158"/>
      <c r="F880" s="160"/>
      <c r="G880" s="158"/>
      <c r="H880" s="158"/>
      <c r="I880" s="158"/>
      <c r="J880" s="158"/>
      <c r="K880" s="158"/>
      <c r="L880" s="158"/>
      <c r="M880" s="158"/>
      <c r="N880" s="158"/>
    </row>
    <row r="881">
      <c r="B881" s="158"/>
      <c r="C881" s="158"/>
      <c r="D881" s="158"/>
      <c r="E881" s="158"/>
      <c r="F881" s="160"/>
      <c r="G881" s="158"/>
      <c r="H881" s="158"/>
      <c r="I881" s="158"/>
      <c r="J881" s="158"/>
      <c r="K881" s="158"/>
      <c r="L881" s="158"/>
      <c r="M881" s="158"/>
      <c r="N881" s="158"/>
    </row>
    <row r="882">
      <c r="B882" s="158"/>
      <c r="C882" s="158"/>
      <c r="D882" s="158"/>
      <c r="E882" s="158"/>
      <c r="F882" s="160"/>
      <c r="G882" s="158"/>
      <c r="H882" s="158"/>
      <c r="I882" s="158"/>
      <c r="J882" s="158"/>
      <c r="K882" s="158"/>
      <c r="L882" s="158"/>
      <c r="M882" s="158"/>
      <c r="N882" s="158"/>
    </row>
    <row r="883">
      <c r="B883" s="158"/>
      <c r="C883" s="158"/>
      <c r="D883" s="158"/>
      <c r="E883" s="158"/>
      <c r="F883" s="160"/>
      <c r="G883" s="158"/>
      <c r="H883" s="158"/>
      <c r="I883" s="158"/>
      <c r="J883" s="158"/>
      <c r="K883" s="158"/>
      <c r="L883" s="158"/>
      <c r="M883" s="158"/>
      <c r="N883" s="158"/>
    </row>
    <row r="884">
      <c r="B884" s="158"/>
      <c r="C884" s="158"/>
      <c r="D884" s="158"/>
      <c r="E884" s="158"/>
      <c r="F884" s="160"/>
      <c r="G884" s="158"/>
      <c r="H884" s="158"/>
      <c r="I884" s="158"/>
      <c r="J884" s="158"/>
      <c r="K884" s="158"/>
      <c r="L884" s="158"/>
      <c r="M884" s="158"/>
      <c r="N884" s="158"/>
    </row>
    <row r="885">
      <c r="B885" s="158"/>
      <c r="C885" s="158"/>
      <c r="D885" s="158"/>
      <c r="E885" s="158"/>
      <c r="F885" s="160"/>
      <c r="G885" s="158"/>
      <c r="H885" s="158"/>
      <c r="I885" s="158"/>
      <c r="J885" s="158"/>
      <c r="K885" s="158"/>
      <c r="L885" s="158"/>
      <c r="M885" s="158"/>
      <c r="N885" s="158"/>
    </row>
    <row r="886">
      <c r="B886" s="158"/>
      <c r="C886" s="158"/>
      <c r="D886" s="158"/>
      <c r="E886" s="158"/>
      <c r="F886" s="160"/>
      <c r="G886" s="158"/>
      <c r="H886" s="158"/>
      <c r="I886" s="158"/>
      <c r="J886" s="158"/>
      <c r="K886" s="158"/>
      <c r="L886" s="158"/>
      <c r="M886" s="158"/>
      <c r="N886" s="158"/>
    </row>
    <row r="887">
      <c r="B887" s="158"/>
      <c r="C887" s="158"/>
      <c r="D887" s="158"/>
      <c r="E887" s="158"/>
      <c r="F887" s="160"/>
      <c r="G887" s="158"/>
      <c r="H887" s="158"/>
      <c r="I887" s="158"/>
      <c r="J887" s="158"/>
      <c r="K887" s="158"/>
      <c r="L887" s="158"/>
      <c r="M887" s="158"/>
      <c r="N887" s="158"/>
    </row>
    <row r="888">
      <c r="B888" s="158"/>
      <c r="C888" s="158"/>
      <c r="D888" s="158"/>
      <c r="E888" s="158"/>
      <c r="F888" s="160"/>
      <c r="G888" s="158"/>
      <c r="H888" s="158"/>
      <c r="I888" s="158"/>
      <c r="J888" s="158"/>
      <c r="K888" s="158"/>
      <c r="L888" s="158"/>
      <c r="M888" s="158"/>
      <c r="N888" s="158"/>
    </row>
    <row r="889">
      <c r="B889" s="158"/>
      <c r="C889" s="158"/>
      <c r="D889" s="158"/>
      <c r="E889" s="158"/>
      <c r="F889" s="160"/>
      <c r="G889" s="158"/>
      <c r="H889" s="158"/>
      <c r="I889" s="158"/>
      <c r="J889" s="158"/>
      <c r="K889" s="158"/>
      <c r="L889" s="158"/>
      <c r="M889" s="158"/>
      <c r="N889" s="158"/>
    </row>
    <row r="890">
      <c r="B890" s="158"/>
      <c r="C890" s="158"/>
      <c r="D890" s="158"/>
      <c r="E890" s="158"/>
      <c r="F890" s="160"/>
      <c r="G890" s="158"/>
      <c r="H890" s="158"/>
      <c r="I890" s="158"/>
      <c r="J890" s="158"/>
      <c r="K890" s="158"/>
      <c r="L890" s="158"/>
      <c r="M890" s="158"/>
      <c r="N890" s="158"/>
    </row>
    <row r="891">
      <c r="B891" s="158"/>
      <c r="C891" s="158"/>
      <c r="D891" s="158"/>
      <c r="E891" s="158"/>
      <c r="F891" s="160"/>
      <c r="G891" s="158"/>
      <c r="H891" s="158"/>
      <c r="I891" s="158"/>
      <c r="J891" s="158"/>
      <c r="K891" s="158"/>
      <c r="L891" s="158"/>
      <c r="M891" s="158"/>
      <c r="N891" s="158"/>
    </row>
    <row r="892">
      <c r="B892" s="158"/>
      <c r="C892" s="158"/>
      <c r="D892" s="158"/>
      <c r="E892" s="158"/>
      <c r="F892" s="160"/>
      <c r="G892" s="158"/>
      <c r="H892" s="158"/>
      <c r="I892" s="158"/>
      <c r="J892" s="158"/>
      <c r="K892" s="158"/>
      <c r="L892" s="158"/>
      <c r="M892" s="158"/>
      <c r="N892" s="158"/>
    </row>
    <row r="893">
      <c r="B893" s="158"/>
      <c r="C893" s="158"/>
      <c r="D893" s="158"/>
      <c r="E893" s="158"/>
      <c r="F893" s="160"/>
      <c r="G893" s="158"/>
      <c r="H893" s="158"/>
      <c r="I893" s="158"/>
      <c r="J893" s="158"/>
      <c r="K893" s="158"/>
      <c r="L893" s="158"/>
      <c r="M893" s="158"/>
      <c r="N893" s="158"/>
    </row>
    <row r="894">
      <c r="B894" s="158"/>
      <c r="C894" s="158"/>
      <c r="D894" s="158"/>
      <c r="E894" s="158"/>
      <c r="F894" s="160"/>
      <c r="G894" s="158"/>
      <c r="H894" s="158"/>
      <c r="I894" s="158"/>
      <c r="J894" s="158"/>
      <c r="K894" s="158"/>
      <c r="L894" s="158"/>
      <c r="M894" s="158"/>
      <c r="N894" s="158"/>
    </row>
    <row r="895">
      <c r="B895" s="158"/>
      <c r="C895" s="158"/>
      <c r="D895" s="158"/>
      <c r="E895" s="158"/>
      <c r="F895" s="160"/>
      <c r="G895" s="158"/>
      <c r="H895" s="158"/>
      <c r="I895" s="158"/>
      <c r="J895" s="158"/>
      <c r="K895" s="158"/>
      <c r="L895" s="158"/>
      <c r="M895" s="158"/>
      <c r="N895" s="158"/>
    </row>
    <row r="896">
      <c r="B896" s="158"/>
      <c r="C896" s="158"/>
      <c r="D896" s="158"/>
      <c r="E896" s="158"/>
      <c r="F896" s="160"/>
      <c r="G896" s="158"/>
      <c r="H896" s="158"/>
      <c r="I896" s="158"/>
      <c r="J896" s="158"/>
      <c r="K896" s="158"/>
      <c r="L896" s="158"/>
      <c r="M896" s="158"/>
      <c r="N896" s="158"/>
    </row>
    <row r="897">
      <c r="B897" s="158"/>
      <c r="C897" s="158"/>
      <c r="D897" s="158"/>
      <c r="E897" s="158"/>
      <c r="F897" s="160"/>
      <c r="G897" s="158"/>
      <c r="H897" s="158"/>
      <c r="I897" s="158"/>
      <c r="J897" s="158"/>
      <c r="K897" s="158"/>
      <c r="L897" s="158"/>
      <c r="M897" s="158"/>
      <c r="N897" s="158"/>
    </row>
    <row r="898">
      <c r="B898" s="158"/>
      <c r="C898" s="158"/>
      <c r="D898" s="158"/>
      <c r="E898" s="158"/>
      <c r="F898" s="160"/>
      <c r="G898" s="158"/>
      <c r="H898" s="158"/>
      <c r="I898" s="158"/>
      <c r="J898" s="158"/>
      <c r="K898" s="158"/>
      <c r="L898" s="158"/>
      <c r="M898" s="158"/>
      <c r="N898" s="158"/>
    </row>
    <row r="899">
      <c r="B899" s="158"/>
      <c r="C899" s="158"/>
      <c r="D899" s="158"/>
      <c r="E899" s="158"/>
      <c r="F899" s="160"/>
      <c r="G899" s="158"/>
      <c r="H899" s="158"/>
      <c r="I899" s="158"/>
      <c r="J899" s="158"/>
      <c r="K899" s="158"/>
      <c r="L899" s="158"/>
      <c r="M899" s="158"/>
      <c r="N899" s="158"/>
    </row>
    <row r="900">
      <c r="B900" s="158"/>
      <c r="C900" s="158"/>
      <c r="D900" s="158"/>
      <c r="E900" s="158"/>
      <c r="F900" s="160"/>
      <c r="G900" s="158"/>
      <c r="H900" s="158"/>
      <c r="I900" s="158"/>
      <c r="J900" s="158"/>
      <c r="K900" s="158"/>
      <c r="L900" s="158"/>
      <c r="M900" s="158"/>
      <c r="N900" s="158"/>
    </row>
    <row r="901">
      <c r="B901" s="158"/>
      <c r="C901" s="158"/>
      <c r="D901" s="158"/>
      <c r="E901" s="158"/>
      <c r="F901" s="160"/>
      <c r="G901" s="158"/>
      <c r="H901" s="158"/>
      <c r="I901" s="158"/>
      <c r="J901" s="158"/>
      <c r="K901" s="158"/>
      <c r="L901" s="158"/>
      <c r="M901" s="158"/>
      <c r="N901" s="158"/>
    </row>
    <row r="902">
      <c r="B902" s="158"/>
      <c r="C902" s="158"/>
      <c r="D902" s="158"/>
      <c r="E902" s="158"/>
      <c r="F902" s="160"/>
      <c r="G902" s="158"/>
      <c r="H902" s="158"/>
      <c r="I902" s="158"/>
      <c r="J902" s="158"/>
      <c r="K902" s="158"/>
      <c r="L902" s="158"/>
      <c r="M902" s="158"/>
      <c r="N902" s="158"/>
    </row>
    <row r="903">
      <c r="B903" s="158"/>
      <c r="C903" s="158"/>
      <c r="D903" s="158"/>
      <c r="E903" s="158"/>
      <c r="F903" s="160"/>
      <c r="G903" s="158"/>
      <c r="H903" s="158"/>
      <c r="I903" s="158"/>
      <c r="J903" s="158"/>
      <c r="K903" s="158"/>
      <c r="L903" s="158"/>
      <c r="M903" s="158"/>
      <c r="N903" s="158"/>
    </row>
    <row r="904">
      <c r="B904" s="158"/>
      <c r="C904" s="158"/>
      <c r="D904" s="158"/>
      <c r="E904" s="158"/>
      <c r="F904" s="160"/>
      <c r="G904" s="158"/>
      <c r="H904" s="158"/>
      <c r="I904" s="158"/>
      <c r="J904" s="158"/>
      <c r="K904" s="158"/>
      <c r="L904" s="158"/>
      <c r="M904" s="158"/>
      <c r="N904" s="158"/>
    </row>
    <row r="905">
      <c r="B905" s="158"/>
      <c r="C905" s="158"/>
      <c r="D905" s="158"/>
      <c r="E905" s="158"/>
      <c r="F905" s="160"/>
      <c r="G905" s="158"/>
      <c r="H905" s="158"/>
      <c r="I905" s="158"/>
      <c r="J905" s="158"/>
      <c r="K905" s="158"/>
      <c r="L905" s="158"/>
      <c r="M905" s="158"/>
      <c r="N905" s="158"/>
    </row>
    <row r="906">
      <c r="B906" s="158"/>
      <c r="C906" s="158"/>
      <c r="D906" s="158"/>
      <c r="E906" s="158"/>
      <c r="F906" s="160"/>
      <c r="G906" s="158"/>
      <c r="H906" s="158"/>
      <c r="I906" s="158"/>
      <c r="J906" s="158"/>
      <c r="K906" s="158"/>
      <c r="L906" s="158"/>
      <c r="M906" s="158"/>
      <c r="N906" s="158"/>
    </row>
    <row r="907">
      <c r="B907" s="158"/>
      <c r="C907" s="158"/>
      <c r="D907" s="158"/>
      <c r="E907" s="158"/>
      <c r="F907" s="160"/>
      <c r="G907" s="158"/>
      <c r="H907" s="158"/>
      <c r="I907" s="158"/>
      <c r="J907" s="158"/>
      <c r="K907" s="158"/>
      <c r="L907" s="158"/>
      <c r="M907" s="158"/>
      <c r="N907" s="158"/>
    </row>
    <row r="908">
      <c r="B908" s="158"/>
      <c r="C908" s="158"/>
      <c r="D908" s="158"/>
      <c r="E908" s="158"/>
      <c r="F908" s="160"/>
      <c r="G908" s="158"/>
      <c r="H908" s="158"/>
      <c r="I908" s="158"/>
      <c r="J908" s="158"/>
      <c r="K908" s="158"/>
      <c r="L908" s="158"/>
      <c r="M908" s="158"/>
      <c r="N908" s="158"/>
    </row>
    <row r="909">
      <c r="B909" s="158"/>
      <c r="C909" s="158"/>
      <c r="D909" s="158"/>
      <c r="E909" s="158"/>
      <c r="F909" s="160"/>
      <c r="G909" s="158"/>
      <c r="H909" s="158"/>
      <c r="I909" s="158"/>
      <c r="J909" s="158"/>
      <c r="K909" s="158"/>
      <c r="L909" s="158"/>
      <c r="M909" s="158"/>
      <c r="N909" s="158"/>
    </row>
    <row r="910">
      <c r="B910" s="158"/>
      <c r="C910" s="158"/>
      <c r="D910" s="158"/>
      <c r="E910" s="158"/>
      <c r="F910" s="160"/>
      <c r="G910" s="158"/>
      <c r="H910" s="158"/>
      <c r="I910" s="158"/>
      <c r="J910" s="158"/>
      <c r="K910" s="158"/>
      <c r="L910" s="158"/>
      <c r="M910" s="158"/>
      <c r="N910" s="158"/>
    </row>
    <row r="911">
      <c r="B911" s="158"/>
      <c r="C911" s="158"/>
      <c r="D911" s="158"/>
      <c r="E911" s="158"/>
      <c r="F911" s="160"/>
      <c r="G911" s="158"/>
      <c r="H911" s="158"/>
      <c r="I911" s="158"/>
      <c r="J911" s="158"/>
      <c r="K911" s="158"/>
      <c r="L911" s="158"/>
      <c r="M911" s="158"/>
      <c r="N911" s="158"/>
    </row>
    <row r="912">
      <c r="B912" s="158"/>
      <c r="C912" s="158"/>
      <c r="D912" s="158"/>
      <c r="E912" s="158"/>
      <c r="F912" s="160"/>
      <c r="G912" s="158"/>
      <c r="H912" s="158"/>
      <c r="I912" s="158"/>
      <c r="J912" s="158"/>
      <c r="K912" s="158"/>
      <c r="L912" s="158"/>
      <c r="M912" s="158"/>
      <c r="N912" s="158"/>
    </row>
    <row r="913">
      <c r="B913" s="158"/>
      <c r="C913" s="158"/>
      <c r="D913" s="158"/>
      <c r="E913" s="158"/>
      <c r="F913" s="160"/>
      <c r="G913" s="158"/>
      <c r="H913" s="158"/>
      <c r="I913" s="158"/>
      <c r="J913" s="158"/>
      <c r="K913" s="158"/>
      <c r="L913" s="158"/>
      <c r="M913" s="158"/>
      <c r="N913" s="158"/>
    </row>
    <row r="914">
      <c r="B914" s="158"/>
      <c r="C914" s="158"/>
      <c r="D914" s="158"/>
      <c r="E914" s="158"/>
      <c r="F914" s="160"/>
      <c r="G914" s="158"/>
      <c r="H914" s="158"/>
      <c r="I914" s="158"/>
      <c r="J914" s="158"/>
      <c r="K914" s="158"/>
      <c r="L914" s="158"/>
      <c r="M914" s="158"/>
      <c r="N914" s="158"/>
    </row>
    <row r="915">
      <c r="B915" s="158"/>
      <c r="C915" s="158"/>
      <c r="D915" s="158"/>
      <c r="E915" s="158"/>
      <c r="F915" s="160"/>
      <c r="G915" s="158"/>
      <c r="H915" s="158"/>
      <c r="I915" s="158"/>
      <c r="J915" s="158"/>
      <c r="K915" s="158"/>
      <c r="L915" s="158"/>
      <c r="M915" s="158"/>
      <c r="N915" s="158"/>
    </row>
    <row r="916">
      <c r="B916" s="158"/>
      <c r="C916" s="158"/>
      <c r="D916" s="158"/>
      <c r="E916" s="158"/>
      <c r="F916" s="160"/>
      <c r="G916" s="158"/>
      <c r="H916" s="158"/>
      <c r="I916" s="158"/>
      <c r="J916" s="158"/>
      <c r="K916" s="158"/>
      <c r="L916" s="158"/>
      <c r="M916" s="158"/>
      <c r="N916" s="158"/>
    </row>
    <row r="917">
      <c r="B917" s="158"/>
      <c r="C917" s="158"/>
      <c r="D917" s="158"/>
      <c r="E917" s="158"/>
      <c r="F917" s="160"/>
      <c r="G917" s="158"/>
      <c r="H917" s="158"/>
      <c r="I917" s="158"/>
      <c r="J917" s="158"/>
      <c r="K917" s="158"/>
      <c r="L917" s="158"/>
      <c r="M917" s="158"/>
      <c r="N917" s="158"/>
    </row>
    <row r="918">
      <c r="B918" s="158"/>
      <c r="C918" s="158"/>
      <c r="D918" s="158"/>
      <c r="E918" s="158"/>
      <c r="F918" s="160"/>
      <c r="G918" s="158"/>
      <c r="H918" s="158"/>
      <c r="I918" s="158"/>
      <c r="J918" s="158"/>
      <c r="K918" s="158"/>
      <c r="L918" s="158"/>
      <c r="M918" s="158"/>
      <c r="N918" s="158"/>
    </row>
    <row r="919">
      <c r="B919" s="158"/>
      <c r="C919" s="158"/>
      <c r="D919" s="158"/>
      <c r="E919" s="158"/>
      <c r="F919" s="160"/>
      <c r="G919" s="158"/>
      <c r="H919" s="158"/>
      <c r="I919" s="158"/>
      <c r="J919" s="158"/>
      <c r="K919" s="158"/>
      <c r="L919" s="158"/>
      <c r="M919" s="158"/>
      <c r="N919" s="158"/>
    </row>
    <row r="920">
      <c r="B920" s="158"/>
      <c r="C920" s="158"/>
      <c r="D920" s="158"/>
      <c r="E920" s="158"/>
      <c r="F920" s="160"/>
      <c r="G920" s="158"/>
      <c r="H920" s="158"/>
      <c r="I920" s="158"/>
      <c r="J920" s="158"/>
      <c r="K920" s="158"/>
      <c r="L920" s="158"/>
      <c r="M920" s="158"/>
      <c r="N920" s="158"/>
    </row>
    <row r="921">
      <c r="B921" s="158"/>
      <c r="C921" s="158"/>
      <c r="D921" s="158"/>
      <c r="E921" s="158"/>
      <c r="F921" s="160"/>
      <c r="G921" s="158"/>
      <c r="H921" s="158"/>
      <c r="I921" s="158"/>
      <c r="J921" s="158"/>
      <c r="K921" s="158"/>
      <c r="L921" s="158"/>
      <c r="M921" s="158"/>
      <c r="N921" s="158"/>
    </row>
    <row r="922">
      <c r="B922" s="158"/>
      <c r="C922" s="158"/>
      <c r="D922" s="158"/>
      <c r="E922" s="158"/>
      <c r="F922" s="160"/>
      <c r="G922" s="158"/>
      <c r="H922" s="158"/>
      <c r="I922" s="158"/>
      <c r="J922" s="158"/>
      <c r="K922" s="158"/>
      <c r="L922" s="158"/>
      <c r="M922" s="158"/>
      <c r="N922" s="158"/>
    </row>
    <row r="923">
      <c r="B923" s="158"/>
      <c r="C923" s="158"/>
      <c r="D923" s="158"/>
      <c r="E923" s="158"/>
      <c r="F923" s="160"/>
      <c r="G923" s="158"/>
      <c r="H923" s="158"/>
      <c r="I923" s="158"/>
      <c r="J923" s="158"/>
      <c r="K923" s="158"/>
      <c r="L923" s="158"/>
      <c r="M923" s="158"/>
      <c r="N923" s="158"/>
    </row>
    <row r="924">
      <c r="B924" s="158"/>
      <c r="C924" s="158"/>
      <c r="D924" s="158"/>
      <c r="E924" s="158"/>
      <c r="F924" s="160"/>
      <c r="G924" s="158"/>
      <c r="H924" s="158"/>
      <c r="I924" s="158"/>
      <c r="J924" s="158"/>
      <c r="K924" s="158"/>
      <c r="L924" s="158"/>
      <c r="M924" s="158"/>
      <c r="N924" s="158"/>
    </row>
    <row r="925">
      <c r="B925" s="158"/>
      <c r="C925" s="158"/>
      <c r="D925" s="158"/>
      <c r="E925" s="158"/>
      <c r="F925" s="160"/>
      <c r="G925" s="158"/>
      <c r="H925" s="158"/>
      <c r="I925" s="158"/>
      <c r="J925" s="158"/>
      <c r="K925" s="158"/>
      <c r="L925" s="158"/>
      <c r="M925" s="158"/>
      <c r="N925" s="158"/>
    </row>
    <row r="926">
      <c r="B926" s="158"/>
      <c r="C926" s="158"/>
      <c r="D926" s="158"/>
      <c r="E926" s="158"/>
      <c r="F926" s="160"/>
      <c r="G926" s="158"/>
      <c r="H926" s="158"/>
      <c r="I926" s="158"/>
      <c r="J926" s="158"/>
      <c r="K926" s="158"/>
      <c r="L926" s="158"/>
      <c r="M926" s="158"/>
      <c r="N926" s="158"/>
    </row>
    <row r="927">
      <c r="B927" s="158"/>
      <c r="C927" s="158"/>
      <c r="D927" s="158"/>
      <c r="E927" s="158"/>
      <c r="F927" s="160"/>
      <c r="G927" s="158"/>
      <c r="H927" s="158"/>
      <c r="I927" s="158"/>
      <c r="J927" s="158"/>
      <c r="K927" s="158"/>
      <c r="L927" s="158"/>
      <c r="M927" s="158"/>
      <c r="N927" s="158"/>
    </row>
    <row r="928">
      <c r="B928" s="158"/>
      <c r="C928" s="158"/>
      <c r="D928" s="158"/>
      <c r="E928" s="158"/>
      <c r="F928" s="160"/>
      <c r="G928" s="158"/>
      <c r="H928" s="158"/>
      <c r="I928" s="158"/>
      <c r="J928" s="158"/>
      <c r="K928" s="158"/>
      <c r="L928" s="158"/>
      <c r="M928" s="158"/>
      <c r="N928" s="158"/>
    </row>
    <row r="929">
      <c r="B929" s="158"/>
      <c r="C929" s="158"/>
      <c r="D929" s="158"/>
      <c r="E929" s="158"/>
      <c r="F929" s="160"/>
      <c r="G929" s="158"/>
      <c r="H929" s="158"/>
      <c r="I929" s="158"/>
      <c r="J929" s="158"/>
      <c r="K929" s="158"/>
      <c r="L929" s="158"/>
      <c r="M929" s="158"/>
      <c r="N929" s="158"/>
    </row>
    <row r="930">
      <c r="B930" s="158"/>
      <c r="C930" s="158"/>
      <c r="D930" s="158"/>
      <c r="E930" s="158"/>
      <c r="F930" s="160"/>
      <c r="G930" s="158"/>
      <c r="H930" s="158"/>
      <c r="I930" s="158"/>
      <c r="J930" s="158"/>
      <c r="K930" s="158"/>
      <c r="L930" s="158"/>
      <c r="M930" s="158"/>
      <c r="N930" s="158"/>
    </row>
    <row r="931">
      <c r="B931" s="158"/>
      <c r="C931" s="158"/>
      <c r="D931" s="158"/>
      <c r="E931" s="158"/>
      <c r="F931" s="160"/>
      <c r="G931" s="158"/>
      <c r="H931" s="158"/>
      <c r="I931" s="158"/>
      <c r="J931" s="158"/>
      <c r="K931" s="158"/>
      <c r="L931" s="158"/>
      <c r="M931" s="158"/>
      <c r="N931" s="158"/>
    </row>
    <row r="932">
      <c r="B932" s="158"/>
      <c r="C932" s="158"/>
      <c r="D932" s="158"/>
      <c r="E932" s="158"/>
      <c r="F932" s="160"/>
      <c r="G932" s="158"/>
      <c r="H932" s="158"/>
      <c r="I932" s="158"/>
      <c r="J932" s="158"/>
      <c r="K932" s="158"/>
      <c r="L932" s="158"/>
      <c r="M932" s="158"/>
      <c r="N932" s="158"/>
    </row>
    <row r="933">
      <c r="B933" s="158"/>
      <c r="C933" s="158"/>
      <c r="D933" s="158"/>
      <c r="E933" s="158"/>
      <c r="F933" s="160"/>
      <c r="G933" s="158"/>
      <c r="H933" s="158"/>
      <c r="I933" s="158"/>
      <c r="J933" s="158"/>
      <c r="K933" s="158"/>
      <c r="L933" s="158"/>
      <c r="M933" s="158"/>
      <c r="N933" s="158"/>
    </row>
    <row r="934">
      <c r="B934" s="158"/>
      <c r="C934" s="158"/>
      <c r="D934" s="158"/>
      <c r="E934" s="158"/>
      <c r="F934" s="160"/>
      <c r="G934" s="158"/>
      <c r="H934" s="158"/>
      <c r="I934" s="158"/>
      <c r="J934" s="158"/>
      <c r="K934" s="158"/>
      <c r="L934" s="158"/>
      <c r="M934" s="158"/>
      <c r="N934" s="158"/>
    </row>
    <row r="935">
      <c r="B935" s="158"/>
      <c r="C935" s="158"/>
      <c r="D935" s="158"/>
      <c r="E935" s="158"/>
      <c r="F935" s="160"/>
      <c r="G935" s="158"/>
      <c r="H935" s="158"/>
      <c r="I935" s="158"/>
      <c r="J935" s="158"/>
      <c r="K935" s="158"/>
      <c r="L935" s="158"/>
      <c r="M935" s="158"/>
      <c r="N935" s="158"/>
    </row>
    <row r="936">
      <c r="B936" s="158"/>
      <c r="C936" s="158"/>
      <c r="D936" s="158"/>
      <c r="E936" s="158"/>
      <c r="F936" s="160"/>
      <c r="G936" s="158"/>
      <c r="H936" s="158"/>
      <c r="I936" s="158"/>
      <c r="J936" s="158"/>
      <c r="K936" s="158"/>
      <c r="L936" s="158"/>
      <c r="M936" s="158"/>
      <c r="N936" s="158"/>
    </row>
    <row r="937">
      <c r="B937" s="158"/>
      <c r="C937" s="158"/>
      <c r="D937" s="158"/>
      <c r="E937" s="158"/>
      <c r="F937" s="160"/>
      <c r="G937" s="158"/>
      <c r="H937" s="158"/>
      <c r="I937" s="158"/>
      <c r="J937" s="158"/>
      <c r="K937" s="158"/>
      <c r="L937" s="158"/>
      <c r="M937" s="158"/>
      <c r="N937" s="158"/>
    </row>
    <row r="938">
      <c r="B938" s="158"/>
      <c r="C938" s="158"/>
      <c r="D938" s="158"/>
      <c r="E938" s="158"/>
      <c r="F938" s="160"/>
      <c r="G938" s="158"/>
      <c r="H938" s="158"/>
      <c r="I938" s="158"/>
      <c r="J938" s="158"/>
      <c r="K938" s="158"/>
      <c r="L938" s="158"/>
      <c r="M938" s="158"/>
      <c r="N938" s="158"/>
    </row>
    <row r="939">
      <c r="B939" s="158"/>
      <c r="C939" s="158"/>
      <c r="D939" s="158"/>
      <c r="E939" s="158"/>
      <c r="F939" s="160"/>
      <c r="G939" s="158"/>
      <c r="H939" s="158"/>
      <c r="I939" s="158"/>
      <c r="J939" s="158"/>
      <c r="K939" s="158"/>
      <c r="L939" s="158"/>
      <c r="M939" s="158"/>
      <c r="N939" s="158"/>
    </row>
    <row r="940">
      <c r="B940" s="158"/>
      <c r="C940" s="158"/>
      <c r="D940" s="158"/>
      <c r="E940" s="158"/>
      <c r="F940" s="160"/>
      <c r="G940" s="158"/>
      <c r="H940" s="158"/>
      <c r="I940" s="158"/>
      <c r="J940" s="158"/>
      <c r="K940" s="158"/>
      <c r="L940" s="158"/>
      <c r="M940" s="158"/>
      <c r="N940" s="158"/>
    </row>
    <row r="941">
      <c r="B941" s="158"/>
      <c r="C941" s="158"/>
      <c r="D941" s="158"/>
      <c r="E941" s="158"/>
      <c r="F941" s="160"/>
      <c r="G941" s="158"/>
      <c r="H941" s="158"/>
      <c r="I941" s="158"/>
      <c r="J941" s="158"/>
      <c r="K941" s="158"/>
      <c r="L941" s="158"/>
      <c r="M941" s="158"/>
      <c r="N941" s="158"/>
    </row>
    <row r="942">
      <c r="B942" s="158"/>
      <c r="C942" s="158"/>
      <c r="D942" s="158"/>
      <c r="E942" s="158"/>
      <c r="F942" s="160"/>
      <c r="G942" s="158"/>
      <c r="H942" s="158"/>
      <c r="I942" s="158"/>
      <c r="J942" s="158"/>
      <c r="K942" s="158"/>
      <c r="L942" s="158"/>
      <c r="M942" s="158"/>
      <c r="N942" s="158"/>
    </row>
    <row r="943">
      <c r="B943" s="158"/>
      <c r="C943" s="158"/>
      <c r="D943" s="158"/>
      <c r="E943" s="158"/>
      <c r="F943" s="160"/>
      <c r="G943" s="158"/>
      <c r="H943" s="158"/>
      <c r="I943" s="158"/>
      <c r="J943" s="158"/>
      <c r="K943" s="158"/>
      <c r="L943" s="158"/>
      <c r="M943" s="158"/>
      <c r="N943" s="158"/>
    </row>
    <row r="944">
      <c r="B944" s="158"/>
      <c r="C944" s="158"/>
      <c r="D944" s="158"/>
      <c r="E944" s="158"/>
      <c r="F944" s="160"/>
      <c r="G944" s="158"/>
      <c r="H944" s="158"/>
      <c r="I944" s="158"/>
      <c r="J944" s="158"/>
      <c r="K944" s="158"/>
      <c r="L944" s="158"/>
      <c r="M944" s="158"/>
      <c r="N944" s="158"/>
    </row>
    <row r="945">
      <c r="B945" s="158"/>
      <c r="C945" s="158"/>
      <c r="D945" s="158"/>
      <c r="E945" s="158"/>
      <c r="F945" s="160"/>
      <c r="G945" s="158"/>
      <c r="H945" s="158"/>
      <c r="I945" s="158"/>
      <c r="J945" s="158"/>
      <c r="K945" s="158"/>
      <c r="L945" s="158"/>
      <c r="M945" s="158"/>
      <c r="N945" s="158"/>
    </row>
    <row r="946">
      <c r="B946" s="158"/>
      <c r="C946" s="158"/>
      <c r="D946" s="158"/>
      <c r="E946" s="158"/>
      <c r="F946" s="160"/>
      <c r="G946" s="158"/>
      <c r="H946" s="158"/>
      <c r="I946" s="158"/>
      <c r="J946" s="158"/>
      <c r="K946" s="158"/>
      <c r="L946" s="158"/>
      <c r="M946" s="158"/>
      <c r="N946" s="158"/>
    </row>
    <row r="947">
      <c r="B947" s="158"/>
      <c r="C947" s="158"/>
      <c r="D947" s="158"/>
      <c r="E947" s="158"/>
      <c r="F947" s="160"/>
      <c r="G947" s="158"/>
      <c r="H947" s="158"/>
      <c r="I947" s="158"/>
      <c r="J947" s="158"/>
      <c r="K947" s="158"/>
      <c r="L947" s="158"/>
      <c r="M947" s="158"/>
      <c r="N947" s="158"/>
    </row>
    <row r="948">
      <c r="B948" s="158"/>
      <c r="C948" s="158"/>
      <c r="D948" s="158"/>
      <c r="E948" s="158"/>
      <c r="F948" s="160"/>
      <c r="G948" s="158"/>
      <c r="H948" s="158"/>
      <c r="I948" s="158"/>
      <c r="J948" s="158"/>
      <c r="K948" s="158"/>
      <c r="L948" s="158"/>
      <c r="M948" s="158"/>
      <c r="N948" s="158"/>
    </row>
    <row r="949">
      <c r="B949" s="158"/>
      <c r="C949" s="158"/>
      <c r="D949" s="158"/>
      <c r="E949" s="158"/>
      <c r="F949" s="160"/>
      <c r="G949" s="158"/>
      <c r="H949" s="158"/>
      <c r="I949" s="158"/>
      <c r="J949" s="158"/>
      <c r="K949" s="158"/>
      <c r="L949" s="158"/>
      <c r="M949" s="158"/>
      <c r="N949" s="158"/>
    </row>
    <row r="950">
      <c r="B950" s="158"/>
      <c r="C950" s="158"/>
      <c r="D950" s="158"/>
      <c r="E950" s="158"/>
      <c r="F950" s="160"/>
      <c r="G950" s="158"/>
      <c r="H950" s="158"/>
      <c r="I950" s="158"/>
      <c r="J950" s="158"/>
      <c r="K950" s="158"/>
      <c r="L950" s="158"/>
      <c r="M950" s="158"/>
      <c r="N950" s="158"/>
    </row>
    <row r="951">
      <c r="B951" s="158"/>
      <c r="C951" s="158"/>
      <c r="D951" s="158"/>
      <c r="E951" s="158"/>
      <c r="F951" s="160"/>
      <c r="G951" s="158"/>
      <c r="H951" s="158"/>
      <c r="I951" s="158"/>
      <c r="J951" s="158"/>
      <c r="K951" s="158"/>
      <c r="L951" s="158"/>
      <c r="M951" s="158"/>
      <c r="N951" s="158"/>
    </row>
    <row r="952">
      <c r="B952" s="158"/>
      <c r="C952" s="158"/>
      <c r="D952" s="158"/>
      <c r="E952" s="158"/>
      <c r="F952" s="160"/>
      <c r="G952" s="158"/>
      <c r="H952" s="158"/>
      <c r="I952" s="158"/>
      <c r="J952" s="158"/>
      <c r="K952" s="158"/>
      <c r="L952" s="158"/>
      <c r="M952" s="158"/>
      <c r="N952" s="158"/>
    </row>
    <row r="953">
      <c r="B953" s="158"/>
      <c r="C953" s="158"/>
      <c r="D953" s="158"/>
      <c r="E953" s="158"/>
      <c r="F953" s="160"/>
      <c r="G953" s="158"/>
      <c r="H953" s="158"/>
      <c r="I953" s="158"/>
      <c r="J953" s="158"/>
      <c r="K953" s="158"/>
      <c r="L953" s="158"/>
      <c r="M953" s="158"/>
      <c r="N953" s="158"/>
    </row>
    <row r="954">
      <c r="B954" s="158"/>
      <c r="C954" s="158"/>
      <c r="D954" s="158"/>
      <c r="E954" s="158"/>
      <c r="F954" s="160"/>
      <c r="G954" s="158"/>
      <c r="H954" s="158"/>
      <c r="I954" s="158"/>
      <c r="J954" s="158"/>
      <c r="K954" s="158"/>
      <c r="L954" s="158"/>
      <c r="M954" s="158"/>
      <c r="N954" s="158"/>
    </row>
    <row r="955">
      <c r="B955" s="158"/>
      <c r="C955" s="158"/>
      <c r="D955" s="158"/>
      <c r="E955" s="158"/>
      <c r="F955" s="160"/>
      <c r="G955" s="158"/>
      <c r="H955" s="158"/>
      <c r="I955" s="158"/>
      <c r="J955" s="158"/>
      <c r="K955" s="158"/>
      <c r="L955" s="158"/>
      <c r="M955" s="158"/>
      <c r="N955" s="158"/>
    </row>
    <row r="956">
      <c r="B956" s="158"/>
      <c r="C956" s="158"/>
      <c r="D956" s="158"/>
      <c r="E956" s="158"/>
      <c r="F956" s="160"/>
      <c r="G956" s="158"/>
      <c r="H956" s="158"/>
      <c r="I956" s="158"/>
      <c r="J956" s="158"/>
      <c r="K956" s="158"/>
      <c r="L956" s="158"/>
      <c r="M956" s="158"/>
      <c r="N956" s="158"/>
    </row>
    <row r="957">
      <c r="B957" s="158"/>
      <c r="C957" s="158"/>
      <c r="D957" s="158"/>
      <c r="E957" s="158"/>
      <c r="F957" s="160"/>
      <c r="G957" s="158"/>
      <c r="H957" s="158"/>
      <c r="I957" s="158"/>
      <c r="J957" s="158"/>
      <c r="K957" s="158"/>
      <c r="L957" s="158"/>
      <c r="M957" s="158"/>
      <c r="N957" s="158"/>
    </row>
    <row r="958">
      <c r="B958" s="158"/>
      <c r="C958" s="158"/>
      <c r="D958" s="158"/>
      <c r="E958" s="158"/>
      <c r="F958" s="160"/>
      <c r="G958" s="158"/>
      <c r="H958" s="158"/>
      <c r="I958" s="158"/>
      <c r="J958" s="158"/>
      <c r="K958" s="158"/>
      <c r="L958" s="158"/>
      <c r="M958" s="158"/>
      <c r="N958" s="158"/>
    </row>
    <row r="959">
      <c r="B959" s="158"/>
      <c r="C959" s="158"/>
      <c r="D959" s="158"/>
      <c r="E959" s="158"/>
      <c r="F959" s="160"/>
      <c r="G959" s="158"/>
      <c r="H959" s="158"/>
      <c r="I959" s="158"/>
      <c r="J959" s="158"/>
      <c r="K959" s="158"/>
      <c r="L959" s="158"/>
      <c r="M959" s="158"/>
      <c r="N959" s="158"/>
    </row>
    <row r="960">
      <c r="B960" s="158"/>
      <c r="C960" s="158"/>
      <c r="D960" s="158"/>
      <c r="E960" s="158"/>
      <c r="F960" s="160"/>
      <c r="G960" s="158"/>
      <c r="H960" s="158"/>
      <c r="I960" s="158"/>
      <c r="J960" s="158"/>
      <c r="K960" s="158"/>
      <c r="L960" s="158"/>
      <c r="M960" s="158"/>
      <c r="N960" s="158"/>
    </row>
    <row r="961">
      <c r="B961" s="158"/>
      <c r="C961" s="158"/>
      <c r="D961" s="158"/>
      <c r="E961" s="158"/>
      <c r="F961" s="160"/>
      <c r="G961" s="158"/>
      <c r="H961" s="158"/>
      <c r="I961" s="158"/>
      <c r="J961" s="158"/>
      <c r="K961" s="158"/>
      <c r="L961" s="158"/>
      <c r="M961" s="158"/>
      <c r="N961" s="158"/>
    </row>
    <row r="962">
      <c r="B962" s="158"/>
      <c r="C962" s="158"/>
      <c r="D962" s="158"/>
      <c r="E962" s="158"/>
      <c r="F962" s="160"/>
      <c r="G962" s="158"/>
      <c r="H962" s="158"/>
      <c r="I962" s="158"/>
      <c r="J962" s="158"/>
      <c r="K962" s="158"/>
      <c r="L962" s="158"/>
      <c r="M962" s="158"/>
      <c r="N962" s="158"/>
    </row>
    <row r="963">
      <c r="B963" s="158"/>
      <c r="C963" s="158"/>
      <c r="D963" s="158"/>
      <c r="E963" s="158"/>
      <c r="F963" s="160"/>
      <c r="G963" s="158"/>
      <c r="H963" s="158"/>
      <c r="I963" s="158"/>
      <c r="J963" s="158"/>
      <c r="K963" s="158"/>
      <c r="L963" s="158"/>
      <c r="M963" s="158"/>
      <c r="N963" s="158"/>
    </row>
    <row r="964">
      <c r="B964" s="158"/>
      <c r="C964" s="158"/>
      <c r="D964" s="158"/>
      <c r="E964" s="158"/>
      <c r="F964" s="160"/>
      <c r="G964" s="158"/>
      <c r="H964" s="158"/>
      <c r="I964" s="158"/>
      <c r="J964" s="158"/>
      <c r="K964" s="158"/>
      <c r="L964" s="158"/>
      <c r="M964" s="158"/>
      <c r="N964" s="158"/>
    </row>
    <row r="965">
      <c r="B965" s="158"/>
      <c r="C965" s="158"/>
      <c r="D965" s="158"/>
      <c r="E965" s="158"/>
      <c r="F965" s="160"/>
      <c r="G965" s="158"/>
      <c r="H965" s="158"/>
      <c r="I965" s="158"/>
      <c r="J965" s="158"/>
      <c r="K965" s="158"/>
      <c r="L965" s="158"/>
      <c r="M965" s="158"/>
      <c r="N965" s="158"/>
    </row>
    <row r="966">
      <c r="B966" s="158"/>
      <c r="C966" s="158"/>
      <c r="D966" s="158"/>
      <c r="E966" s="158"/>
      <c r="F966" s="160"/>
      <c r="G966" s="158"/>
      <c r="H966" s="158"/>
      <c r="I966" s="158"/>
      <c r="J966" s="158"/>
      <c r="K966" s="158"/>
      <c r="L966" s="158"/>
      <c r="M966" s="158"/>
      <c r="N966" s="158"/>
    </row>
    <row r="967">
      <c r="B967" s="158"/>
      <c r="C967" s="158"/>
      <c r="D967" s="158"/>
      <c r="E967" s="158"/>
      <c r="F967" s="160"/>
      <c r="G967" s="158"/>
      <c r="H967" s="158"/>
      <c r="I967" s="158"/>
      <c r="J967" s="158"/>
      <c r="K967" s="158"/>
      <c r="L967" s="158"/>
      <c r="M967" s="158"/>
      <c r="N967" s="158"/>
    </row>
    <row r="968">
      <c r="B968" s="158"/>
      <c r="C968" s="158"/>
      <c r="D968" s="158"/>
      <c r="E968" s="158"/>
      <c r="F968" s="160"/>
      <c r="G968" s="158"/>
      <c r="H968" s="158"/>
      <c r="I968" s="158"/>
      <c r="J968" s="158"/>
      <c r="K968" s="158"/>
      <c r="L968" s="158"/>
      <c r="M968" s="158"/>
      <c r="N968" s="158"/>
    </row>
    <row r="969">
      <c r="B969" s="158"/>
      <c r="C969" s="158"/>
      <c r="D969" s="158"/>
      <c r="E969" s="158"/>
      <c r="F969" s="160"/>
      <c r="G969" s="158"/>
      <c r="H969" s="158"/>
      <c r="I969" s="158"/>
      <c r="J969" s="158"/>
      <c r="K969" s="158"/>
      <c r="L969" s="158"/>
      <c r="M969" s="158"/>
      <c r="N969" s="158"/>
    </row>
    <row r="970">
      <c r="B970" s="158"/>
      <c r="C970" s="158"/>
      <c r="D970" s="158"/>
      <c r="E970" s="158"/>
      <c r="F970" s="160"/>
      <c r="G970" s="158"/>
      <c r="H970" s="158"/>
      <c r="I970" s="158"/>
      <c r="J970" s="158"/>
      <c r="K970" s="158"/>
      <c r="L970" s="158"/>
      <c r="M970" s="158"/>
      <c r="N970" s="158"/>
    </row>
    <row r="971">
      <c r="B971" s="158"/>
      <c r="C971" s="158"/>
      <c r="D971" s="158"/>
      <c r="E971" s="158"/>
      <c r="F971" s="160"/>
      <c r="G971" s="158"/>
      <c r="H971" s="158"/>
      <c r="I971" s="158"/>
      <c r="J971" s="158"/>
      <c r="K971" s="158"/>
      <c r="L971" s="158"/>
      <c r="M971" s="158"/>
      <c r="N971" s="158"/>
    </row>
    <row r="972">
      <c r="B972" s="158"/>
      <c r="C972" s="158"/>
      <c r="D972" s="158"/>
      <c r="E972" s="158"/>
      <c r="F972" s="160"/>
      <c r="G972" s="158"/>
      <c r="H972" s="158"/>
      <c r="I972" s="158"/>
      <c r="J972" s="158"/>
      <c r="K972" s="158"/>
      <c r="L972" s="158"/>
      <c r="M972" s="158"/>
      <c r="N972" s="158"/>
    </row>
    <row r="973">
      <c r="B973" s="158"/>
      <c r="C973" s="158"/>
      <c r="D973" s="158"/>
      <c r="E973" s="158"/>
      <c r="F973" s="160"/>
      <c r="G973" s="158"/>
      <c r="H973" s="158"/>
      <c r="I973" s="158"/>
      <c r="J973" s="158"/>
      <c r="K973" s="158"/>
      <c r="L973" s="158"/>
      <c r="M973" s="158"/>
      <c r="N973" s="158"/>
    </row>
    <row r="974">
      <c r="B974" s="158"/>
      <c r="C974" s="158"/>
      <c r="D974" s="158"/>
      <c r="E974" s="158"/>
      <c r="F974" s="160"/>
      <c r="G974" s="158"/>
      <c r="H974" s="158"/>
      <c r="I974" s="158"/>
      <c r="J974" s="158"/>
      <c r="K974" s="158"/>
      <c r="L974" s="158"/>
      <c r="M974" s="158"/>
      <c r="N974" s="158"/>
    </row>
    <row r="975">
      <c r="B975" s="158"/>
      <c r="C975" s="158"/>
      <c r="D975" s="158"/>
      <c r="E975" s="158"/>
      <c r="F975" s="160"/>
      <c r="G975" s="158"/>
      <c r="H975" s="158"/>
      <c r="I975" s="158"/>
      <c r="J975" s="158"/>
      <c r="K975" s="158"/>
      <c r="L975" s="158"/>
      <c r="M975" s="158"/>
      <c r="N975" s="158"/>
    </row>
    <row r="976">
      <c r="B976" s="158"/>
      <c r="C976" s="158"/>
      <c r="D976" s="158"/>
      <c r="E976" s="158"/>
      <c r="F976" s="160"/>
      <c r="G976" s="158"/>
      <c r="H976" s="158"/>
      <c r="I976" s="158"/>
      <c r="J976" s="158"/>
      <c r="K976" s="158"/>
      <c r="L976" s="158"/>
      <c r="M976" s="158"/>
      <c r="N976" s="158"/>
    </row>
    <row r="977">
      <c r="B977" s="158"/>
      <c r="C977" s="158"/>
      <c r="D977" s="158"/>
      <c r="E977" s="158"/>
      <c r="F977" s="160"/>
      <c r="G977" s="158"/>
      <c r="H977" s="158"/>
      <c r="I977" s="158"/>
      <c r="J977" s="158"/>
      <c r="K977" s="158"/>
      <c r="L977" s="158"/>
      <c r="M977" s="158"/>
      <c r="N977" s="158"/>
    </row>
    <row r="978">
      <c r="B978" s="158"/>
      <c r="C978" s="158"/>
      <c r="D978" s="158"/>
      <c r="E978" s="158"/>
      <c r="F978" s="160"/>
      <c r="G978" s="158"/>
      <c r="H978" s="158"/>
      <c r="I978" s="158"/>
      <c r="J978" s="158"/>
      <c r="K978" s="158"/>
      <c r="L978" s="158"/>
      <c r="M978" s="158"/>
      <c r="N978" s="158"/>
    </row>
    <row r="979">
      <c r="B979" s="158"/>
      <c r="C979" s="158"/>
      <c r="D979" s="158"/>
      <c r="E979" s="158"/>
      <c r="F979" s="160"/>
      <c r="G979" s="158"/>
      <c r="H979" s="158"/>
      <c r="I979" s="158"/>
      <c r="J979" s="158"/>
      <c r="K979" s="158"/>
      <c r="L979" s="158"/>
      <c r="M979" s="158"/>
      <c r="N979" s="158"/>
    </row>
    <row r="980">
      <c r="B980" s="158"/>
      <c r="C980" s="158"/>
      <c r="D980" s="158"/>
      <c r="E980" s="158"/>
      <c r="F980" s="160"/>
      <c r="G980" s="158"/>
      <c r="H980" s="158"/>
      <c r="I980" s="158"/>
      <c r="J980" s="158"/>
      <c r="K980" s="158"/>
      <c r="L980" s="158"/>
      <c r="M980" s="158"/>
      <c r="N980" s="158"/>
    </row>
    <row r="981">
      <c r="B981" s="158"/>
      <c r="C981" s="158"/>
      <c r="D981" s="158"/>
      <c r="E981" s="158"/>
      <c r="F981" s="160"/>
      <c r="G981" s="158"/>
      <c r="H981" s="158"/>
      <c r="I981" s="158"/>
      <c r="J981" s="158"/>
      <c r="K981" s="158"/>
      <c r="L981" s="158"/>
      <c r="M981" s="158"/>
      <c r="N981" s="158"/>
    </row>
    <row r="982">
      <c r="B982" s="158"/>
      <c r="C982" s="158"/>
      <c r="D982" s="158"/>
      <c r="E982" s="158"/>
      <c r="F982" s="160"/>
      <c r="G982" s="158"/>
      <c r="H982" s="158"/>
      <c r="I982" s="158"/>
      <c r="J982" s="158"/>
      <c r="K982" s="158"/>
      <c r="L982" s="158"/>
      <c r="M982" s="158"/>
      <c r="N982" s="158"/>
    </row>
    <row r="983">
      <c r="B983" s="158"/>
      <c r="C983" s="158"/>
      <c r="D983" s="158"/>
      <c r="E983" s="158"/>
      <c r="F983" s="160"/>
      <c r="G983" s="158"/>
      <c r="H983" s="158"/>
      <c r="I983" s="158"/>
      <c r="J983" s="158"/>
      <c r="K983" s="158"/>
      <c r="L983" s="158"/>
      <c r="M983" s="158"/>
      <c r="N983" s="158"/>
    </row>
    <row r="984">
      <c r="B984" s="158"/>
      <c r="C984" s="158"/>
      <c r="D984" s="158"/>
      <c r="E984" s="158"/>
      <c r="F984" s="160"/>
      <c r="G984" s="158"/>
      <c r="H984" s="158"/>
      <c r="I984" s="158"/>
      <c r="J984" s="158"/>
      <c r="K984" s="158"/>
      <c r="L984" s="158"/>
      <c r="M984" s="158"/>
      <c r="N984" s="158"/>
    </row>
    <row r="985">
      <c r="B985" s="158"/>
      <c r="C985" s="158"/>
      <c r="D985" s="158"/>
      <c r="E985" s="158"/>
      <c r="F985" s="160"/>
      <c r="G985" s="158"/>
      <c r="H985" s="158"/>
      <c r="I985" s="158"/>
      <c r="J985" s="158"/>
      <c r="K985" s="158"/>
      <c r="L985" s="158"/>
      <c r="M985" s="158"/>
      <c r="N985" s="158"/>
    </row>
    <row r="986">
      <c r="B986" s="158"/>
      <c r="C986" s="158"/>
      <c r="D986" s="158"/>
      <c r="E986" s="158"/>
      <c r="F986" s="160"/>
      <c r="G986" s="158"/>
      <c r="H986" s="158"/>
      <c r="I986" s="158"/>
      <c r="J986" s="158"/>
      <c r="K986" s="158"/>
      <c r="L986" s="158"/>
      <c r="M986" s="158"/>
      <c r="N986" s="158"/>
    </row>
    <row r="987">
      <c r="B987" s="158"/>
      <c r="C987" s="158"/>
      <c r="D987" s="158"/>
      <c r="E987" s="158"/>
      <c r="F987" s="160"/>
      <c r="G987" s="158"/>
      <c r="H987" s="158"/>
      <c r="I987" s="158"/>
      <c r="J987" s="158"/>
      <c r="K987" s="158"/>
      <c r="L987" s="158"/>
      <c r="M987" s="158"/>
      <c r="N987" s="158"/>
    </row>
    <row r="988">
      <c r="B988" s="158"/>
      <c r="C988" s="158"/>
      <c r="D988" s="158"/>
      <c r="E988" s="158"/>
      <c r="F988" s="160"/>
      <c r="G988" s="158"/>
      <c r="H988" s="158"/>
      <c r="I988" s="158"/>
      <c r="J988" s="158"/>
      <c r="K988" s="158"/>
      <c r="L988" s="158"/>
      <c r="M988" s="158"/>
      <c r="N988" s="158"/>
    </row>
    <row r="989">
      <c r="B989" s="158"/>
      <c r="C989" s="158"/>
      <c r="D989" s="158"/>
      <c r="E989" s="158"/>
      <c r="F989" s="160"/>
      <c r="G989" s="158"/>
      <c r="H989" s="158"/>
      <c r="I989" s="158"/>
      <c r="J989" s="158"/>
      <c r="K989" s="158"/>
      <c r="L989" s="158"/>
      <c r="M989" s="158"/>
      <c r="N989" s="158"/>
    </row>
    <row r="990">
      <c r="B990" s="158"/>
      <c r="C990" s="158"/>
      <c r="D990" s="158"/>
      <c r="E990" s="158"/>
      <c r="F990" s="160"/>
      <c r="G990" s="158"/>
      <c r="H990" s="158"/>
      <c r="I990" s="158"/>
      <c r="J990" s="158"/>
      <c r="K990" s="158"/>
      <c r="L990" s="158"/>
      <c r="M990" s="158"/>
      <c r="N990" s="158"/>
    </row>
    <row r="991">
      <c r="B991" s="158"/>
      <c r="C991" s="158"/>
      <c r="D991" s="158"/>
      <c r="E991" s="158"/>
      <c r="F991" s="160"/>
      <c r="G991" s="158"/>
      <c r="H991" s="158"/>
      <c r="I991" s="158"/>
      <c r="J991" s="158"/>
      <c r="K991" s="158"/>
      <c r="L991" s="158"/>
      <c r="M991" s="158"/>
      <c r="N991" s="158"/>
    </row>
    <row r="992">
      <c r="B992" s="158"/>
      <c r="C992" s="158"/>
      <c r="D992" s="158"/>
      <c r="E992" s="158"/>
      <c r="F992" s="160"/>
      <c r="G992" s="158"/>
      <c r="H992" s="158"/>
      <c r="I992" s="158"/>
      <c r="J992" s="158"/>
      <c r="K992" s="158"/>
      <c r="L992" s="158"/>
      <c r="M992" s="158"/>
      <c r="N992" s="158"/>
    </row>
    <row r="993">
      <c r="B993" s="158"/>
      <c r="C993" s="158"/>
      <c r="D993" s="158"/>
      <c r="E993" s="158"/>
      <c r="F993" s="160"/>
      <c r="G993" s="158"/>
      <c r="H993" s="158"/>
      <c r="I993" s="158"/>
      <c r="J993" s="158"/>
      <c r="K993" s="158"/>
      <c r="L993" s="158"/>
      <c r="M993" s="158"/>
      <c r="N993" s="158"/>
    </row>
    <row r="994">
      <c r="B994" s="158"/>
      <c r="C994" s="158"/>
      <c r="D994" s="158"/>
      <c r="E994" s="158"/>
      <c r="F994" s="160"/>
      <c r="G994" s="158"/>
      <c r="H994" s="158"/>
      <c r="I994" s="158"/>
      <c r="J994" s="158"/>
      <c r="K994" s="158"/>
      <c r="L994" s="158"/>
      <c r="M994" s="158"/>
      <c r="N994" s="158"/>
    </row>
    <row r="995">
      <c r="B995" s="158"/>
      <c r="C995" s="158"/>
      <c r="D995" s="158"/>
      <c r="E995" s="158"/>
      <c r="F995" s="160"/>
      <c r="G995" s="158"/>
      <c r="H995" s="158"/>
      <c r="I995" s="158"/>
      <c r="J995" s="158"/>
      <c r="K995" s="158"/>
      <c r="L995" s="158"/>
      <c r="M995" s="158"/>
      <c r="N995" s="158"/>
    </row>
    <row r="996">
      <c r="B996" s="158"/>
      <c r="C996" s="158"/>
      <c r="D996" s="158"/>
      <c r="E996" s="158"/>
      <c r="F996" s="160"/>
      <c r="G996" s="158"/>
      <c r="H996" s="158"/>
      <c r="I996" s="158"/>
      <c r="J996" s="158"/>
      <c r="K996" s="158"/>
      <c r="L996" s="158"/>
      <c r="M996" s="158"/>
      <c r="N996" s="158"/>
    </row>
    <row r="997">
      <c r="B997" s="158"/>
      <c r="C997" s="158"/>
      <c r="D997" s="158"/>
      <c r="E997" s="158"/>
      <c r="F997" s="160"/>
      <c r="G997" s="158"/>
      <c r="H997" s="158"/>
      <c r="I997" s="158"/>
      <c r="J997" s="158"/>
      <c r="K997" s="158"/>
      <c r="L997" s="158"/>
      <c r="M997" s="158"/>
      <c r="N997" s="158"/>
    </row>
    <row r="998">
      <c r="B998" s="158"/>
      <c r="C998" s="158"/>
      <c r="D998" s="158"/>
      <c r="E998" s="158"/>
      <c r="F998" s="160"/>
      <c r="G998" s="158"/>
      <c r="H998" s="158"/>
      <c r="I998" s="158"/>
      <c r="J998" s="158"/>
      <c r="K998" s="158"/>
      <c r="L998" s="158"/>
      <c r="M998" s="158"/>
      <c r="N998" s="158"/>
    </row>
    <row r="999">
      <c r="B999" s="158"/>
      <c r="C999" s="158"/>
      <c r="D999" s="158"/>
      <c r="E999" s="158"/>
      <c r="F999" s="160"/>
      <c r="G999" s="158"/>
      <c r="H999" s="158"/>
      <c r="I999" s="158"/>
      <c r="J999" s="158"/>
      <c r="K999" s="158"/>
      <c r="L999" s="158"/>
      <c r="M999" s="158"/>
      <c r="N999" s="15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3" max="3" width="9.5"/>
    <col customWidth="1" min="4" max="4" width="14.88"/>
    <col customWidth="1" min="5" max="5" width="16.25"/>
    <col customWidth="1" min="6" max="6" width="25.13"/>
    <col customWidth="1" min="9" max="9" width="20.13"/>
    <col customWidth="1" min="12" max="12" width="21.25"/>
    <col customWidth="1" min="13" max="13" width="16.13"/>
  </cols>
  <sheetData>
    <row r="1">
      <c r="B1" s="121" t="s">
        <v>1150</v>
      </c>
      <c r="C1" s="122" t="s">
        <v>1151</v>
      </c>
      <c r="D1" s="122" t="s">
        <v>2</v>
      </c>
      <c r="E1" s="122" t="s">
        <v>1152</v>
      </c>
      <c r="F1" s="162" t="s">
        <v>1153</v>
      </c>
      <c r="G1" s="122" t="s">
        <v>4</v>
      </c>
      <c r="H1" s="122" t="s">
        <v>1154</v>
      </c>
      <c r="I1" s="122" t="s">
        <v>1155</v>
      </c>
      <c r="J1" s="122" t="s">
        <v>1156</v>
      </c>
      <c r="K1" s="122" t="s">
        <v>1157</v>
      </c>
      <c r="L1" s="122" t="s">
        <v>3</v>
      </c>
      <c r="M1" s="122" t="s">
        <v>1158</v>
      </c>
      <c r="N1" s="122" t="s">
        <v>1159</v>
      </c>
      <c r="O1" s="122" t="s">
        <v>1160</v>
      </c>
      <c r="P1" s="122" t="s">
        <v>1161</v>
      </c>
    </row>
    <row r="2">
      <c r="B2" s="163">
        <f>IFERROR(__xludf.DUMMYFUNCTION("QUERY('Step 1 Data Bank'!B:P, ""SELECT * WHERE G = 'UNRETURN'"", 0)
"),46071.0)</f>
        <v>46071</v>
      </c>
      <c r="C2" s="119"/>
      <c r="D2" s="119" t="str">
        <f>IFERROR(__xludf.DUMMYFUNCTION("""COMPUTED_VALUE"""),"HANDPHONE")</f>
        <v>HANDPHONE</v>
      </c>
      <c r="E2" s="159">
        <f>IFERROR(__xludf.DUMMYFUNCTION("""COMPUTED_VALUE"""),3.54922130002634E14)</f>
        <v>354922130002634</v>
      </c>
      <c r="F2" s="160" t="str">
        <f>IFERROR(__xludf.DUMMYFUNCTION("""COMPUTED_VALUE"""),"G-S25-EDGE 256GB JETBLACK")</f>
        <v>G-S25-EDGE 256GB JETBLACK</v>
      </c>
      <c r="G2" s="119" t="str">
        <f>IFERROR(__xludf.DUMMYFUNCTION("""COMPUTED_VALUE"""),"UNRETURN")</f>
        <v>UNRETURN</v>
      </c>
      <c r="H2" s="164"/>
      <c r="I2" s="119"/>
      <c r="J2" s="119" t="str">
        <f>IFERROR(__xludf.DUMMYFUNCTION("""COMPUTED_VALUE"""),"MARTIN")</f>
        <v>MARTIN</v>
      </c>
      <c r="K2" s="119"/>
      <c r="L2" s="119" t="str">
        <f>IFERROR(__xludf.DUMMYFUNCTION("""COMPUTED_VALUE"""),"AVAILABLE IN AGENCY")</f>
        <v>AVAILABLE IN AGENCY</v>
      </c>
      <c r="M2" s="119" t="str">
        <f>IFERROR(__xludf.DUMMYFUNCTION("""COMPUTED_VALUE"""),"AVAILABLE")</f>
        <v>AVAILABLE</v>
      </c>
      <c r="N2" s="158" t="str">
        <f>IFERROR(__xludf.DUMMYFUNCTION("""COMPUTED_VALUE"""),"-")</f>
        <v>-</v>
      </c>
      <c r="O2" s="119"/>
      <c r="P2" s="119"/>
    </row>
    <row r="3">
      <c r="B3" s="163">
        <f>IFERROR(__xludf.DUMMYFUNCTION("""COMPUTED_VALUE"""),46071.0)</f>
        <v>46071</v>
      </c>
      <c r="C3" s="119"/>
      <c r="D3" s="119" t="str">
        <f>IFERROR(__xludf.DUMMYFUNCTION("""COMPUTED_VALUE"""),"HANDPHONE")</f>
        <v>HANDPHONE</v>
      </c>
      <c r="E3" s="159">
        <f>IFERROR(__xludf.DUMMYFUNCTION("""COMPUTED_VALUE"""),3.52722665255306E14)</f>
        <v>352722665255306</v>
      </c>
      <c r="F3" s="160" t="str">
        <f>IFERROR(__xludf.DUMMYFUNCTION("""COMPUTED_VALUE"""),"G-S24-ULTRA 256GB BLACK")</f>
        <v>G-S24-ULTRA 256GB BLACK</v>
      </c>
      <c r="G3" s="119" t="str">
        <f>IFERROR(__xludf.DUMMYFUNCTION("""COMPUTED_VALUE"""),"UNRETURN")</f>
        <v>UNRETURN</v>
      </c>
      <c r="H3" s="164"/>
      <c r="I3" s="119"/>
      <c r="J3" s="119"/>
      <c r="K3" s="119"/>
      <c r="L3" s="119" t="str">
        <f>IFERROR(__xludf.DUMMYFUNCTION("""COMPUTED_VALUE"""),"AVAILABLE IN AGENCY")</f>
        <v>AVAILABLE IN AGENCY</v>
      </c>
      <c r="M3" s="119" t="str">
        <f>IFERROR(__xludf.DUMMYFUNCTION("""COMPUTED_VALUE"""),"AVAILABLE")</f>
        <v>AVAILABLE</v>
      </c>
      <c r="N3" s="158" t="str">
        <f>IFERROR(__xludf.DUMMYFUNCTION("""COMPUTED_VALUE"""),"-")</f>
        <v>-</v>
      </c>
      <c r="O3" s="119"/>
      <c r="P3" s="119"/>
    </row>
    <row r="4">
      <c r="B4" s="163">
        <f>IFERROR(__xludf.DUMMYFUNCTION("""COMPUTED_VALUE"""),46071.0)</f>
        <v>46071</v>
      </c>
      <c r="C4" s="119"/>
      <c r="D4" s="119" t="str">
        <f>IFERROR(__xludf.DUMMYFUNCTION("""COMPUTED_VALUE"""),"HANDPHONE")</f>
        <v>HANDPHONE</v>
      </c>
      <c r="E4" s="159">
        <f>IFERROR(__xludf.DUMMYFUNCTION("""COMPUTED_VALUE"""),3.50009210058175E14)</f>
        <v>350009210058175</v>
      </c>
      <c r="F4" s="160" t="str">
        <f>IFERROR(__xludf.DUMMYFUNCTION("""COMPUTED_VALUE"""),"G-S24-FE 256GB GRAPHITE")</f>
        <v>G-S24-FE 256GB GRAPHITE</v>
      </c>
      <c r="G4" s="119" t="str">
        <f>IFERROR(__xludf.DUMMYFUNCTION("""COMPUTED_VALUE"""),"UNRETURN")</f>
        <v>UNRETURN</v>
      </c>
      <c r="H4" s="164"/>
      <c r="I4" s="119"/>
      <c r="J4" s="119"/>
      <c r="K4" s="119"/>
      <c r="L4" s="119" t="str">
        <f>IFERROR(__xludf.DUMMYFUNCTION("""COMPUTED_VALUE"""),"AVAILABLE IN AGENCY")</f>
        <v>AVAILABLE IN AGENCY</v>
      </c>
      <c r="M4" s="119" t="str">
        <f>IFERROR(__xludf.DUMMYFUNCTION("""COMPUTED_VALUE"""),"AVAILABLE")</f>
        <v>AVAILABLE</v>
      </c>
      <c r="N4" s="158" t="str">
        <f>IFERROR(__xludf.DUMMYFUNCTION("""COMPUTED_VALUE"""),"-")</f>
        <v>-</v>
      </c>
      <c r="O4" s="119"/>
      <c r="P4" s="119"/>
    </row>
    <row r="5">
      <c r="B5" s="163">
        <f>IFERROR(__xludf.DUMMYFUNCTION("""COMPUTED_VALUE"""),46071.0)</f>
        <v>46071</v>
      </c>
      <c r="C5" s="119"/>
      <c r="D5" s="119" t="str">
        <f>IFERROR(__xludf.DUMMYFUNCTION("""COMPUTED_VALUE"""),"HANDPHONE")</f>
        <v>HANDPHONE</v>
      </c>
      <c r="E5" s="159">
        <f>IFERROR(__xludf.DUMMYFUNCTION("""COMPUTED_VALUE"""),3.54922130002147E14)</f>
        <v>354922130002147</v>
      </c>
      <c r="F5" s="160" t="str">
        <f>IFERROR(__xludf.DUMMYFUNCTION("""COMPUTED_VALUE"""),"G-S25-EDGE 256GB ICYBLUE")</f>
        <v>G-S25-EDGE 256GB ICYBLUE</v>
      </c>
      <c r="G5" s="119" t="str">
        <f>IFERROR(__xludf.DUMMYFUNCTION("""COMPUTED_VALUE"""),"UNRETURN")</f>
        <v>UNRETURN</v>
      </c>
      <c r="H5" s="164"/>
      <c r="I5" s="119"/>
      <c r="J5" s="119" t="str">
        <f>IFERROR(__xludf.DUMMYFUNCTION("""COMPUTED_VALUE"""),"MARTIN")</f>
        <v>MARTIN</v>
      </c>
      <c r="K5" s="119"/>
      <c r="L5" s="119" t="str">
        <f>IFERROR(__xludf.DUMMYFUNCTION("""COMPUTED_VALUE"""),"AVAILABLE IN AGENCY")</f>
        <v>AVAILABLE IN AGENCY</v>
      </c>
      <c r="M5" s="119" t="str">
        <f>IFERROR(__xludf.DUMMYFUNCTION("""COMPUTED_VALUE"""),"AVAILABLE")</f>
        <v>AVAILABLE</v>
      </c>
      <c r="N5" s="158" t="str">
        <f>IFERROR(__xludf.DUMMYFUNCTION("""COMPUTED_VALUE"""),"-")</f>
        <v>-</v>
      </c>
      <c r="O5" s="119"/>
      <c r="P5" s="119"/>
    </row>
    <row r="6">
      <c r="B6" s="163">
        <f>IFERROR(__xludf.DUMMYFUNCTION("""COMPUTED_VALUE"""),46071.0)</f>
        <v>46071</v>
      </c>
      <c r="C6" s="119"/>
      <c r="D6" s="119" t="str">
        <f>IFERROR(__xludf.DUMMYFUNCTION("""COMPUTED_VALUE"""),"HANDPHONE")</f>
        <v>HANDPHONE</v>
      </c>
      <c r="E6" s="159">
        <f>IFERROR(__xludf.DUMMYFUNCTION("""COMPUTED_VALUE"""),3.5071626000505E14)</f>
        <v>350716260005050</v>
      </c>
      <c r="F6" s="160" t="str">
        <f>IFERROR(__xludf.DUMMYFUNCTION("""COMPUTED_VALUE"""),"G-M15-5G 128GB BLUE")</f>
        <v>G-M15-5G 128GB BLUE</v>
      </c>
      <c r="G6" s="119" t="str">
        <f>IFERROR(__xludf.DUMMYFUNCTION("""COMPUTED_VALUE"""),"UNRETURN")</f>
        <v>UNRETURN</v>
      </c>
      <c r="H6" s="164"/>
      <c r="I6" s="119"/>
      <c r="J6" s="119" t="str">
        <f>IFERROR(__xludf.DUMMYFUNCTION("""COMPUTED_VALUE"""),"RIZAL")</f>
        <v>RIZAL</v>
      </c>
      <c r="K6" s="119"/>
      <c r="L6" s="119" t="str">
        <f>IFERROR(__xludf.DUMMYFUNCTION("""COMPUTED_VALUE"""),"AVAILABLE IN AGENCY")</f>
        <v>AVAILABLE IN AGENCY</v>
      </c>
      <c r="M6" s="119" t="str">
        <f>IFERROR(__xludf.DUMMYFUNCTION("""COMPUTED_VALUE"""),"AVAILABLE")</f>
        <v>AVAILABLE</v>
      </c>
      <c r="N6" s="158" t="str">
        <f>IFERROR(__xludf.DUMMYFUNCTION("""COMPUTED_VALUE"""),"-")</f>
        <v>-</v>
      </c>
      <c r="O6" s="119"/>
      <c r="P6" s="119"/>
    </row>
    <row r="7">
      <c r="B7" s="163">
        <f>IFERROR(__xludf.DUMMYFUNCTION("""COMPUTED_VALUE"""),46071.0)</f>
        <v>46071</v>
      </c>
      <c r="C7" s="119"/>
      <c r="D7" s="119" t="str">
        <f>IFERROR(__xludf.DUMMYFUNCTION("""COMPUTED_VALUE"""),"HANDPHONE")</f>
        <v>HANDPHONE</v>
      </c>
      <c r="E7" s="159">
        <f>IFERROR(__xludf.DUMMYFUNCTION("""COMPUTED_VALUE"""),3.50716260022352E14)</f>
        <v>350716260022352</v>
      </c>
      <c r="F7" s="160" t="str">
        <f>IFERROR(__xludf.DUMMYFUNCTION("""COMPUTED_VALUE"""),"G-M15-5G 128GB GRAY")</f>
        <v>G-M15-5G 128GB GRAY</v>
      </c>
      <c r="G7" s="119" t="str">
        <f>IFERROR(__xludf.DUMMYFUNCTION("""COMPUTED_VALUE"""),"UNRETURN")</f>
        <v>UNRETURN</v>
      </c>
      <c r="H7" s="164"/>
      <c r="I7" s="119"/>
      <c r="J7" s="119" t="str">
        <f>IFERROR(__xludf.DUMMYFUNCTION("""COMPUTED_VALUE"""),"RIZAL")</f>
        <v>RIZAL</v>
      </c>
      <c r="K7" s="119"/>
      <c r="L7" s="119" t="str">
        <f>IFERROR(__xludf.DUMMYFUNCTION("""COMPUTED_VALUE"""),"AVAILABLE IN AGENCY")</f>
        <v>AVAILABLE IN AGENCY</v>
      </c>
      <c r="M7" s="119" t="str">
        <f>IFERROR(__xludf.DUMMYFUNCTION("""COMPUTED_VALUE"""),"AVAILABLE")</f>
        <v>AVAILABLE</v>
      </c>
      <c r="N7" s="158" t="str">
        <f>IFERROR(__xludf.DUMMYFUNCTION("""COMPUTED_VALUE"""),"-")</f>
        <v>-</v>
      </c>
      <c r="O7" s="119"/>
      <c r="P7" s="119"/>
    </row>
    <row r="8">
      <c r="B8" s="163">
        <f>IFERROR(__xludf.DUMMYFUNCTION("""COMPUTED_VALUE"""),46071.0)</f>
        <v>46071</v>
      </c>
      <c r="C8" s="119"/>
      <c r="D8" s="119" t="str">
        <f>IFERROR(__xludf.DUMMYFUNCTION("""COMPUTED_VALUE"""),"HANDPHONE")</f>
        <v>HANDPHONE</v>
      </c>
      <c r="E8" s="159">
        <f>IFERROR(__xludf.DUMMYFUNCTION("""COMPUTED_VALUE"""),3.53567821133866E14)</f>
        <v>353567821133866</v>
      </c>
      <c r="F8" s="160" t="str">
        <f>IFERROR(__xludf.DUMMYFUNCTION("""COMPUTED_VALUE"""),"G-A26-5G 256GB BLACK")</f>
        <v>G-A26-5G 256GB BLACK</v>
      </c>
      <c r="G8" s="119" t="str">
        <f>IFERROR(__xludf.DUMMYFUNCTION("""COMPUTED_VALUE"""),"UNRETURN")</f>
        <v>UNRETURN</v>
      </c>
      <c r="H8" s="164"/>
      <c r="I8" s="119"/>
      <c r="J8" s="119" t="str">
        <f>IFERROR(__xludf.DUMMYFUNCTION("""COMPUTED_VALUE"""),"SALMA")</f>
        <v>SALMA</v>
      </c>
      <c r="K8" s="119"/>
      <c r="L8" s="119" t="str">
        <f>IFERROR(__xludf.DUMMYFUNCTION("""COMPUTED_VALUE"""),"AVAILABLE IN AGENCY")</f>
        <v>AVAILABLE IN AGENCY</v>
      </c>
      <c r="M8" s="119" t="str">
        <f>IFERROR(__xludf.DUMMYFUNCTION("""COMPUTED_VALUE"""),"AVAILABLE")</f>
        <v>AVAILABLE</v>
      </c>
      <c r="N8" s="158" t="str">
        <f>IFERROR(__xludf.DUMMYFUNCTION("""COMPUTED_VALUE"""),"-")</f>
        <v>-</v>
      </c>
      <c r="O8" s="119"/>
      <c r="P8" s="119"/>
    </row>
    <row r="9">
      <c r="B9" s="163">
        <f>IFERROR(__xludf.DUMMYFUNCTION("""COMPUTED_VALUE"""),46071.0)</f>
        <v>46071</v>
      </c>
      <c r="C9" s="119"/>
      <c r="D9" s="119" t="str">
        <f>IFERROR(__xludf.DUMMYFUNCTION("""COMPUTED_VALUE"""),"HANDPHONE")</f>
        <v>HANDPHONE</v>
      </c>
      <c r="E9" s="159">
        <f>IFERROR(__xludf.DUMMYFUNCTION("""COMPUTED_VALUE"""),3.53567821056356E14)</f>
        <v>353567821056356</v>
      </c>
      <c r="F9" s="160" t="str">
        <f>IFERROR(__xludf.DUMMYFUNCTION("""COMPUTED_VALUE"""),"G-A26-5G 256GB PEACH PINK")</f>
        <v>G-A26-5G 256GB PEACH PINK</v>
      </c>
      <c r="G9" s="119" t="str">
        <f>IFERROR(__xludf.DUMMYFUNCTION("""COMPUTED_VALUE"""),"UNRETURN")</f>
        <v>UNRETURN</v>
      </c>
      <c r="H9" s="164"/>
      <c r="I9" s="119"/>
      <c r="J9" s="119" t="str">
        <f>IFERROR(__xludf.DUMMYFUNCTION("""COMPUTED_VALUE"""),"SALMA")</f>
        <v>SALMA</v>
      </c>
      <c r="K9" s="119"/>
      <c r="L9" s="119" t="str">
        <f>IFERROR(__xludf.DUMMYFUNCTION("""COMPUTED_VALUE"""),"AVAILABLE IN AGENCY")</f>
        <v>AVAILABLE IN AGENCY</v>
      </c>
      <c r="M9" s="119" t="str">
        <f>IFERROR(__xludf.DUMMYFUNCTION("""COMPUTED_VALUE"""),"AVAILABLE")</f>
        <v>AVAILABLE</v>
      </c>
      <c r="N9" s="158" t="str">
        <f>IFERROR(__xludf.DUMMYFUNCTION("""COMPUTED_VALUE"""),"-")</f>
        <v>-</v>
      </c>
      <c r="O9" s="119"/>
      <c r="P9" s="119"/>
    </row>
    <row r="10">
      <c r="B10" s="163">
        <f>IFERROR(__xludf.DUMMYFUNCTION("""COMPUTED_VALUE"""),46071.0)</f>
        <v>46071</v>
      </c>
      <c r="C10" s="119"/>
      <c r="D10" s="119" t="str">
        <f>IFERROR(__xludf.DUMMYFUNCTION("""COMPUTED_VALUE"""),"HANDPHONE")</f>
        <v>HANDPHONE</v>
      </c>
      <c r="E10" s="159">
        <f>IFERROR(__xludf.DUMMYFUNCTION("""COMPUTED_VALUE"""),3.53567821046225E14)</f>
        <v>353567821046225</v>
      </c>
      <c r="F10" s="160" t="str">
        <f>IFERROR(__xludf.DUMMYFUNCTION("""COMPUTED_VALUE"""),"G-A26-5G 256GB MINT")</f>
        <v>G-A26-5G 256GB MINT</v>
      </c>
      <c r="G10" s="119" t="str">
        <f>IFERROR(__xludf.DUMMYFUNCTION("""COMPUTED_VALUE"""),"UNRETURN")</f>
        <v>UNRETURN</v>
      </c>
      <c r="H10" s="164"/>
      <c r="I10" s="119"/>
      <c r="J10" s="119" t="str">
        <f>IFERROR(__xludf.DUMMYFUNCTION("""COMPUTED_VALUE"""),"SALMA")</f>
        <v>SALMA</v>
      </c>
      <c r="K10" s="119"/>
      <c r="L10" s="119" t="str">
        <f>IFERROR(__xludf.DUMMYFUNCTION("""COMPUTED_VALUE"""),"AVAILABLE IN AGENCY")</f>
        <v>AVAILABLE IN AGENCY</v>
      </c>
      <c r="M10" s="119" t="str">
        <f>IFERROR(__xludf.DUMMYFUNCTION("""COMPUTED_VALUE"""),"AVAILABLE")</f>
        <v>AVAILABLE</v>
      </c>
      <c r="N10" s="158" t="str">
        <f>IFERROR(__xludf.DUMMYFUNCTION("""COMPUTED_VALUE"""),"-")</f>
        <v>-</v>
      </c>
      <c r="O10" s="119"/>
      <c r="P10" s="119"/>
    </row>
    <row r="11">
      <c r="B11" s="163">
        <f>IFERROR(__xludf.DUMMYFUNCTION("""COMPUTED_VALUE"""),46071.0)</f>
        <v>46071</v>
      </c>
      <c r="C11" s="119"/>
      <c r="D11" s="119" t="str">
        <f>IFERROR(__xludf.DUMMYFUNCTION("""COMPUTED_VALUE"""),"HANDPHONE")</f>
        <v>HANDPHONE</v>
      </c>
      <c r="E11" s="159">
        <f>IFERROR(__xludf.DUMMYFUNCTION("""COMPUTED_VALUE"""),3.51182450353603E14)</f>
        <v>351182450353603</v>
      </c>
      <c r="F11" s="160" t="str">
        <f>IFERROR(__xludf.DUMMYFUNCTION("""COMPUTED_VALUE"""),"G-A16-5G 256GB BLACK")</f>
        <v>G-A16-5G 256GB BLACK</v>
      </c>
      <c r="G11" s="119" t="str">
        <f>IFERROR(__xludf.DUMMYFUNCTION("""COMPUTED_VALUE"""),"UNRETURN")</f>
        <v>UNRETURN</v>
      </c>
      <c r="H11" s="164"/>
      <c r="I11" s="119"/>
      <c r="J11" s="119" t="str">
        <f>IFERROR(__xludf.DUMMYFUNCTION("""COMPUTED_VALUE"""),"RIZAL")</f>
        <v>RIZAL</v>
      </c>
      <c r="K11" s="119"/>
      <c r="L11" s="119" t="str">
        <f>IFERROR(__xludf.DUMMYFUNCTION("""COMPUTED_VALUE"""),"AVAILABLE IN AGENCY")</f>
        <v>AVAILABLE IN AGENCY</v>
      </c>
      <c r="M11" s="119" t="str">
        <f>IFERROR(__xludf.DUMMYFUNCTION("""COMPUTED_VALUE"""),"AVAILABLE")</f>
        <v>AVAILABLE</v>
      </c>
      <c r="N11" s="158" t="str">
        <f>IFERROR(__xludf.DUMMYFUNCTION("""COMPUTED_VALUE"""),"-")</f>
        <v>-</v>
      </c>
      <c r="O11" s="119"/>
      <c r="P11" s="119"/>
    </row>
    <row r="12">
      <c r="B12" s="163">
        <f>IFERROR(__xludf.DUMMYFUNCTION("""COMPUTED_VALUE"""),46071.0)</f>
        <v>46071</v>
      </c>
      <c r="C12" s="119"/>
      <c r="D12" s="119" t="str">
        <f>IFERROR(__xludf.DUMMYFUNCTION("""COMPUTED_VALUE"""),"HANDPHONE")</f>
        <v>HANDPHONE</v>
      </c>
      <c r="E12" s="159">
        <f>IFERROR(__xludf.DUMMYFUNCTION("""COMPUTED_VALUE"""),3.51182450157541E14)</f>
        <v>351182450157541</v>
      </c>
      <c r="F12" s="160" t="str">
        <f>IFERROR(__xludf.DUMMYFUNCTION("""COMPUTED_VALUE"""),"G-A16-5G 256GB WHITE")</f>
        <v>G-A16-5G 256GB WHITE</v>
      </c>
      <c r="G12" s="119" t="str">
        <f>IFERROR(__xludf.DUMMYFUNCTION("""COMPUTED_VALUE"""),"UNRETURN")</f>
        <v>UNRETURN</v>
      </c>
      <c r="H12" s="164"/>
      <c r="I12" s="119"/>
      <c r="J12" s="119" t="str">
        <f>IFERROR(__xludf.DUMMYFUNCTION("""COMPUTED_VALUE"""),"RIZAL")</f>
        <v>RIZAL</v>
      </c>
      <c r="K12" s="119"/>
      <c r="L12" s="119" t="str">
        <f>IFERROR(__xludf.DUMMYFUNCTION("""COMPUTED_VALUE"""),"AVAILABLE IN AGENCY")</f>
        <v>AVAILABLE IN AGENCY</v>
      </c>
      <c r="M12" s="119" t="str">
        <f>IFERROR(__xludf.DUMMYFUNCTION("""COMPUTED_VALUE"""),"AVAILABLE")</f>
        <v>AVAILABLE</v>
      </c>
      <c r="N12" s="158" t="str">
        <f>IFERROR(__xludf.DUMMYFUNCTION("""COMPUTED_VALUE"""),"-")</f>
        <v>-</v>
      </c>
      <c r="O12" s="119"/>
      <c r="P12" s="119"/>
    </row>
    <row r="13">
      <c r="B13" s="163">
        <f>IFERROR(__xludf.DUMMYFUNCTION("""COMPUTED_VALUE"""),46071.0)</f>
        <v>46071</v>
      </c>
      <c r="C13" s="119"/>
      <c r="D13" s="119" t="str">
        <f>IFERROR(__xludf.DUMMYFUNCTION("""COMPUTED_VALUE"""),"HANDPHONE")</f>
        <v>HANDPHONE</v>
      </c>
      <c r="E13" s="159">
        <f>IFERROR(__xludf.DUMMYFUNCTION("""COMPUTED_VALUE"""),3.5297878002644E14)</f>
        <v>352978780026440</v>
      </c>
      <c r="F13" s="160" t="str">
        <f>IFERROR(__xludf.DUMMYFUNCTION("""COMPUTED_VALUE"""),"G-A06 64GB LIGHT BLUE")</f>
        <v>G-A06 64GB LIGHT BLUE</v>
      </c>
      <c r="G13" s="119" t="str">
        <f>IFERROR(__xludf.DUMMYFUNCTION("""COMPUTED_VALUE"""),"UNRETURN")</f>
        <v>UNRETURN</v>
      </c>
      <c r="H13" s="164"/>
      <c r="I13" s="119"/>
      <c r="J13" s="119" t="str">
        <f>IFERROR(__xludf.DUMMYFUNCTION("""COMPUTED_VALUE"""),"RIZAL")</f>
        <v>RIZAL</v>
      </c>
      <c r="K13" s="119"/>
      <c r="L13" s="119" t="str">
        <f>IFERROR(__xludf.DUMMYFUNCTION("""COMPUTED_VALUE"""),"AVAILABLE IN AGENCY")</f>
        <v>AVAILABLE IN AGENCY</v>
      </c>
      <c r="M13" s="119" t="str">
        <f>IFERROR(__xludf.DUMMYFUNCTION("""COMPUTED_VALUE"""),"AVAILABLE")</f>
        <v>AVAILABLE</v>
      </c>
      <c r="N13" s="158" t="str">
        <f>IFERROR(__xludf.DUMMYFUNCTION("""COMPUTED_VALUE"""),"-")</f>
        <v>-</v>
      </c>
      <c r="O13" s="119"/>
      <c r="P13" s="119"/>
    </row>
    <row r="14">
      <c r="B14" s="163">
        <f>IFERROR(__xludf.DUMMYFUNCTION("""COMPUTED_VALUE"""),46071.0)</f>
        <v>46071</v>
      </c>
      <c r="C14" s="119"/>
      <c r="D14" s="119" t="str">
        <f>IFERROR(__xludf.DUMMYFUNCTION("""COMPUTED_VALUE"""),"HANDPHONE")</f>
        <v>HANDPHONE</v>
      </c>
      <c r="E14" s="159">
        <f>IFERROR(__xludf.DUMMYFUNCTION("""COMPUTED_VALUE"""),3.52978780013521E14)</f>
        <v>352978780013521</v>
      </c>
      <c r="F14" s="160" t="str">
        <f>IFERROR(__xludf.DUMMYFUNCTION("""COMPUTED_VALUE"""),"G-A06 64GB BLACK")</f>
        <v>G-A06 64GB BLACK</v>
      </c>
      <c r="G14" s="119" t="str">
        <f>IFERROR(__xludf.DUMMYFUNCTION("""COMPUTED_VALUE"""),"UNRETURN")</f>
        <v>UNRETURN</v>
      </c>
      <c r="H14" s="164"/>
      <c r="I14" s="119"/>
      <c r="J14" s="119" t="str">
        <f>IFERROR(__xludf.DUMMYFUNCTION("""COMPUTED_VALUE"""),"RIZAL")</f>
        <v>RIZAL</v>
      </c>
      <c r="K14" s="119"/>
      <c r="L14" s="119" t="str">
        <f>IFERROR(__xludf.DUMMYFUNCTION("""COMPUTED_VALUE"""),"AVAILABLE IN AGENCY")</f>
        <v>AVAILABLE IN AGENCY</v>
      </c>
      <c r="M14" s="119" t="str">
        <f>IFERROR(__xludf.DUMMYFUNCTION("""COMPUTED_VALUE"""),"AVAILABLE")</f>
        <v>AVAILABLE</v>
      </c>
      <c r="N14" s="158" t="str">
        <f>IFERROR(__xludf.DUMMYFUNCTION("""COMPUTED_VALUE"""),"-")</f>
        <v>-</v>
      </c>
      <c r="O14" s="119"/>
      <c r="P14" s="119"/>
    </row>
    <row r="15">
      <c r="B15" s="163">
        <f>IFERROR(__xludf.DUMMYFUNCTION("""COMPUTED_VALUE"""),46071.0)</f>
        <v>46071</v>
      </c>
      <c r="C15" s="119"/>
      <c r="D15" s="119" t="str">
        <f>IFERROR(__xludf.DUMMYFUNCTION("""COMPUTED_VALUE"""),"HANDPHONE")</f>
        <v>HANDPHONE</v>
      </c>
      <c r="E15" s="159">
        <f>IFERROR(__xludf.DUMMYFUNCTION("""COMPUTED_VALUE"""),3.50334720924322E14)</f>
        <v>350334720924322</v>
      </c>
      <c r="F15" s="160" t="str">
        <f>IFERROR(__xludf.DUMMYFUNCTION("""COMPUTED_VALUE"""),"G-A06-5G 128GB LIGHT GRAY")</f>
        <v>G-A06-5G 128GB LIGHT GRAY</v>
      </c>
      <c r="G15" s="119" t="str">
        <f>IFERROR(__xludf.DUMMYFUNCTION("""COMPUTED_VALUE"""),"UNRETURN")</f>
        <v>UNRETURN</v>
      </c>
      <c r="H15" s="164"/>
      <c r="I15" s="119"/>
      <c r="J15" s="119" t="str">
        <f>IFERROR(__xludf.DUMMYFUNCTION("""COMPUTED_VALUE"""),"ADISTI")</f>
        <v>ADISTI</v>
      </c>
      <c r="K15" s="119"/>
      <c r="L15" s="119" t="str">
        <f>IFERROR(__xludf.DUMMYFUNCTION("""COMPUTED_VALUE"""),"AVAILABLE IN AGENCY")</f>
        <v>AVAILABLE IN AGENCY</v>
      </c>
      <c r="M15" s="119" t="str">
        <f>IFERROR(__xludf.DUMMYFUNCTION("""COMPUTED_VALUE"""),"AVAILABLE")</f>
        <v>AVAILABLE</v>
      </c>
      <c r="N15" s="158" t="str">
        <f>IFERROR(__xludf.DUMMYFUNCTION("""COMPUTED_VALUE"""),"-")</f>
        <v>-</v>
      </c>
      <c r="O15" s="119"/>
      <c r="P15" s="119"/>
    </row>
    <row r="16">
      <c r="B16" s="163">
        <f>IFERROR(__xludf.DUMMYFUNCTION("""COMPUTED_VALUE"""),46071.0)</f>
        <v>46071</v>
      </c>
      <c r="C16" s="119"/>
      <c r="D16" s="119" t="str">
        <f>IFERROR(__xludf.DUMMYFUNCTION("""COMPUTED_VALUE"""),"HANDPHONE")</f>
        <v>HANDPHONE</v>
      </c>
      <c r="E16" s="159">
        <f>IFERROR(__xludf.DUMMYFUNCTION("""COMPUTED_VALUE"""),3.5033472117909E14)</f>
        <v>350334721179090</v>
      </c>
      <c r="F16" s="160" t="str">
        <f>IFERROR(__xludf.DUMMYFUNCTION("""COMPUTED_VALUE"""),"G-A06-5G 128GB LIGHT GREEN")</f>
        <v>G-A06-5G 128GB LIGHT GREEN</v>
      </c>
      <c r="G16" s="119" t="str">
        <f>IFERROR(__xludf.DUMMYFUNCTION("""COMPUTED_VALUE"""),"UNRETURN")</f>
        <v>UNRETURN</v>
      </c>
      <c r="H16" s="164"/>
      <c r="I16" s="119"/>
      <c r="J16" s="119" t="str">
        <f>IFERROR(__xludf.DUMMYFUNCTION("""COMPUTED_VALUE"""),"ADISTI")</f>
        <v>ADISTI</v>
      </c>
      <c r="K16" s="119"/>
      <c r="L16" s="119" t="str">
        <f>IFERROR(__xludf.DUMMYFUNCTION("""COMPUTED_VALUE"""),"AVAILABLE IN AGENCY")</f>
        <v>AVAILABLE IN AGENCY</v>
      </c>
      <c r="M16" s="119" t="str">
        <f>IFERROR(__xludf.DUMMYFUNCTION("""COMPUTED_VALUE"""),"AVAILABLE")</f>
        <v>AVAILABLE</v>
      </c>
      <c r="N16" s="158" t="str">
        <f>IFERROR(__xludf.DUMMYFUNCTION("""COMPUTED_VALUE"""),"-")</f>
        <v>-</v>
      </c>
      <c r="O16" s="119"/>
      <c r="P16" s="119"/>
    </row>
    <row r="17">
      <c r="B17" s="163">
        <f>IFERROR(__xludf.DUMMYFUNCTION("""COMPUTED_VALUE"""),46071.0)</f>
        <v>46071</v>
      </c>
      <c r="C17" s="119"/>
      <c r="D17" s="119" t="str">
        <f>IFERROR(__xludf.DUMMYFUNCTION("""COMPUTED_VALUE"""),"HANDPHONE")</f>
        <v>HANDPHONE</v>
      </c>
      <c r="E17" s="159">
        <f>IFERROR(__xludf.DUMMYFUNCTION("""COMPUTED_VALUE"""),3.5000921000167E14)</f>
        <v>350009210001670</v>
      </c>
      <c r="F17" s="160" t="str">
        <f>IFERROR(__xludf.DUMMYFUNCTION("""COMPUTED_VALUE"""),"G-S24-FE 256GB GRAPHITE")</f>
        <v>G-S24-FE 256GB GRAPHITE</v>
      </c>
      <c r="G17" s="119" t="str">
        <f>IFERROR(__xludf.DUMMYFUNCTION("""COMPUTED_VALUE"""),"UNRETURN")</f>
        <v>UNRETURN</v>
      </c>
      <c r="H17" s="164"/>
      <c r="I17" s="119"/>
      <c r="J17" s="119" t="str">
        <f>IFERROR(__xludf.DUMMYFUNCTION("""COMPUTED_VALUE"""),"SALMA")</f>
        <v>SALMA</v>
      </c>
      <c r="K17" s="119"/>
      <c r="L17" s="119" t="str">
        <f>IFERROR(__xludf.DUMMYFUNCTION("""COMPUTED_VALUE"""),"AVAILABLE IN AGENCY")</f>
        <v>AVAILABLE IN AGENCY</v>
      </c>
      <c r="M17" s="119" t="str">
        <f>IFERROR(__xludf.DUMMYFUNCTION("""COMPUTED_VALUE"""),"AVAILABLE")</f>
        <v>AVAILABLE</v>
      </c>
      <c r="N17" s="158" t="str">
        <f>IFERROR(__xludf.DUMMYFUNCTION("""COMPUTED_VALUE"""),"-")</f>
        <v>-</v>
      </c>
      <c r="O17" s="119"/>
      <c r="P17" s="119"/>
    </row>
    <row r="18">
      <c r="B18" s="163">
        <f>IFERROR(__xludf.DUMMYFUNCTION("""COMPUTED_VALUE"""),46071.0)</f>
        <v>46071</v>
      </c>
      <c r="C18" s="119"/>
      <c r="D18" s="119" t="str">
        <f>IFERROR(__xludf.DUMMYFUNCTION("""COMPUTED_VALUE"""),"HANDPHONE")</f>
        <v>HANDPHONE</v>
      </c>
      <c r="E18" s="159">
        <f>IFERROR(__xludf.DUMMYFUNCTION("""COMPUTED_VALUE"""),3.54922130003632E14)</f>
        <v>354922130003632</v>
      </c>
      <c r="F18" s="160" t="str">
        <f>IFERROR(__xludf.DUMMYFUNCTION("""COMPUTED_VALUE"""),"G-S25-EDGE 256GB SILVER")</f>
        <v>G-S25-EDGE 256GB SILVER</v>
      </c>
      <c r="G18" s="119" t="str">
        <f>IFERROR(__xludf.DUMMYFUNCTION("""COMPUTED_VALUE"""),"UNRETURN")</f>
        <v>UNRETURN</v>
      </c>
      <c r="H18" s="164"/>
      <c r="I18" s="119"/>
      <c r="J18" s="119" t="str">
        <f>IFERROR(__xludf.DUMMYFUNCTION("""COMPUTED_VALUE"""),"MARTIN")</f>
        <v>MARTIN</v>
      </c>
      <c r="K18" s="119"/>
      <c r="L18" s="119" t="str">
        <f>IFERROR(__xludf.DUMMYFUNCTION("""COMPUTED_VALUE"""),"AVAILABLE IN AGENCY")</f>
        <v>AVAILABLE IN AGENCY</v>
      </c>
      <c r="M18" s="119" t="str">
        <f>IFERROR(__xludf.DUMMYFUNCTION("""COMPUTED_VALUE"""),"AVAILABLE")</f>
        <v>AVAILABLE</v>
      </c>
      <c r="N18" s="158" t="str">
        <f>IFERROR(__xludf.DUMMYFUNCTION("""COMPUTED_VALUE"""),"-")</f>
        <v>-</v>
      </c>
      <c r="O18" s="119"/>
      <c r="P18" s="119"/>
    </row>
    <row r="19">
      <c r="B19" s="163">
        <f>IFERROR(__xludf.DUMMYFUNCTION("""COMPUTED_VALUE"""),46071.0)</f>
        <v>46071</v>
      </c>
      <c r="C19" s="119"/>
      <c r="D19" s="119" t="str">
        <f>IFERROR(__xludf.DUMMYFUNCTION("""COMPUTED_VALUE"""),"HANDPHONE")</f>
        <v>HANDPHONE</v>
      </c>
      <c r="E19" s="159">
        <f>IFERROR(__xludf.DUMMYFUNCTION("""COMPUTED_VALUE"""),3.55851150277777E14)</f>
        <v>355851150277777</v>
      </c>
      <c r="F19" s="160" t="str">
        <f>IFERROR(__xludf.DUMMYFUNCTION("""COMPUTED_VALUE"""),"G A17-5G 128GB GRAY")</f>
        <v>G A17-5G 128GB GRAY</v>
      </c>
      <c r="G19" s="119" t="str">
        <f>IFERROR(__xludf.DUMMYFUNCTION("""COMPUTED_VALUE"""),"UNRETURN")</f>
        <v>UNRETURN</v>
      </c>
      <c r="H19" s="164"/>
      <c r="I19" s="119"/>
      <c r="J19" s="119" t="str">
        <f>IFERROR(__xludf.DUMMYFUNCTION("""COMPUTED_VALUE"""),"OLIV")</f>
        <v>OLIV</v>
      </c>
      <c r="K19" s="119"/>
      <c r="L19" s="119" t="str">
        <f>IFERROR(__xludf.DUMMYFUNCTION("""COMPUTED_VALUE"""),"AVAILABLE IN AGENCY")</f>
        <v>AVAILABLE IN AGENCY</v>
      </c>
      <c r="M19" s="119" t="str">
        <f>IFERROR(__xludf.DUMMYFUNCTION("""COMPUTED_VALUE"""),"AVAILABLE")</f>
        <v>AVAILABLE</v>
      </c>
      <c r="N19" s="158" t="str">
        <f>IFERROR(__xludf.DUMMYFUNCTION("""COMPUTED_VALUE"""),"-")</f>
        <v>-</v>
      </c>
      <c r="O19" s="119"/>
      <c r="P19" s="119"/>
    </row>
    <row r="20">
      <c r="B20" s="163">
        <f>IFERROR(__xludf.DUMMYFUNCTION("""COMPUTED_VALUE"""),46071.0)</f>
        <v>46071</v>
      </c>
      <c r="C20" s="119"/>
      <c r="D20" s="119" t="str">
        <f>IFERROR(__xludf.DUMMYFUNCTION("""COMPUTED_VALUE"""),"HANDPHONE")</f>
        <v>HANDPHONE</v>
      </c>
      <c r="E20" s="159">
        <f>IFERROR(__xludf.DUMMYFUNCTION("""COMPUTED_VALUE"""),3.55851150217377E14)</f>
        <v>355851150217377</v>
      </c>
      <c r="F20" s="160" t="str">
        <f>IFERROR(__xludf.DUMMYFUNCTION("""COMPUTED_VALUE"""),"G A17-5G 128GB BLUE")</f>
        <v>G A17-5G 128GB BLUE</v>
      </c>
      <c r="G20" s="119" t="str">
        <f>IFERROR(__xludf.DUMMYFUNCTION("""COMPUTED_VALUE"""),"UNRETURN")</f>
        <v>UNRETURN</v>
      </c>
      <c r="H20" s="164"/>
      <c r="I20" s="119"/>
      <c r="J20" s="119" t="str">
        <f>IFERROR(__xludf.DUMMYFUNCTION("""COMPUTED_VALUE"""),"OLIV")</f>
        <v>OLIV</v>
      </c>
      <c r="K20" s="119"/>
      <c r="L20" s="119" t="str">
        <f>IFERROR(__xludf.DUMMYFUNCTION("""COMPUTED_VALUE"""),"AVAILABLE IN AGENCY")</f>
        <v>AVAILABLE IN AGENCY</v>
      </c>
      <c r="M20" s="119" t="str">
        <f>IFERROR(__xludf.DUMMYFUNCTION("""COMPUTED_VALUE"""),"LOANED / ON KOL")</f>
        <v>LOANED / ON KOL</v>
      </c>
      <c r="N20" s="158" t="str">
        <f>IFERROR(__xludf.DUMMYFUNCTION("""COMPUTED_VALUE"""),"Mang Ucup")</f>
        <v>Mang Ucup</v>
      </c>
      <c r="O20" s="119"/>
      <c r="P20" s="119"/>
    </row>
    <row r="21">
      <c r="B21" s="163">
        <f>IFERROR(__xludf.DUMMYFUNCTION("""COMPUTED_VALUE"""),46071.0)</f>
        <v>46071</v>
      </c>
      <c r="C21" s="119"/>
      <c r="D21" s="119" t="str">
        <f>IFERROR(__xludf.DUMMYFUNCTION("""COMPUTED_VALUE"""),"TAB")</f>
        <v>TAB</v>
      </c>
      <c r="E21" s="159"/>
      <c r="F21" s="160" t="str">
        <f>IFERROR(__xludf.DUMMYFUNCTION("""COMPUTED_VALUE"""),"G-TAB-A11-KIDS")</f>
        <v>G-TAB-A11-KIDS</v>
      </c>
      <c r="G21" s="119" t="str">
        <f>IFERROR(__xludf.DUMMYFUNCTION("""COMPUTED_VALUE"""),"UNRETURN")</f>
        <v>UNRETURN</v>
      </c>
      <c r="H21" s="164"/>
      <c r="I21" s="119"/>
      <c r="J21" s="119"/>
      <c r="K21" s="119"/>
      <c r="L21" s="119" t="str">
        <f>IFERROR(__xludf.DUMMYFUNCTION("""COMPUTED_VALUE"""),"AVAILABLE IN AGENCY")</f>
        <v>AVAILABLE IN AGENCY</v>
      </c>
      <c r="M21" s="119" t="str">
        <f>IFERROR(__xludf.DUMMYFUNCTION("""COMPUTED_VALUE"""),"AVAILABLE")</f>
        <v>AVAILABLE</v>
      </c>
      <c r="N21" s="158" t="str">
        <f>IFERROR(__xludf.DUMMYFUNCTION("""COMPUTED_VALUE"""),"-")</f>
        <v>-</v>
      </c>
      <c r="O21" s="119"/>
      <c r="P21" s="119"/>
    </row>
    <row r="22">
      <c r="B22" s="163">
        <f>IFERROR(__xludf.DUMMYFUNCTION("""COMPUTED_VALUE"""),46071.0)</f>
        <v>46071</v>
      </c>
      <c r="C22" s="119"/>
      <c r="D22" s="119" t="str">
        <f>IFERROR(__xludf.DUMMYFUNCTION("""COMPUTED_VALUE"""),"TAB")</f>
        <v>TAB</v>
      </c>
      <c r="E22" s="159"/>
      <c r="F22" s="160" t="str">
        <f>IFERROR(__xludf.DUMMYFUNCTION("""COMPUTED_VALUE"""),"G-TAB-A11-KIDS")</f>
        <v>G-TAB-A11-KIDS</v>
      </c>
      <c r="G22" s="119" t="str">
        <f>IFERROR(__xludf.DUMMYFUNCTION("""COMPUTED_VALUE"""),"UNRETURN")</f>
        <v>UNRETURN</v>
      </c>
      <c r="H22" s="164"/>
      <c r="I22" s="119"/>
      <c r="J22" s="119"/>
      <c r="K22" s="119"/>
      <c r="L22" s="119" t="str">
        <f>IFERROR(__xludf.DUMMYFUNCTION("""COMPUTED_VALUE"""),"AVAILABLE IN AGENCY")</f>
        <v>AVAILABLE IN AGENCY</v>
      </c>
      <c r="M22" s="119" t="str">
        <f>IFERROR(__xludf.DUMMYFUNCTION("""COMPUTED_VALUE"""),"AVAILABLE")</f>
        <v>AVAILABLE</v>
      </c>
      <c r="N22" s="158" t="str">
        <f>IFERROR(__xludf.DUMMYFUNCTION("""COMPUTED_VALUE"""),"-")</f>
        <v>-</v>
      </c>
      <c r="O22" s="119"/>
      <c r="P22" s="119"/>
    </row>
    <row r="23">
      <c r="B23" s="163">
        <f>IFERROR(__xludf.DUMMYFUNCTION("""COMPUTED_VALUE"""),46071.0)</f>
        <v>46071</v>
      </c>
      <c r="C23" s="119"/>
      <c r="D23" s="119" t="str">
        <f>IFERROR(__xludf.DUMMYFUNCTION("""COMPUTED_VALUE"""),"TAB")</f>
        <v>TAB</v>
      </c>
      <c r="E23" s="159"/>
      <c r="F23" s="160" t="str">
        <f>IFERROR(__xludf.DUMMYFUNCTION("""COMPUTED_VALUE"""),"G-TAB-A11-KIDS")</f>
        <v>G-TAB-A11-KIDS</v>
      </c>
      <c r="G23" s="119" t="str">
        <f>IFERROR(__xludf.DUMMYFUNCTION("""COMPUTED_VALUE"""),"UNRETURN")</f>
        <v>UNRETURN</v>
      </c>
      <c r="H23" s="164"/>
      <c r="I23" s="119"/>
      <c r="J23" s="119"/>
      <c r="K23" s="119"/>
      <c r="L23" s="119" t="str">
        <f>IFERROR(__xludf.DUMMYFUNCTION("""COMPUTED_VALUE"""),"AVAILABLE IN AGENCY")</f>
        <v>AVAILABLE IN AGENCY</v>
      </c>
      <c r="M23" s="119" t="str">
        <f>IFERROR(__xludf.DUMMYFUNCTION("""COMPUTED_VALUE"""),"AVAILABLE")</f>
        <v>AVAILABLE</v>
      </c>
      <c r="N23" s="158" t="str">
        <f>IFERROR(__xludf.DUMMYFUNCTION("""COMPUTED_VALUE"""),"-")</f>
        <v>-</v>
      </c>
      <c r="O23" s="119"/>
      <c r="P23" s="119"/>
    </row>
    <row r="24">
      <c r="B24" s="163">
        <f>IFERROR(__xludf.DUMMYFUNCTION("""COMPUTED_VALUE"""),46071.0)</f>
        <v>46071</v>
      </c>
      <c r="C24" s="119"/>
      <c r="D24" s="119" t="str">
        <f>IFERROR(__xludf.DUMMYFUNCTION("""COMPUTED_VALUE"""),"TAB")</f>
        <v>TAB</v>
      </c>
      <c r="E24" s="159"/>
      <c r="F24" s="160" t="str">
        <f>IFERROR(__xludf.DUMMYFUNCTION("""COMPUTED_VALUE"""),"G-TAB-A11-KIDS")</f>
        <v>G-TAB-A11-KIDS</v>
      </c>
      <c r="G24" s="119" t="str">
        <f>IFERROR(__xludf.DUMMYFUNCTION("""COMPUTED_VALUE"""),"UNRETURN")</f>
        <v>UNRETURN</v>
      </c>
      <c r="H24" s="164"/>
      <c r="I24" s="119"/>
      <c r="J24" s="119"/>
      <c r="K24" s="119"/>
      <c r="L24" s="119" t="str">
        <f>IFERROR(__xludf.DUMMYFUNCTION("""COMPUTED_VALUE"""),"AVAILABLE IN AGENCY")</f>
        <v>AVAILABLE IN AGENCY</v>
      </c>
      <c r="M24" s="119" t="str">
        <f>IFERROR(__xludf.DUMMYFUNCTION("""COMPUTED_VALUE"""),"AVAILABLE")</f>
        <v>AVAILABLE</v>
      </c>
      <c r="N24" s="158" t="str">
        <f>IFERROR(__xludf.DUMMYFUNCTION("""COMPUTED_VALUE"""),"-")</f>
        <v>-</v>
      </c>
      <c r="O24" s="119"/>
      <c r="P24" s="119"/>
    </row>
    <row r="25">
      <c r="B25" s="163">
        <f>IFERROR(__xludf.DUMMYFUNCTION("""COMPUTED_VALUE"""),46071.0)</f>
        <v>46071</v>
      </c>
      <c r="C25" s="119"/>
      <c r="D25" s="119" t="str">
        <f>IFERROR(__xludf.DUMMYFUNCTION("""COMPUTED_VALUE"""),"TAB")</f>
        <v>TAB</v>
      </c>
      <c r="E25" s="159"/>
      <c r="F25" s="160" t="str">
        <f>IFERROR(__xludf.DUMMYFUNCTION("""COMPUTED_VALUE"""),"G-TAB-A11-KIDS")</f>
        <v>G-TAB-A11-KIDS</v>
      </c>
      <c r="G25" s="119" t="str">
        <f>IFERROR(__xludf.DUMMYFUNCTION("""COMPUTED_VALUE"""),"UNRETURN")</f>
        <v>UNRETURN</v>
      </c>
      <c r="H25" s="164"/>
      <c r="I25" s="119"/>
      <c r="J25" s="119"/>
      <c r="K25" s="119"/>
      <c r="L25" s="119" t="str">
        <f>IFERROR(__xludf.DUMMYFUNCTION("""COMPUTED_VALUE"""),"AVAILABLE IN AGENCY")</f>
        <v>AVAILABLE IN AGENCY</v>
      </c>
      <c r="M25" s="119" t="str">
        <f>IFERROR(__xludf.DUMMYFUNCTION("""COMPUTED_VALUE"""),"AVAILABLE")</f>
        <v>AVAILABLE</v>
      </c>
      <c r="N25" s="158" t="str">
        <f>IFERROR(__xludf.DUMMYFUNCTION("""COMPUTED_VALUE"""),"-")</f>
        <v>-</v>
      </c>
      <c r="O25" s="119"/>
      <c r="P25" s="119"/>
    </row>
    <row r="26">
      <c r="B26" s="163">
        <f>IFERROR(__xludf.DUMMYFUNCTION("""COMPUTED_VALUE"""),46071.0)</f>
        <v>46071</v>
      </c>
      <c r="C26" s="119"/>
      <c r="D26" s="119" t="str">
        <f>IFERROR(__xludf.DUMMYFUNCTION("""COMPUTED_VALUE"""),"TAB")</f>
        <v>TAB</v>
      </c>
      <c r="E26" s="159"/>
      <c r="F26" s="160" t="str">
        <f>IFERROR(__xludf.DUMMYFUNCTION("""COMPUTED_VALUE"""),"G-TAB-A11-KIDS")</f>
        <v>G-TAB-A11-KIDS</v>
      </c>
      <c r="G26" s="119" t="str">
        <f>IFERROR(__xludf.DUMMYFUNCTION("""COMPUTED_VALUE"""),"UNRETURN")</f>
        <v>UNRETURN</v>
      </c>
      <c r="H26" s="164"/>
      <c r="I26" s="119"/>
      <c r="J26" s="119"/>
      <c r="K26" s="119"/>
      <c r="L26" s="119" t="str">
        <f>IFERROR(__xludf.DUMMYFUNCTION("""COMPUTED_VALUE"""),"AVAILABLE IN AGENCY")</f>
        <v>AVAILABLE IN AGENCY</v>
      </c>
      <c r="M26" s="119" t="str">
        <f>IFERROR(__xludf.DUMMYFUNCTION("""COMPUTED_VALUE"""),"AVAILABLE")</f>
        <v>AVAILABLE</v>
      </c>
      <c r="N26" s="158" t="str">
        <f>IFERROR(__xludf.DUMMYFUNCTION("""COMPUTED_VALUE"""),"-")</f>
        <v>-</v>
      </c>
      <c r="O26" s="119"/>
      <c r="P26" s="119"/>
    </row>
    <row r="27">
      <c r="B27" s="163">
        <f>IFERROR(__xludf.DUMMYFUNCTION("""COMPUTED_VALUE"""),46071.0)</f>
        <v>46071</v>
      </c>
      <c r="C27" s="119"/>
      <c r="D27" s="119" t="str">
        <f>IFERROR(__xludf.DUMMYFUNCTION("""COMPUTED_VALUE"""),"TAB")</f>
        <v>TAB</v>
      </c>
      <c r="E27" s="159"/>
      <c r="F27" s="160" t="str">
        <f>IFERROR(__xludf.DUMMYFUNCTION("""COMPUTED_VALUE"""),"G-TAB-A11-KIDS")</f>
        <v>G-TAB-A11-KIDS</v>
      </c>
      <c r="G27" s="119" t="str">
        <f>IFERROR(__xludf.DUMMYFUNCTION("""COMPUTED_VALUE"""),"UNRETURN")</f>
        <v>UNRETURN</v>
      </c>
      <c r="H27" s="164"/>
      <c r="I27" s="119"/>
      <c r="J27" s="119"/>
      <c r="K27" s="119"/>
      <c r="L27" s="119" t="str">
        <f>IFERROR(__xludf.DUMMYFUNCTION("""COMPUTED_VALUE"""),"AVAILABLE IN AGENCY")</f>
        <v>AVAILABLE IN AGENCY</v>
      </c>
      <c r="M27" s="119" t="str">
        <f>IFERROR(__xludf.DUMMYFUNCTION("""COMPUTED_VALUE"""),"LOANED / ON KOL")</f>
        <v>LOANED / ON KOL</v>
      </c>
      <c r="N27" s="158" t="str">
        <f>IFERROR(__xludf.DUMMYFUNCTION("""COMPUTED_VALUE"""),"Chikkita")</f>
        <v>Chikkita</v>
      </c>
      <c r="O27" s="119"/>
      <c r="P27" s="119"/>
    </row>
    <row r="28">
      <c r="B28" s="163">
        <f>IFERROR(__xludf.DUMMYFUNCTION("""COMPUTED_VALUE"""),46073.0)</f>
        <v>46073</v>
      </c>
      <c r="C28" s="119"/>
      <c r="D28" s="119" t="str">
        <f>IFERROR(__xludf.DUMMYFUNCTION("""COMPUTED_VALUE"""),"HANDPHONE")</f>
        <v>HANDPHONE</v>
      </c>
      <c r="E28" s="159"/>
      <c r="F28" s="160" t="str">
        <f>IFERROR(__xludf.DUMMYFUNCTION("""COMPUTED_VALUE"""),"G-S25-EDGE 256GB SILVER")</f>
        <v>G-S25-EDGE 256GB SILVER</v>
      </c>
      <c r="G28" s="119" t="str">
        <f>IFERROR(__xludf.DUMMYFUNCTION("""COMPUTED_VALUE"""),"UNRETURN")</f>
        <v>UNRETURN</v>
      </c>
      <c r="H28" s="164"/>
      <c r="I28" s="119"/>
      <c r="J28" s="119" t="str">
        <f>IFERROR(__xludf.DUMMYFUNCTION("""COMPUTED_VALUE"""),"MARTIN")</f>
        <v>MARTIN</v>
      </c>
      <c r="K28" s="119"/>
      <c r="L28" s="119" t="str">
        <f>IFERROR(__xludf.DUMMYFUNCTION("""COMPUTED_VALUE"""),"AVAILABLE IN AGENCY")</f>
        <v>AVAILABLE IN AGENCY</v>
      </c>
      <c r="M28" s="119" t="str">
        <f>IFERROR(__xludf.DUMMYFUNCTION("""COMPUTED_VALUE"""),"AVAILABLE")</f>
        <v>AVAILABLE</v>
      </c>
      <c r="N28" s="158" t="str">
        <f>IFERROR(__xludf.DUMMYFUNCTION("""COMPUTED_VALUE"""),"-")</f>
        <v>-</v>
      </c>
      <c r="O28" s="119"/>
      <c r="P28" s="119"/>
    </row>
    <row r="29">
      <c r="B29" s="163">
        <f>IFERROR(__xludf.DUMMYFUNCTION("""COMPUTED_VALUE"""),46073.0)</f>
        <v>46073</v>
      </c>
      <c r="C29" s="119"/>
      <c r="D29" s="119" t="str">
        <f>IFERROR(__xludf.DUMMYFUNCTION("""COMPUTED_VALUE"""),"HANDPHONE")</f>
        <v>HANDPHONE</v>
      </c>
      <c r="E29" s="159"/>
      <c r="F29" s="160" t="str">
        <f>IFERROR(__xludf.DUMMYFUNCTION("""COMPUTED_VALUE"""),"G-S25-EDGE 256GB SILVER")</f>
        <v>G-S25-EDGE 256GB SILVER</v>
      </c>
      <c r="G29" s="119" t="str">
        <f>IFERROR(__xludf.DUMMYFUNCTION("""COMPUTED_VALUE"""),"UNRETURN")</f>
        <v>UNRETURN</v>
      </c>
      <c r="H29" s="164"/>
      <c r="I29" s="119"/>
      <c r="J29" s="119" t="str">
        <f>IFERROR(__xludf.DUMMYFUNCTION("""COMPUTED_VALUE"""),"MARTIN")</f>
        <v>MARTIN</v>
      </c>
      <c r="K29" s="119"/>
      <c r="L29" s="119" t="str">
        <f>IFERROR(__xludf.DUMMYFUNCTION("""COMPUTED_VALUE"""),"AVAILABLE IN AGENCY")</f>
        <v>AVAILABLE IN AGENCY</v>
      </c>
      <c r="M29" s="119" t="str">
        <f>IFERROR(__xludf.DUMMYFUNCTION("""COMPUTED_VALUE"""),"AVAILABLE")</f>
        <v>AVAILABLE</v>
      </c>
      <c r="N29" s="158" t="str">
        <f>IFERROR(__xludf.DUMMYFUNCTION("""COMPUTED_VALUE"""),"-")</f>
        <v>-</v>
      </c>
      <c r="O29" s="119"/>
      <c r="P29" s="119"/>
    </row>
    <row r="30">
      <c r="B30" s="163">
        <f>IFERROR(__xludf.DUMMYFUNCTION("""COMPUTED_VALUE"""),46073.0)</f>
        <v>46073</v>
      </c>
      <c r="C30" s="119"/>
      <c r="D30" s="119" t="str">
        <f>IFERROR(__xludf.DUMMYFUNCTION("""COMPUTED_VALUE"""),"HANDPHONE")</f>
        <v>HANDPHONE</v>
      </c>
      <c r="E30" s="159">
        <f>IFERROR(__xludf.DUMMYFUNCTION("""COMPUTED_VALUE"""),3.51298320095065E14)</f>
        <v>351298320095065</v>
      </c>
      <c r="F30" s="160" t="str">
        <f>IFERROR(__xludf.DUMMYFUNCTION("""COMPUTED_VALUE"""),"G-S25-EDGE 256GB ICYBLUE")</f>
        <v>G-S25-EDGE 256GB ICYBLUE</v>
      </c>
      <c r="G30" s="119" t="str">
        <f>IFERROR(__xludf.DUMMYFUNCTION("""COMPUTED_VALUE"""),"UNRETURN")</f>
        <v>UNRETURN</v>
      </c>
      <c r="H30" s="164"/>
      <c r="I30" s="119"/>
      <c r="J30" s="119" t="str">
        <f>IFERROR(__xludf.DUMMYFUNCTION("""COMPUTED_VALUE"""),"MARTIN")</f>
        <v>MARTIN</v>
      </c>
      <c r="K30" s="119"/>
      <c r="L30" s="119" t="str">
        <f>IFERROR(__xludf.DUMMYFUNCTION("""COMPUTED_VALUE"""),"AVAILABLE IN AGENCY")</f>
        <v>AVAILABLE IN AGENCY</v>
      </c>
      <c r="M30" s="119" t="str">
        <f>IFERROR(__xludf.DUMMYFUNCTION("""COMPUTED_VALUE"""),"AVAILABLE")</f>
        <v>AVAILABLE</v>
      </c>
      <c r="N30" s="158" t="str">
        <f>IFERROR(__xludf.DUMMYFUNCTION("""COMPUTED_VALUE"""),"-")</f>
        <v>-</v>
      </c>
      <c r="O30" s="119"/>
      <c r="P30" s="119"/>
    </row>
    <row r="31">
      <c r="B31" s="163">
        <f>IFERROR(__xludf.DUMMYFUNCTION("""COMPUTED_VALUE"""),46073.0)</f>
        <v>46073</v>
      </c>
      <c r="C31" s="119"/>
      <c r="D31" s="119" t="str">
        <f>IFERROR(__xludf.DUMMYFUNCTION("""COMPUTED_VALUE"""),"HANDPHONE")</f>
        <v>HANDPHONE</v>
      </c>
      <c r="E31" s="159">
        <f>IFERROR(__xludf.DUMMYFUNCTION("""COMPUTED_VALUE"""),3.51298320003754E14)</f>
        <v>351298320003754</v>
      </c>
      <c r="F31" s="160" t="str">
        <f>IFERROR(__xludf.DUMMYFUNCTION("""COMPUTED_VALUE"""),"G-S25-EDGE 256GB WHITE")</f>
        <v>G-S25-EDGE 256GB WHITE</v>
      </c>
      <c r="G31" s="119" t="str">
        <f>IFERROR(__xludf.DUMMYFUNCTION("""COMPUTED_VALUE"""),"UNRETURN")</f>
        <v>UNRETURN</v>
      </c>
      <c r="H31" s="164"/>
      <c r="I31" s="119"/>
      <c r="J31" s="119" t="str">
        <f>IFERROR(__xludf.DUMMYFUNCTION("""COMPUTED_VALUE"""),"MARTIN")</f>
        <v>MARTIN</v>
      </c>
      <c r="K31" s="119"/>
      <c r="L31" s="119" t="str">
        <f>IFERROR(__xludf.DUMMYFUNCTION("""COMPUTED_VALUE"""),"AVAILABLE IN AGENCY")</f>
        <v>AVAILABLE IN AGENCY</v>
      </c>
      <c r="M31" s="119" t="str">
        <f>IFERROR(__xludf.DUMMYFUNCTION("""COMPUTED_VALUE"""),"AVAILABLE")</f>
        <v>AVAILABLE</v>
      </c>
      <c r="N31" s="158" t="str">
        <f>IFERROR(__xludf.DUMMYFUNCTION("""COMPUTED_VALUE"""),"-")</f>
        <v>-</v>
      </c>
      <c r="O31" s="119"/>
      <c r="P31" s="119"/>
    </row>
    <row r="32">
      <c r="B32" s="163">
        <f>IFERROR(__xludf.DUMMYFUNCTION("""COMPUTED_VALUE"""),46073.0)</f>
        <v>46073</v>
      </c>
      <c r="C32" s="119"/>
      <c r="D32" s="119" t="str">
        <f>IFERROR(__xludf.DUMMYFUNCTION("""COMPUTED_VALUE"""),"HANDPHONE")</f>
        <v>HANDPHONE</v>
      </c>
      <c r="E32" s="159">
        <f>IFERROR(__xludf.DUMMYFUNCTION("""COMPUTED_VALUE"""),3.51298320063709E14)</f>
        <v>351298320063709</v>
      </c>
      <c r="F32" s="160" t="str">
        <f>IFERROR(__xludf.DUMMYFUNCTION("""COMPUTED_VALUE"""),"G-S25-FE 256GB NAVY")</f>
        <v>G-S25-FE 256GB NAVY</v>
      </c>
      <c r="G32" s="119" t="str">
        <f>IFERROR(__xludf.DUMMYFUNCTION("""COMPUTED_VALUE"""),"UNRETURN")</f>
        <v>UNRETURN</v>
      </c>
      <c r="H32" s="164"/>
      <c r="I32" s="119"/>
      <c r="J32" s="119" t="str">
        <f>IFERROR(__xludf.DUMMYFUNCTION("""COMPUTED_VALUE"""),"AUFA")</f>
        <v>AUFA</v>
      </c>
      <c r="K32" s="119"/>
      <c r="L32" s="119" t="str">
        <f>IFERROR(__xludf.DUMMYFUNCTION("""COMPUTED_VALUE"""),"AVAILABLE IN AGENCY")</f>
        <v>AVAILABLE IN AGENCY</v>
      </c>
      <c r="M32" s="119" t="str">
        <f>IFERROR(__xludf.DUMMYFUNCTION("""COMPUTED_VALUE"""),"AVAILABLE")</f>
        <v>AVAILABLE</v>
      </c>
      <c r="N32" s="158" t="str">
        <f>IFERROR(__xludf.DUMMYFUNCTION("""COMPUTED_VALUE"""),"-")</f>
        <v>-</v>
      </c>
      <c r="O32" s="119"/>
      <c r="P32" s="119"/>
    </row>
    <row r="33">
      <c r="B33" s="163">
        <f>IFERROR(__xludf.DUMMYFUNCTION("""COMPUTED_VALUE"""),46073.0)</f>
        <v>46073</v>
      </c>
      <c r="C33" s="119"/>
      <c r="D33" s="119" t="str">
        <f>IFERROR(__xludf.DUMMYFUNCTION("""COMPUTED_VALUE"""),"HANDPHONE")</f>
        <v>HANDPHONE</v>
      </c>
      <c r="E33" s="159">
        <f>IFERROR(__xludf.DUMMYFUNCTION("""COMPUTED_VALUE"""),3.51298320064533E14)</f>
        <v>351298320064533</v>
      </c>
      <c r="F33" s="160" t="str">
        <f>IFERROR(__xludf.DUMMYFUNCTION("""COMPUTED_VALUE"""),"G-S25-FE 256GB NAVY")</f>
        <v>G-S25-FE 256GB NAVY</v>
      </c>
      <c r="G33" s="119" t="str">
        <f>IFERROR(__xludf.DUMMYFUNCTION("""COMPUTED_VALUE"""),"UNRETURN")</f>
        <v>UNRETURN</v>
      </c>
      <c r="H33" s="164"/>
      <c r="I33" s="119"/>
      <c r="J33" s="119" t="str">
        <f>IFERROR(__xludf.DUMMYFUNCTION("""COMPUTED_VALUE"""),"AUFA")</f>
        <v>AUFA</v>
      </c>
      <c r="K33" s="119"/>
      <c r="L33" s="119" t="str">
        <f>IFERROR(__xludf.DUMMYFUNCTION("""COMPUTED_VALUE"""),"AVAILABLE IN AGENCY")</f>
        <v>AVAILABLE IN AGENCY</v>
      </c>
      <c r="M33" s="119" t="str">
        <f>IFERROR(__xludf.DUMMYFUNCTION("""COMPUTED_VALUE"""),"AVAILABLE")</f>
        <v>AVAILABLE</v>
      </c>
      <c r="N33" s="158" t="str">
        <f>IFERROR(__xludf.DUMMYFUNCTION("""COMPUTED_VALUE"""),"-")</f>
        <v>-</v>
      </c>
      <c r="O33" s="119"/>
      <c r="P33" s="119"/>
    </row>
    <row r="34">
      <c r="B34" s="163">
        <f>IFERROR(__xludf.DUMMYFUNCTION("""COMPUTED_VALUE"""),46073.0)</f>
        <v>46073</v>
      </c>
      <c r="C34" s="119"/>
      <c r="D34" s="119" t="str">
        <f>IFERROR(__xludf.DUMMYFUNCTION("""COMPUTED_VALUE"""),"HANDPHONE")</f>
        <v>HANDPHONE</v>
      </c>
      <c r="E34" s="159">
        <f>IFERROR(__xludf.DUMMYFUNCTION("""COMPUTED_VALUE"""),3.51298320107878E14)</f>
        <v>351298320107878</v>
      </c>
      <c r="F34" s="160" t="str">
        <f>IFERROR(__xludf.DUMMYFUNCTION("""COMPUTED_VALUE"""),"G-S25-FE 256GB NAVY")</f>
        <v>G-S25-FE 256GB NAVY</v>
      </c>
      <c r="G34" s="119" t="str">
        <f>IFERROR(__xludf.DUMMYFUNCTION("""COMPUTED_VALUE"""),"UNRETURN")</f>
        <v>UNRETURN</v>
      </c>
      <c r="H34" s="164"/>
      <c r="I34" s="119"/>
      <c r="J34" s="119" t="str">
        <f>IFERROR(__xludf.DUMMYFUNCTION("""COMPUTED_VALUE"""),"AUFA")</f>
        <v>AUFA</v>
      </c>
      <c r="K34" s="119"/>
      <c r="L34" s="119" t="str">
        <f>IFERROR(__xludf.DUMMYFUNCTION("""COMPUTED_VALUE"""),"AVAILABLE IN AGENCY")</f>
        <v>AVAILABLE IN AGENCY</v>
      </c>
      <c r="M34" s="119" t="str">
        <f>IFERROR(__xludf.DUMMYFUNCTION("""COMPUTED_VALUE"""),"AVAILABLE")</f>
        <v>AVAILABLE</v>
      </c>
      <c r="N34" s="158" t="str">
        <f>IFERROR(__xludf.DUMMYFUNCTION("""COMPUTED_VALUE"""),"-")</f>
        <v>-</v>
      </c>
      <c r="O34" s="119"/>
      <c r="P34" s="119"/>
    </row>
    <row r="35">
      <c r="B35" s="163">
        <f>IFERROR(__xludf.DUMMYFUNCTION("""COMPUTED_VALUE"""),46073.0)</f>
        <v>46073</v>
      </c>
      <c r="C35" s="119"/>
      <c r="D35" s="119" t="str">
        <f>IFERROR(__xludf.DUMMYFUNCTION("""COMPUTED_VALUE"""),"HANDPHONE")</f>
        <v>HANDPHONE</v>
      </c>
      <c r="E35" s="159">
        <f>IFERROR(__xludf.DUMMYFUNCTION("""COMPUTED_VALUE"""),3.54166470015356E14)</f>
        <v>354166470015356</v>
      </c>
      <c r="F35" s="160" t="str">
        <f>IFERROR(__xludf.DUMMYFUNCTION("""COMPUTED_VALUE"""),"G-S25-PLUS 256GB ICYBLUE")</f>
        <v>G-S25-PLUS 256GB ICYBLUE</v>
      </c>
      <c r="G35" s="119" t="str">
        <f>IFERROR(__xludf.DUMMYFUNCTION("""COMPUTED_VALUE"""),"UNRETURN")</f>
        <v>UNRETURN</v>
      </c>
      <c r="H35" s="164"/>
      <c r="I35" s="119"/>
      <c r="J35" s="119" t="str">
        <f>IFERROR(__xludf.DUMMYFUNCTION("""COMPUTED_VALUE"""),"MARTIN")</f>
        <v>MARTIN</v>
      </c>
      <c r="K35" s="119"/>
      <c r="L35" s="119" t="str">
        <f>IFERROR(__xludf.DUMMYFUNCTION("""COMPUTED_VALUE"""),"AVAILABLE IN AGENCY")</f>
        <v>AVAILABLE IN AGENCY</v>
      </c>
      <c r="M35" s="119" t="str">
        <f>IFERROR(__xludf.DUMMYFUNCTION("""COMPUTED_VALUE"""),"AVAILABLE")</f>
        <v>AVAILABLE</v>
      </c>
      <c r="N35" s="158" t="str">
        <f>IFERROR(__xludf.DUMMYFUNCTION("""COMPUTED_VALUE"""),"-")</f>
        <v>-</v>
      </c>
      <c r="O35" s="119"/>
      <c r="P35" s="119"/>
    </row>
    <row r="36">
      <c r="B36" s="163">
        <f>IFERROR(__xludf.DUMMYFUNCTION("""COMPUTED_VALUE"""),46073.0)</f>
        <v>46073</v>
      </c>
      <c r="C36" s="119"/>
      <c r="D36" s="119" t="str">
        <f>IFERROR(__xludf.DUMMYFUNCTION("""COMPUTED_VALUE"""),"HANDPHONE")</f>
        <v>HANDPHONE</v>
      </c>
      <c r="E36" s="159">
        <f>IFERROR(__xludf.DUMMYFUNCTION("""COMPUTED_VALUE"""),3.52425615065151E14)</f>
        <v>352425615065151</v>
      </c>
      <c r="F36" s="160" t="str">
        <f>IFERROR(__xludf.DUMMYFUNCTION("""COMPUTED_VALUE"""),"G-S26-ULTRA 512GB SILVER")</f>
        <v>G-S26-ULTRA 512GB SILVER</v>
      </c>
      <c r="G36" s="119" t="str">
        <f>IFERROR(__xludf.DUMMYFUNCTION("""COMPUTED_VALUE"""),"UNRETURN")</f>
        <v>UNRETURN</v>
      </c>
      <c r="H36" s="164"/>
      <c r="I36" s="119"/>
      <c r="J36" s="119" t="str">
        <f>IFERROR(__xludf.DUMMYFUNCTION("""COMPUTED_VALUE"""),"SULU")</f>
        <v>SULU</v>
      </c>
      <c r="K36" s="119" t="str">
        <f>IFERROR(__xludf.DUMMYFUNCTION("""COMPUTED_VALUE"""),"Miracle")</f>
        <v>Miracle</v>
      </c>
      <c r="L36" s="119" t="str">
        <f>IFERROR(__xludf.DUMMYFUNCTION("""COMPUTED_VALUE"""),"GIFT TO KOL")</f>
        <v>GIFT TO KOL</v>
      </c>
      <c r="M36" s="119" t="str">
        <f>IFERROR(__xludf.DUMMYFUNCTION("""COMPUTED_VALUE"""),"LOANED / ON KOL")</f>
        <v>LOANED / ON KOL</v>
      </c>
      <c r="N36" s="158" t="str">
        <f>IFERROR(__xludf.DUMMYFUNCTION("""COMPUTED_VALUE"""),"Bernadya")</f>
        <v>Bernadya</v>
      </c>
      <c r="O36" s="119"/>
      <c r="P36" s="119"/>
    </row>
    <row r="37">
      <c r="B37" s="163">
        <f>IFERROR(__xludf.DUMMYFUNCTION("""COMPUTED_VALUE"""),46073.0)</f>
        <v>46073</v>
      </c>
      <c r="C37" s="119"/>
      <c r="D37" s="119" t="str">
        <f>IFERROR(__xludf.DUMMYFUNCTION("""COMPUTED_VALUE"""),"HANDPHONE")</f>
        <v>HANDPHONE</v>
      </c>
      <c r="E37" s="159">
        <f>IFERROR(__xludf.DUMMYFUNCTION("""COMPUTED_VALUE"""),3.52425615198796E14)</f>
        <v>352425615198796</v>
      </c>
      <c r="F37" s="160" t="str">
        <f>IFERROR(__xludf.DUMMYFUNCTION("""COMPUTED_VALUE"""),"G-S26-ULTRA 512GB BLACK")</f>
        <v>G-S26-ULTRA 512GB BLACK</v>
      </c>
      <c r="G37" s="119" t="str">
        <f>IFERROR(__xludf.DUMMYFUNCTION("""COMPUTED_VALUE"""),"UNRETURN")</f>
        <v>UNRETURN</v>
      </c>
      <c r="H37" s="164"/>
      <c r="I37" s="119"/>
      <c r="J37" s="119" t="str">
        <f>IFERROR(__xludf.DUMMYFUNCTION("""COMPUTED_VALUE"""),"SULU")</f>
        <v>SULU</v>
      </c>
      <c r="K37" s="119" t="str">
        <f>IFERROR(__xludf.DUMMYFUNCTION("""COMPUTED_VALUE"""),"Miracle")</f>
        <v>Miracle</v>
      </c>
      <c r="L37" s="119" t="str">
        <f>IFERROR(__xludf.DUMMYFUNCTION("""COMPUTED_VALUE"""),"GIFT TO KOL")</f>
        <v>GIFT TO KOL</v>
      </c>
      <c r="M37" s="119" t="str">
        <f>IFERROR(__xludf.DUMMYFUNCTION("""COMPUTED_VALUE"""),"LOANED / ON KOL")</f>
        <v>LOANED / ON KOL</v>
      </c>
      <c r="N37" s="158" t="str">
        <f>IFERROR(__xludf.DUMMYFUNCTION("""COMPUTED_VALUE"""),"Andy Garcia")</f>
        <v>Andy Garcia</v>
      </c>
      <c r="O37" s="119"/>
      <c r="P37" s="119"/>
    </row>
    <row r="38">
      <c r="B38" s="163">
        <f>IFERROR(__xludf.DUMMYFUNCTION("""COMPUTED_VALUE"""),46073.0)</f>
        <v>46073</v>
      </c>
      <c r="C38" s="119"/>
      <c r="D38" s="119" t="str">
        <f>IFERROR(__xludf.DUMMYFUNCTION("""COMPUTED_VALUE"""),"HANDPHONE")</f>
        <v>HANDPHONE</v>
      </c>
      <c r="E38" s="159">
        <f>IFERROR(__xludf.DUMMYFUNCTION("""COMPUTED_VALUE"""),3.52425615056887E14)</f>
        <v>352425615056887</v>
      </c>
      <c r="F38" s="160" t="str">
        <f>IFERROR(__xludf.DUMMYFUNCTION("""COMPUTED_VALUE"""),"G-S26-ULTRA 512GB SILVER")</f>
        <v>G-S26-ULTRA 512GB SILVER</v>
      </c>
      <c r="G38" s="119" t="str">
        <f>IFERROR(__xludf.DUMMYFUNCTION("""COMPUTED_VALUE"""),"UNRETURN")</f>
        <v>UNRETURN</v>
      </c>
      <c r="H38" s="164"/>
      <c r="I38" s="119"/>
      <c r="J38" s="119" t="str">
        <f>IFERROR(__xludf.DUMMYFUNCTION("""COMPUTED_VALUE"""),"SULU")</f>
        <v>SULU</v>
      </c>
      <c r="K38" s="119" t="str">
        <f>IFERROR(__xludf.DUMMYFUNCTION("""COMPUTED_VALUE"""),"Miracle")</f>
        <v>Miracle</v>
      </c>
      <c r="L38" s="119" t="str">
        <f>IFERROR(__xludf.DUMMYFUNCTION("""COMPUTED_VALUE"""),"GIFT TO KOL")</f>
        <v>GIFT TO KOL</v>
      </c>
      <c r="M38" s="119" t="str">
        <f>IFERROR(__xludf.DUMMYFUNCTION("""COMPUTED_VALUE"""),"LOANED / ON KOL")</f>
        <v>LOANED / ON KOL</v>
      </c>
      <c r="N38" s="158" t="str">
        <f>IFERROR(__xludf.DUMMYFUNCTION("""COMPUTED_VALUE"""),"Windah")</f>
        <v>Windah</v>
      </c>
      <c r="O38" s="119"/>
      <c r="P38" s="119"/>
    </row>
    <row r="39">
      <c r="B39" s="163">
        <f>IFERROR(__xludf.DUMMYFUNCTION("""COMPUTED_VALUE"""),46073.0)</f>
        <v>46073</v>
      </c>
      <c r="C39" s="119"/>
      <c r="D39" s="119" t="str">
        <f>IFERROR(__xludf.DUMMYFUNCTION("""COMPUTED_VALUE"""),"HANDPHONE")</f>
        <v>HANDPHONE</v>
      </c>
      <c r="E39" s="159">
        <f>IFERROR(__xludf.DUMMYFUNCTION("""COMPUTED_VALUE"""),3.51690530006074E14)</f>
        <v>351690530006074</v>
      </c>
      <c r="F39" s="160" t="str">
        <f>IFERROR(__xludf.DUMMYFUNCTION("""COMPUTED_VALUE"""),"G-S26 256GB BLACK")</f>
        <v>G-S26 256GB BLACK</v>
      </c>
      <c r="G39" s="119" t="str">
        <f>IFERROR(__xludf.DUMMYFUNCTION("""COMPUTED_VALUE"""),"UNRETURN")</f>
        <v>UNRETURN</v>
      </c>
      <c r="H39" s="164"/>
      <c r="I39" s="119"/>
      <c r="J39" s="119" t="str">
        <f>IFERROR(__xludf.DUMMYFUNCTION("""COMPUTED_VALUE"""),"SULU")</f>
        <v>SULU</v>
      </c>
      <c r="K39" s="119" t="str">
        <f>IFERROR(__xludf.DUMMYFUNCTION("""COMPUTED_VALUE"""),"Miracle")</f>
        <v>Miracle</v>
      </c>
      <c r="L39" s="119" t="str">
        <f>IFERROR(__xludf.DUMMYFUNCTION("""COMPUTED_VALUE"""),"GIFT TO KOL")</f>
        <v>GIFT TO KOL</v>
      </c>
      <c r="M39" s="119" t="str">
        <f>IFERROR(__xludf.DUMMYFUNCTION("""COMPUTED_VALUE"""),"AVAILABLE")</f>
        <v>AVAILABLE</v>
      </c>
      <c r="N39" s="158" t="str">
        <f>IFERROR(__xludf.DUMMYFUNCTION("""COMPUTED_VALUE"""),"-")</f>
        <v>-</v>
      </c>
      <c r="O39" s="119"/>
      <c r="P39" s="119"/>
    </row>
    <row r="40">
      <c r="B40" s="163">
        <f>IFERROR(__xludf.DUMMYFUNCTION("""COMPUTED_VALUE"""),46073.0)</f>
        <v>46073</v>
      </c>
      <c r="C40" s="119"/>
      <c r="D40" s="119" t="str">
        <f>IFERROR(__xludf.DUMMYFUNCTION("""COMPUTED_VALUE"""),"HANDPHONE")</f>
        <v>HANDPHONE</v>
      </c>
      <c r="E40" s="159">
        <f>IFERROR(__xludf.DUMMYFUNCTION("""COMPUTED_VALUE"""),3.51690530032211E14)</f>
        <v>351690530032211</v>
      </c>
      <c r="F40" s="160" t="str">
        <f>IFERROR(__xludf.DUMMYFUNCTION("""COMPUTED_VALUE"""),"G-S26 256GB VIOLET")</f>
        <v>G-S26 256GB VIOLET</v>
      </c>
      <c r="G40" s="119" t="str">
        <f>IFERROR(__xludf.DUMMYFUNCTION("""COMPUTED_VALUE"""),"UNRETURN")</f>
        <v>UNRETURN</v>
      </c>
      <c r="H40" s="164"/>
      <c r="I40" s="119"/>
      <c r="J40" s="119" t="str">
        <f>IFERROR(__xludf.DUMMYFUNCTION("""COMPUTED_VALUE"""),"SULU")</f>
        <v>SULU</v>
      </c>
      <c r="K40" s="119" t="str">
        <f>IFERROR(__xludf.DUMMYFUNCTION("""COMPUTED_VALUE"""),"Miracle")</f>
        <v>Miracle</v>
      </c>
      <c r="L40" s="119" t="str">
        <f>IFERROR(__xludf.DUMMYFUNCTION("""COMPUTED_VALUE"""),"GIFT TO KOL")</f>
        <v>GIFT TO KOL</v>
      </c>
      <c r="M40" s="119" t="str">
        <f>IFERROR(__xludf.DUMMYFUNCTION("""COMPUTED_VALUE"""),"AVAILABLE")</f>
        <v>AVAILABLE</v>
      </c>
      <c r="N40" s="158" t="str">
        <f>IFERROR(__xludf.DUMMYFUNCTION("""COMPUTED_VALUE"""),"-")</f>
        <v>-</v>
      </c>
      <c r="O40" s="119"/>
      <c r="P40" s="119"/>
    </row>
    <row r="41">
      <c r="B41" s="163">
        <f>IFERROR(__xludf.DUMMYFUNCTION("""COMPUTED_VALUE"""),46073.0)</f>
        <v>46073</v>
      </c>
      <c r="C41" s="119"/>
      <c r="D41" s="119" t="str">
        <f>IFERROR(__xludf.DUMMYFUNCTION("""COMPUTED_VALUE"""),"HANDPHONE")</f>
        <v>HANDPHONE</v>
      </c>
      <c r="E41" s="159">
        <f>IFERROR(__xludf.DUMMYFUNCTION("""COMPUTED_VALUE"""),3.5169053003226E14)</f>
        <v>351690530032260</v>
      </c>
      <c r="F41" s="160" t="str">
        <f>IFERROR(__xludf.DUMMYFUNCTION("""COMPUTED_VALUE"""),"G-S26 256GB VIOLET")</f>
        <v>G-S26 256GB VIOLET</v>
      </c>
      <c r="G41" s="119" t="str">
        <f>IFERROR(__xludf.DUMMYFUNCTION("""COMPUTED_VALUE"""),"UNRETURN")</f>
        <v>UNRETURN</v>
      </c>
      <c r="H41" s="164"/>
      <c r="I41" s="119"/>
      <c r="J41" s="119" t="str">
        <f>IFERROR(__xludf.DUMMYFUNCTION("""COMPUTED_VALUE"""),"SULU")</f>
        <v>SULU</v>
      </c>
      <c r="K41" s="119" t="str">
        <f>IFERROR(__xludf.DUMMYFUNCTION("""COMPUTED_VALUE"""),"Miracle")</f>
        <v>Miracle</v>
      </c>
      <c r="L41" s="119" t="str">
        <f>IFERROR(__xludf.DUMMYFUNCTION("""COMPUTED_VALUE"""),"GIFT TO KOL")</f>
        <v>GIFT TO KOL</v>
      </c>
      <c r="M41" s="119" t="str">
        <f>IFERROR(__xludf.DUMMYFUNCTION("""COMPUTED_VALUE"""),"AVAILABLE")</f>
        <v>AVAILABLE</v>
      </c>
      <c r="N41" s="158" t="str">
        <f>IFERROR(__xludf.DUMMYFUNCTION("""COMPUTED_VALUE"""),"-")</f>
        <v>-</v>
      </c>
      <c r="O41" s="119"/>
      <c r="P41" s="119"/>
    </row>
    <row r="42">
      <c r="B42" s="163">
        <f>IFERROR(__xludf.DUMMYFUNCTION("""COMPUTED_VALUE"""),46073.0)</f>
        <v>46073</v>
      </c>
      <c r="C42" s="119"/>
      <c r="D42" s="119" t="str">
        <f>IFERROR(__xludf.DUMMYFUNCTION("""COMPUTED_VALUE"""),"HANDPHONE")</f>
        <v>HANDPHONE</v>
      </c>
      <c r="E42" s="159">
        <f>IFERROR(__xludf.DUMMYFUNCTION("""COMPUTED_VALUE"""),3.51690530006355E14)</f>
        <v>351690530006355</v>
      </c>
      <c r="F42" s="160" t="str">
        <f>IFERROR(__xludf.DUMMYFUNCTION("""COMPUTED_VALUE"""),"G-S26 256GB BLACK")</f>
        <v>G-S26 256GB BLACK</v>
      </c>
      <c r="G42" s="119" t="str">
        <f>IFERROR(__xludf.DUMMYFUNCTION("""COMPUTED_VALUE"""),"UNRETURN")</f>
        <v>UNRETURN</v>
      </c>
      <c r="H42" s="164"/>
      <c r="I42" s="119"/>
      <c r="J42" s="119" t="str">
        <f>IFERROR(__xludf.DUMMYFUNCTION("""COMPUTED_VALUE"""),"SULU")</f>
        <v>SULU</v>
      </c>
      <c r="K42" s="119" t="str">
        <f>IFERROR(__xludf.DUMMYFUNCTION("""COMPUTED_VALUE"""),"Miracle")</f>
        <v>Miracle</v>
      </c>
      <c r="L42" s="119" t="str">
        <f>IFERROR(__xludf.DUMMYFUNCTION("""COMPUTED_VALUE"""),"GIFT TO KOL")</f>
        <v>GIFT TO KOL</v>
      </c>
      <c r="M42" s="119" t="str">
        <f>IFERROR(__xludf.DUMMYFUNCTION("""COMPUTED_VALUE"""),"AVAILABLE")</f>
        <v>AVAILABLE</v>
      </c>
      <c r="N42" s="158" t="str">
        <f>IFERROR(__xludf.DUMMYFUNCTION("""COMPUTED_VALUE"""),"-")</f>
        <v>-</v>
      </c>
      <c r="O42" s="119"/>
      <c r="P42" s="119"/>
    </row>
    <row r="43">
      <c r="B43" s="163">
        <f>IFERROR(__xludf.DUMMYFUNCTION("""COMPUTED_VALUE"""),46073.0)</f>
        <v>46073</v>
      </c>
      <c r="C43" s="119"/>
      <c r="D43" s="119" t="str">
        <f>IFERROR(__xludf.DUMMYFUNCTION("""COMPUTED_VALUE"""),"HANDPHONE")</f>
        <v>HANDPHONE</v>
      </c>
      <c r="E43" s="159">
        <f>IFERROR(__xludf.DUMMYFUNCTION("""COMPUTED_VALUE"""),3.51690530005449E14)</f>
        <v>351690530005449</v>
      </c>
      <c r="F43" s="160" t="str">
        <f>IFERROR(__xludf.DUMMYFUNCTION("""COMPUTED_VALUE"""),"G-S26 256GB BLACK")</f>
        <v>G-S26 256GB BLACK</v>
      </c>
      <c r="G43" s="119" t="str">
        <f>IFERROR(__xludf.DUMMYFUNCTION("""COMPUTED_VALUE"""),"UNRETURN")</f>
        <v>UNRETURN</v>
      </c>
      <c r="H43" s="164"/>
      <c r="I43" s="119"/>
      <c r="J43" s="119" t="str">
        <f>IFERROR(__xludf.DUMMYFUNCTION("""COMPUTED_VALUE"""),"SULU")</f>
        <v>SULU</v>
      </c>
      <c r="K43" s="119" t="str">
        <f>IFERROR(__xludf.DUMMYFUNCTION("""COMPUTED_VALUE"""),"Miracle")</f>
        <v>Miracle</v>
      </c>
      <c r="L43" s="119" t="str">
        <f>IFERROR(__xludf.DUMMYFUNCTION("""COMPUTED_VALUE"""),"GIFT TO KOL")</f>
        <v>GIFT TO KOL</v>
      </c>
      <c r="M43" s="119" t="str">
        <f>IFERROR(__xludf.DUMMYFUNCTION("""COMPUTED_VALUE"""),"AVAILABLE")</f>
        <v>AVAILABLE</v>
      </c>
      <c r="N43" s="158" t="str">
        <f>IFERROR(__xludf.DUMMYFUNCTION("""COMPUTED_VALUE"""),"-")</f>
        <v>-</v>
      </c>
      <c r="O43" s="119"/>
      <c r="P43" s="119"/>
    </row>
    <row r="44">
      <c r="B44" s="163">
        <f>IFERROR(__xludf.DUMMYFUNCTION("""COMPUTED_VALUE"""),46073.0)</f>
        <v>46073</v>
      </c>
      <c r="C44" s="119"/>
      <c r="D44" s="119" t="str">
        <f>IFERROR(__xludf.DUMMYFUNCTION("""COMPUTED_VALUE"""),"HANDPHONE")</f>
        <v>HANDPHONE</v>
      </c>
      <c r="E44" s="159">
        <f>IFERROR(__xludf.DUMMYFUNCTION("""COMPUTED_VALUE"""),3.51690530029167E14)</f>
        <v>351690530029167</v>
      </c>
      <c r="F44" s="160" t="str">
        <f>IFERROR(__xludf.DUMMYFUNCTION("""COMPUTED_VALUE"""),"G-S26 256GB SKY BLUE")</f>
        <v>G-S26 256GB SKY BLUE</v>
      </c>
      <c r="G44" s="119" t="str">
        <f>IFERROR(__xludf.DUMMYFUNCTION("""COMPUTED_VALUE"""),"UNRETURN")</f>
        <v>UNRETURN</v>
      </c>
      <c r="H44" s="164"/>
      <c r="I44" s="119"/>
      <c r="J44" s="119" t="str">
        <f>IFERROR(__xludf.DUMMYFUNCTION("""COMPUTED_VALUE"""),"SULU")</f>
        <v>SULU</v>
      </c>
      <c r="K44" s="119" t="str">
        <f>IFERROR(__xludf.DUMMYFUNCTION("""COMPUTED_VALUE"""),"Miracle")</f>
        <v>Miracle</v>
      </c>
      <c r="L44" s="119" t="str">
        <f>IFERROR(__xludf.DUMMYFUNCTION("""COMPUTED_VALUE"""),"GIFT TO KOL")</f>
        <v>GIFT TO KOL</v>
      </c>
      <c r="M44" s="119" t="str">
        <f>IFERROR(__xludf.DUMMYFUNCTION("""COMPUTED_VALUE"""),"AVAILABLE")</f>
        <v>AVAILABLE</v>
      </c>
      <c r="N44" s="158" t="str">
        <f>IFERROR(__xludf.DUMMYFUNCTION("""COMPUTED_VALUE"""),"-")</f>
        <v>-</v>
      </c>
      <c r="O44" s="119"/>
      <c r="P44" s="119"/>
    </row>
    <row r="45">
      <c r="B45" s="163">
        <f>IFERROR(__xludf.DUMMYFUNCTION("""COMPUTED_VALUE"""),46073.0)</f>
        <v>46073</v>
      </c>
      <c r="C45" s="119"/>
      <c r="D45" s="119" t="str">
        <f>IFERROR(__xludf.DUMMYFUNCTION("""COMPUTED_VALUE"""),"HANDPHONE")</f>
        <v>HANDPHONE</v>
      </c>
      <c r="E45" s="159">
        <f>IFERROR(__xludf.DUMMYFUNCTION("""COMPUTED_VALUE"""),3.51690530030629E14)</f>
        <v>351690530030629</v>
      </c>
      <c r="F45" s="160" t="str">
        <f>IFERROR(__xludf.DUMMYFUNCTION("""COMPUTED_VALUE"""),"G-S26 256GB SKY BLUE")</f>
        <v>G-S26 256GB SKY BLUE</v>
      </c>
      <c r="G45" s="119" t="str">
        <f>IFERROR(__xludf.DUMMYFUNCTION("""COMPUTED_VALUE"""),"UNRETURN")</f>
        <v>UNRETURN</v>
      </c>
      <c r="H45" s="164"/>
      <c r="I45" s="119"/>
      <c r="J45" s="119" t="str">
        <f>IFERROR(__xludf.DUMMYFUNCTION("""COMPUTED_VALUE"""),"SULU")</f>
        <v>SULU</v>
      </c>
      <c r="K45" s="119" t="str">
        <f>IFERROR(__xludf.DUMMYFUNCTION("""COMPUTED_VALUE"""),"Miracle")</f>
        <v>Miracle</v>
      </c>
      <c r="L45" s="119" t="str">
        <f>IFERROR(__xludf.DUMMYFUNCTION("""COMPUTED_VALUE"""),"GIFT TO KOL")</f>
        <v>GIFT TO KOL</v>
      </c>
      <c r="M45" s="119" t="str">
        <f>IFERROR(__xludf.DUMMYFUNCTION("""COMPUTED_VALUE"""),"AVAILABLE")</f>
        <v>AVAILABLE</v>
      </c>
      <c r="N45" s="158" t="str">
        <f>IFERROR(__xludf.DUMMYFUNCTION("""COMPUTED_VALUE"""),"-")</f>
        <v>-</v>
      </c>
      <c r="O45" s="119"/>
      <c r="P45" s="119"/>
    </row>
    <row r="46">
      <c r="B46" s="163">
        <f>IFERROR(__xludf.DUMMYFUNCTION("""COMPUTED_VALUE"""),46076.0)</f>
        <v>46076</v>
      </c>
      <c r="C46" s="119"/>
      <c r="D46" s="119" t="str">
        <f>IFERROR(__xludf.DUMMYFUNCTION("""COMPUTED_VALUE"""),"HANDPHONE")</f>
        <v>HANDPHONE</v>
      </c>
      <c r="E46" s="159">
        <f>IFERROR(__xludf.DUMMYFUNCTION("""COMPUTED_VALUE"""),3.52954990106041E14)</f>
        <v>352954990106041</v>
      </c>
      <c r="F46" s="160" t="str">
        <f>IFERROR(__xludf.DUMMYFUNCTION("""COMPUTED_VALUE"""),"G-S26 512GB SKY BLUE")</f>
        <v>G-S26 512GB SKY BLUE</v>
      </c>
      <c r="G46" s="119" t="str">
        <f>IFERROR(__xludf.DUMMYFUNCTION("""COMPUTED_VALUE"""),"UNRETURN")</f>
        <v>UNRETURN</v>
      </c>
      <c r="H46" s="164"/>
      <c r="I46" s="119"/>
      <c r="J46" s="119" t="str">
        <f>IFERROR(__xludf.DUMMYFUNCTION("""COMPUTED_VALUE"""),"SULU")</f>
        <v>SULU</v>
      </c>
      <c r="K46" s="119" t="str">
        <f>IFERROR(__xludf.DUMMYFUNCTION("""COMPUTED_VALUE"""),"Miracle")</f>
        <v>Miracle</v>
      </c>
      <c r="L46" s="119" t="str">
        <f>IFERROR(__xludf.DUMMYFUNCTION("""COMPUTED_VALUE"""),"GIFT TO KOL")</f>
        <v>GIFT TO KOL</v>
      </c>
      <c r="M46" s="119" t="str">
        <f>IFERROR(__xludf.DUMMYFUNCTION("""COMPUTED_VALUE"""),"AVAILABLE")</f>
        <v>AVAILABLE</v>
      </c>
      <c r="N46" s="158" t="str">
        <f>IFERROR(__xludf.DUMMYFUNCTION("""COMPUTED_VALUE"""),"-")</f>
        <v>-</v>
      </c>
      <c r="O46" s="119"/>
      <c r="P46" s="119"/>
    </row>
    <row r="47">
      <c r="B47" s="163">
        <f>IFERROR(__xludf.DUMMYFUNCTION("""COMPUTED_VALUE"""),46076.0)</f>
        <v>46076</v>
      </c>
      <c r="C47" s="119"/>
      <c r="D47" s="119" t="str">
        <f>IFERROR(__xludf.DUMMYFUNCTION("""COMPUTED_VALUE"""),"HANDPHONE")</f>
        <v>HANDPHONE</v>
      </c>
      <c r="E47" s="159">
        <f>IFERROR(__xludf.DUMMYFUNCTION("""COMPUTED_VALUE"""),3.53829360002252E14)</f>
        <v>353829360002252</v>
      </c>
      <c r="F47" s="160" t="str">
        <f>IFERROR(__xludf.DUMMYFUNCTION("""COMPUTED_VALUE"""),"G-S26-PLUS 256GB COBALT VIOLET")</f>
        <v>G-S26-PLUS 256GB COBALT VIOLET</v>
      </c>
      <c r="G47" s="119" t="str">
        <f>IFERROR(__xludf.DUMMYFUNCTION("""COMPUTED_VALUE"""),"UNRETURN")</f>
        <v>UNRETURN</v>
      </c>
      <c r="H47" s="164"/>
      <c r="I47" s="119"/>
      <c r="J47" s="119" t="str">
        <f>IFERROR(__xludf.DUMMYFUNCTION("""COMPUTED_VALUE"""),"SULU")</f>
        <v>SULU</v>
      </c>
      <c r="K47" s="119" t="str">
        <f>IFERROR(__xludf.DUMMYFUNCTION("""COMPUTED_VALUE"""),"Miracle")</f>
        <v>Miracle</v>
      </c>
      <c r="L47" s="119" t="str">
        <f>IFERROR(__xludf.DUMMYFUNCTION("""COMPUTED_VALUE"""),"GIFT TO KOL")</f>
        <v>GIFT TO KOL</v>
      </c>
      <c r="M47" s="119" t="str">
        <f>IFERROR(__xludf.DUMMYFUNCTION("""COMPUTED_VALUE"""),"AVAILABLE")</f>
        <v>AVAILABLE</v>
      </c>
      <c r="N47" s="158" t="str">
        <f>IFERROR(__xludf.DUMMYFUNCTION("""COMPUTED_VALUE"""),"-")</f>
        <v>-</v>
      </c>
      <c r="O47" s="119"/>
      <c r="P47" s="119"/>
    </row>
    <row r="48">
      <c r="B48" s="163">
        <f>IFERROR(__xludf.DUMMYFUNCTION("""COMPUTED_VALUE"""),46076.0)</f>
        <v>46076</v>
      </c>
      <c r="C48" s="119"/>
      <c r="D48" s="119" t="str">
        <f>IFERROR(__xludf.DUMMYFUNCTION("""COMPUTED_VALUE"""),"HANDPHONE")</f>
        <v>HANDPHONE</v>
      </c>
      <c r="E48" s="159">
        <f>IFERROR(__xludf.DUMMYFUNCTION("""COMPUTED_VALUE"""),3.5469444004258E14)</f>
        <v>354694440042580</v>
      </c>
      <c r="F48" s="160" t="str">
        <f>IFERROR(__xludf.DUMMYFUNCTION("""COMPUTED_VALUE"""),"G-S26-PLUS 512GB COBALT VIOLET")</f>
        <v>G-S26-PLUS 512GB COBALT VIOLET</v>
      </c>
      <c r="G48" s="119" t="str">
        <f>IFERROR(__xludf.DUMMYFUNCTION("""COMPUTED_VALUE"""),"UNRETURN")</f>
        <v>UNRETURN</v>
      </c>
      <c r="H48" s="164"/>
      <c r="I48" s="119"/>
      <c r="J48" s="119" t="str">
        <f>IFERROR(__xludf.DUMMYFUNCTION("""COMPUTED_VALUE"""),"SULU")</f>
        <v>SULU</v>
      </c>
      <c r="K48" s="119" t="str">
        <f>IFERROR(__xludf.DUMMYFUNCTION("""COMPUTED_VALUE"""),"Miracle")</f>
        <v>Miracle</v>
      </c>
      <c r="L48" s="119" t="str">
        <f>IFERROR(__xludf.DUMMYFUNCTION("""COMPUTED_VALUE"""),"GIFT TO KOL")</f>
        <v>GIFT TO KOL</v>
      </c>
      <c r="M48" s="119" t="str">
        <f>IFERROR(__xludf.DUMMYFUNCTION("""COMPUTED_VALUE"""),"AVAILABLE")</f>
        <v>AVAILABLE</v>
      </c>
      <c r="N48" s="158" t="str">
        <f>IFERROR(__xludf.DUMMYFUNCTION("""COMPUTED_VALUE"""),"-")</f>
        <v>-</v>
      </c>
      <c r="O48" s="119"/>
      <c r="P48" s="119"/>
    </row>
    <row r="49">
      <c r="B49" s="163">
        <f>IFERROR(__xludf.DUMMYFUNCTION("""COMPUTED_VALUE"""),46076.0)</f>
        <v>46076</v>
      </c>
      <c r="C49" s="119"/>
      <c r="D49" s="119" t="str">
        <f>IFERROR(__xludf.DUMMYFUNCTION("""COMPUTED_VALUE"""),"HANDPHONE")</f>
        <v>HANDPHONE</v>
      </c>
      <c r="E49" s="159">
        <f>IFERROR(__xludf.DUMMYFUNCTION("""COMPUTED_VALUE"""),3.5469444003862E14)</f>
        <v>354694440038620</v>
      </c>
      <c r="F49" s="160" t="str">
        <f>IFERROR(__xludf.DUMMYFUNCTION("""COMPUTED_VALUE"""),"G-S26-PLUS 512GB COBALT VIOLET")</f>
        <v>G-S26-PLUS 512GB COBALT VIOLET</v>
      </c>
      <c r="G49" s="119" t="str">
        <f>IFERROR(__xludf.DUMMYFUNCTION("""COMPUTED_VALUE"""),"UNRETURN")</f>
        <v>UNRETURN</v>
      </c>
      <c r="H49" s="164"/>
      <c r="I49" s="119"/>
      <c r="J49" s="119" t="str">
        <f>IFERROR(__xludf.DUMMYFUNCTION("""COMPUTED_VALUE"""),"SULU")</f>
        <v>SULU</v>
      </c>
      <c r="K49" s="119" t="str">
        <f>IFERROR(__xludf.DUMMYFUNCTION("""COMPUTED_VALUE"""),"Miracle")</f>
        <v>Miracle</v>
      </c>
      <c r="L49" s="119" t="str">
        <f>IFERROR(__xludf.DUMMYFUNCTION("""COMPUTED_VALUE"""),"GIFT TO KOL")</f>
        <v>GIFT TO KOL</v>
      </c>
      <c r="M49" s="119" t="str">
        <f>IFERROR(__xludf.DUMMYFUNCTION("""COMPUTED_VALUE"""),"AVAILABLE")</f>
        <v>AVAILABLE</v>
      </c>
      <c r="N49" s="158" t="str">
        <f>IFERROR(__xludf.DUMMYFUNCTION("""COMPUTED_VALUE"""),"-")</f>
        <v>-</v>
      </c>
      <c r="O49" s="119"/>
      <c r="P49" s="119"/>
    </row>
    <row r="50">
      <c r="B50" s="163">
        <f>IFERROR(__xludf.DUMMYFUNCTION("""COMPUTED_VALUE"""),46076.0)</f>
        <v>46076</v>
      </c>
      <c r="C50" s="119"/>
      <c r="D50" s="119" t="str">
        <f>IFERROR(__xludf.DUMMYFUNCTION("""COMPUTED_VALUE"""),"HANDPHONE")</f>
        <v>HANDPHONE</v>
      </c>
      <c r="E50" s="159">
        <f>IFERROR(__xludf.DUMMYFUNCTION("""COMPUTED_VALUE"""),3.54694440010231E14)</f>
        <v>354694440010231</v>
      </c>
      <c r="F50" s="160" t="str">
        <f>IFERROR(__xludf.DUMMYFUNCTION("""COMPUTED_VALUE"""),"G-S26-PLUS 512GB WHITE")</f>
        <v>G-S26-PLUS 512GB WHITE</v>
      </c>
      <c r="G50" s="119" t="str">
        <f>IFERROR(__xludf.DUMMYFUNCTION("""COMPUTED_VALUE"""),"UNRETURN")</f>
        <v>UNRETURN</v>
      </c>
      <c r="H50" s="164"/>
      <c r="I50" s="119"/>
      <c r="J50" s="119" t="str">
        <f>IFERROR(__xludf.DUMMYFUNCTION("""COMPUTED_VALUE"""),"SULU")</f>
        <v>SULU</v>
      </c>
      <c r="K50" s="119" t="str">
        <f>IFERROR(__xludf.DUMMYFUNCTION("""COMPUTED_VALUE"""),"Miracle")</f>
        <v>Miracle</v>
      </c>
      <c r="L50" s="119" t="str">
        <f>IFERROR(__xludf.DUMMYFUNCTION("""COMPUTED_VALUE"""),"GIFT TO KOL")</f>
        <v>GIFT TO KOL</v>
      </c>
      <c r="M50" s="119" t="str">
        <f>IFERROR(__xludf.DUMMYFUNCTION("""COMPUTED_VALUE"""),"AVAILABLE")</f>
        <v>AVAILABLE</v>
      </c>
      <c r="N50" s="158" t="str">
        <f>IFERROR(__xludf.DUMMYFUNCTION("""COMPUTED_VALUE"""),"-")</f>
        <v>-</v>
      </c>
      <c r="O50" s="119"/>
      <c r="P50" s="119"/>
    </row>
    <row r="51">
      <c r="B51" s="163">
        <f>IFERROR(__xludf.DUMMYFUNCTION("""COMPUTED_VALUE"""),46076.0)</f>
        <v>46076</v>
      </c>
      <c r="C51" s="119"/>
      <c r="D51" s="119" t="str">
        <f>IFERROR(__xludf.DUMMYFUNCTION("""COMPUTED_VALUE"""),"HANDPHONE")</f>
        <v>HANDPHONE</v>
      </c>
      <c r="E51" s="159">
        <f>IFERROR(__xludf.DUMMYFUNCTION("""COMPUTED_VALUE"""),3.53829360027572E14)</f>
        <v>353829360027572</v>
      </c>
      <c r="F51" s="160" t="str">
        <f>IFERROR(__xludf.DUMMYFUNCTION("""COMPUTED_VALUE"""),"G-S26-PLUS 256GB BLACK")</f>
        <v>G-S26-PLUS 256GB BLACK</v>
      </c>
      <c r="G51" s="119" t="str">
        <f>IFERROR(__xludf.DUMMYFUNCTION("""COMPUTED_VALUE"""),"UNRETURN")</f>
        <v>UNRETURN</v>
      </c>
      <c r="H51" s="164"/>
      <c r="I51" s="119"/>
      <c r="J51" s="119" t="str">
        <f>IFERROR(__xludf.DUMMYFUNCTION("""COMPUTED_VALUE"""),"SULU")</f>
        <v>SULU</v>
      </c>
      <c r="K51" s="119" t="str">
        <f>IFERROR(__xludf.DUMMYFUNCTION("""COMPUTED_VALUE"""),"Miracle")</f>
        <v>Miracle</v>
      </c>
      <c r="L51" s="119" t="str">
        <f>IFERROR(__xludf.DUMMYFUNCTION("""COMPUTED_VALUE"""),"GIFT TO KOL")</f>
        <v>GIFT TO KOL</v>
      </c>
      <c r="M51" s="119" t="str">
        <f>IFERROR(__xludf.DUMMYFUNCTION("""COMPUTED_VALUE"""),"AVAILABLE")</f>
        <v>AVAILABLE</v>
      </c>
      <c r="N51" s="158" t="str">
        <f>IFERROR(__xludf.DUMMYFUNCTION("""COMPUTED_VALUE"""),"-")</f>
        <v>-</v>
      </c>
      <c r="O51" s="119"/>
      <c r="P51" s="119"/>
    </row>
    <row r="52">
      <c r="B52" s="163">
        <f>IFERROR(__xludf.DUMMYFUNCTION("""COMPUTED_VALUE"""),46076.0)</f>
        <v>46076</v>
      </c>
      <c r="C52" s="119"/>
      <c r="D52" s="119" t="str">
        <f>IFERROR(__xludf.DUMMYFUNCTION("""COMPUTED_VALUE"""),"HANDPHONE")</f>
        <v>HANDPHONE</v>
      </c>
      <c r="E52" s="159">
        <f>IFERROR(__xludf.DUMMYFUNCTION("""COMPUTED_VALUE"""),3.54694440022608E14)</f>
        <v>354694440022608</v>
      </c>
      <c r="F52" s="160" t="str">
        <f>IFERROR(__xludf.DUMMYFUNCTION("""COMPUTED_VALUE"""),"G-S26-PLUS 512GB SKY BLUE")</f>
        <v>G-S26-PLUS 512GB SKY BLUE</v>
      </c>
      <c r="G52" s="119" t="str">
        <f>IFERROR(__xludf.DUMMYFUNCTION("""COMPUTED_VALUE"""),"UNRETURN")</f>
        <v>UNRETURN</v>
      </c>
      <c r="H52" s="164"/>
      <c r="I52" s="119"/>
      <c r="J52" s="119" t="str">
        <f>IFERROR(__xludf.DUMMYFUNCTION("""COMPUTED_VALUE"""),"SULU")</f>
        <v>SULU</v>
      </c>
      <c r="K52" s="119" t="str">
        <f>IFERROR(__xludf.DUMMYFUNCTION("""COMPUTED_VALUE"""),"Miracle")</f>
        <v>Miracle</v>
      </c>
      <c r="L52" s="119" t="str">
        <f>IFERROR(__xludf.DUMMYFUNCTION("""COMPUTED_VALUE"""),"GIFT TO KOL")</f>
        <v>GIFT TO KOL</v>
      </c>
      <c r="M52" s="119" t="str">
        <f>IFERROR(__xludf.DUMMYFUNCTION("""COMPUTED_VALUE"""),"AVAILABLE")</f>
        <v>AVAILABLE</v>
      </c>
      <c r="N52" s="158" t="str">
        <f>IFERROR(__xludf.DUMMYFUNCTION("""COMPUTED_VALUE"""),"-")</f>
        <v>-</v>
      </c>
      <c r="O52" s="119"/>
      <c r="P52" s="119"/>
    </row>
    <row r="53">
      <c r="B53" s="163">
        <f>IFERROR(__xludf.DUMMYFUNCTION("""COMPUTED_VALUE"""),46076.0)</f>
        <v>46076</v>
      </c>
      <c r="C53" s="119"/>
      <c r="D53" s="119" t="str">
        <f>IFERROR(__xludf.DUMMYFUNCTION("""COMPUTED_VALUE"""),"HANDPHONE")</f>
        <v>HANDPHONE</v>
      </c>
      <c r="E53" s="159">
        <f>IFERROR(__xludf.DUMMYFUNCTION("""COMPUTED_VALUE"""),3.51690530025538E14)</f>
        <v>351690530025538</v>
      </c>
      <c r="F53" s="160" t="str">
        <f>IFERROR(__xludf.DUMMYFUNCTION("""COMPUTED_VALUE"""),"G-S26 256GB SILVER")</f>
        <v>G-S26 256GB SILVER</v>
      </c>
      <c r="G53" s="119" t="str">
        <f>IFERROR(__xludf.DUMMYFUNCTION("""COMPUTED_VALUE"""),"UNRETURN")</f>
        <v>UNRETURN</v>
      </c>
      <c r="H53" s="164"/>
      <c r="I53" s="119"/>
      <c r="J53" s="119" t="str">
        <f>IFERROR(__xludf.DUMMYFUNCTION("""COMPUTED_VALUE"""),"SULU")</f>
        <v>SULU</v>
      </c>
      <c r="K53" s="119" t="str">
        <f>IFERROR(__xludf.DUMMYFUNCTION("""COMPUTED_VALUE"""),"Miracle")</f>
        <v>Miracle</v>
      </c>
      <c r="L53" s="119" t="str">
        <f>IFERROR(__xludf.DUMMYFUNCTION("""COMPUTED_VALUE"""),"GIFT TO KOL")</f>
        <v>GIFT TO KOL</v>
      </c>
      <c r="M53" s="119" t="str">
        <f>IFERROR(__xludf.DUMMYFUNCTION("""COMPUTED_VALUE"""),"AVAILABLE")</f>
        <v>AVAILABLE</v>
      </c>
      <c r="N53" s="158" t="str">
        <f>IFERROR(__xludf.DUMMYFUNCTION("""COMPUTED_VALUE"""),"-")</f>
        <v>-</v>
      </c>
      <c r="O53" s="119"/>
      <c r="P53" s="119"/>
    </row>
    <row r="54">
      <c r="B54" s="163">
        <f>IFERROR(__xludf.DUMMYFUNCTION("""COMPUTED_VALUE"""),46076.0)</f>
        <v>46076</v>
      </c>
      <c r="C54" s="119"/>
      <c r="D54" s="119" t="str">
        <f>IFERROR(__xludf.DUMMYFUNCTION("""COMPUTED_VALUE"""),"HANDPHONE")</f>
        <v>HANDPHONE</v>
      </c>
      <c r="E54" s="159">
        <f>IFERROR(__xludf.DUMMYFUNCTION("""COMPUTED_VALUE"""),3.52954990058374E14)</f>
        <v>352954990058374</v>
      </c>
      <c r="F54" s="160" t="str">
        <f>IFERROR(__xludf.DUMMYFUNCTION("""COMPUTED_VALUE"""),"G-S26 512GB COBALT VIOLET")</f>
        <v>G-S26 512GB COBALT VIOLET</v>
      </c>
      <c r="G54" s="119" t="str">
        <f>IFERROR(__xludf.DUMMYFUNCTION("""COMPUTED_VALUE"""),"UNRETURN")</f>
        <v>UNRETURN</v>
      </c>
      <c r="H54" s="164"/>
      <c r="I54" s="119"/>
      <c r="J54" s="119" t="str">
        <f>IFERROR(__xludf.DUMMYFUNCTION("""COMPUTED_VALUE"""),"SULU")</f>
        <v>SULU</v>
      </c>
      <c r="K54" s="119" t="str">
        <f>IFERROR(__xludf.DUMMYFUNCTION("""COMPUTED_VALUE"""),"Miracle")</f>
        <v>Miracle</v>
      </c>
      <c r="L54" s="119" t="str">
        <f>IFERROR(__xludf.DUMMYFUNCTION("""COMPUTED_VALUE"""),"GIFT TO KOL")</f>
        <v>GIFT TO KOL</v>
      </c>
      <c r="M54" s="119" t="str">
        <f>IFERROR(__xludf.DUMMYFUNCTION("""COMPUTED_VALUE"""),"AVAILABLE")</f>
        <v>AVAILABLE</v>
      </c>
      <c r="N54" s="158" t="str">
        <f>IFERROR(__xludf.DUMMYFUNCTION("""COMPUTED_VALUE"""),"-")</f>
        <v>-</v>
      </c>
      <c r="O54" s="119"/>
      <c r="P54" s="119"/>
    </row>
    <row r="55">
      <c r="B55" s="163">
        <f>IFERROR(__xludf.DUMMYFUNCTION("""COMPUTED_VALUE"""),46076.0)</f>
        <v>46076</v>
      </c>
      <c r="C55" s="119"/>
      <c r="D55" s="119" t="str">
        <f>IFERROR(__xludf.DUMMYFUNCTION("""COMPUTED_VALUE"""),"HANDPHONE")</f>
        <v>HANDPHONE</v>
      </c>
      <c r="E55" s="159">
        <f>IFERROR(__xludf.DUMMYFUNCTION("""COMPUTED_VALUE"""),3.52954990079404E14)</f>
        <v>352954990079404</v>
      </c>
      <c r="F55" s="160" t="str">
        <f>IFERROR(__xludf.DUMMYFUNCTION("""COMPUTED_VALUE"""),"G-S26 512GB WHITE")</f>
        <v>G-S26 512GB WHITE</v>
      </c>
      <c r="G55" s="119" t="str">
        <f>IFERROR(__xludf.DUMMYFUNCTION("""COMPUTED_VALUE"""),"UNRETURN")</f>
        <v>UNRETURN</v>
      </c>
      <c r="H55" s="164"/>
      <c r="I55" s="119"/>
      <c r="J55" s="119" t="str">
        <f>IFERROR(__xludf.DUMMYFUNCTION("""COMPUTED_VALUE"""),"SULU")</f>
        <v>SULU</v>
      </c>
      <c r="K55" s="119" t="str">
        <f>IFERROR(__xludf.DUMMYFUNCTION("""COMPUTED_VALUE"""),"Miracle")</f>
        <v>Miracle</v>
      </c>
      <c r="L55" s="119" t="str">
        <f>IFERROR(__xludf.DUMMYFUNCTION("""COMPUTED_VALUE"""),"GIFT TO KOL")</f>
        <v>GIFT TO KOL</v>
      </c>
      <c r="M55" s="119" t="str">
        <f>IFERROR(__xludf.DUMMYFUNCTION("""COMPUTED_VALUE"""),"AVAILABLE")</f>
        <v>AVAILABLE</v>
      </c>
      <c r="N55" s="158" t="str">
        <f>IFERROR(__xludf.DUMMYFUNCTION("""COMPUTED_VALUE"""),"-")</f>
        <v>-</v>
      </c>
      <c r="O55" s="119"/>
      <c r="P55" s="119"/>
    </row>
    <row r="56">
      <c r="B56" s="163">
        <f>IFERROR(__xludf.DUMMYFUNCTION("""COMPUTED_VALUE"""),46076.0)</f>
        <v>46076</v>
      </c>
      <c r="C56" s="119"/>
      <c r="D56" s="119" t="str">
        <f>IFERROR(__xludf.DUMMYFUNCTION("""COMPUTED_VALUE"""),"HANDPHONE")</f>
        <v>HANDPHONE</v>
      </c>
      <c r="E56" s="159">
        <f>IFERROR(__xludf.DUMMYFUNCTION("""COMPUTED_VALUE"""),3.58780495010311E14)</f>
        <v>358780495010311</v>
      </c>
      <c r="F56" s="160" t="str">
        <f>IFERROR(__xludf.DUMMYFUNCTION("""COMPUTED_VALUE"""),"G-S26-ULTRA 256GB COBALT VIOLET")</f>
        <v>G-S26-ULTRA 256GB COBALT VIOLET</v>
      </c>
      <c r="G56" s="119" t="str">
        <f>IFERROR(__xludf.DUMMYFUNCTION("""COMPUTED_VALUE"""),"UNRETURN")</f>
        <v>UNRETURN</v>
      </c>
      <c r="H56" s="164"/>
      <c r="I56" s="119"/>
      <c r="J56" s="119" t="str">
        <f>IFERROR(__xludf.DUMMYFUNCTION("""COMPUTED_VALUE"""),"SULU")</f>
        <v>SULU</v>
      </c>
      <c r="K56" s="119" t="str">
        <f>IFERROR(__xludf.DUMMYFUNCTION("""COMPUTED_VALUE"""),"Miracle")</f>
        <v>Miracle</v>
      </c>
      <c r="L56" s="119" t="str">
        <f>IFERROR(__xludf.DUMMYFUNCTION("""COMPUTED_VALUE"""),"GIFT TO KOL")</f>
        <v>GIFT TO KOL</v>
      </c>
      <c r="M56" s="119" t="str">
        <f>IFERROR(__xludf.DUMMYFUNCTION("""COMPUTED_VALUE"""),"LOANED / ON KOL")</f>
        <v>LOANED / ON KOL</v>
      </c>
      <c r="N56" s="158" t="str">
        <f>IFERROR(__xludf.DUMMYFUNCTION("""COMPUTED_VALUE"""),"Taufanos")</f>
        <v>Taufanos</v>
      </c>
      <c r="O56" s="119"/>
      <c r="P56" s="119"/>
    </row>
    <row r="57">
      <c r="B57" s="163">
        <f>IFERROR(__xludf.DUMMYFUNCTION("""COMPUTED_VALUE"""),46076.0)</f>
        <v>46076</v>
      </c>
      <c r="C57" s="119"/>
      <c r="D57" s="119" t="str">
        <f>IFERROR(__xludf.DUMMYFUNCTION("""COMPUTED_VALUE"""),"HANDPHONE")</f>
        <v>HANDPHONE</v>
      </c>
      <c r="E57" s="159">
        <f>IFERROR(__xludf.DUMMYFUNCTION("""COMPUTED_VALUE"""),3.58780495012689E14)</f>
        <v>358780495012689</v>
      </c>
      <c r="F57" s="160" t="str">
        <f>IFERROR(__xludf.DUMMYFUNCTION("""COMPUTED_VALUE"""),"G-S26-ULTRA 256GB COBALT VIOLET")</f>
        <v>G-S26-ULTRA 256GB COBALT VIOLET</v>
      </c>
      <c r="G57" s="119" t="str">
        <f>IFERROR(__xludf.DUMMYFUNCTION("""COMPUTED_VALUE"""),"UNRETURN")</f>
        <v>UNRETURN</v>
      </c>
      <c r="H57" s="164"/>
      <c r="I57" s="119"/>
      <c r="J57" s="119" t="str">
        <f>IFERROR(__xludf.DUMMYFUNCTION("""COMPUTED_VALUE"""),"SULU")</f>
        <v>SULU</v>
      </c>
      <c r="K57" s="119" t="str">
        <f>IFERROR(__xludf.DUMMYFUNCTION("""COMPUTED_VALUE"""),"Miracle")</f>
        <v>Miracle</v>
      </c>
      <c r="L57" s="119" t="str">
        <f>IFERROR(__xludf.DUMMYFUNCTION("""COMPUTED_VALUE"""),"GIFT TO KOL")</f>
        <v>GIFT TO KOL</v>
      </c>
      <c r="M57" s="119" t="str">
        <f>IFERROR(__xludf.DUMMYFUNCTION("""COMPUTED_VALUE"""),"LOANED / ON KOL")</f>
        <v>LOANED / ON KOL</v>
      </c>
      <c r="N57" s="158" t="str">
        <f>IFERROR(__xludf.DUMMYFUNCTION("""COMPUTED_VALUE"""),"Syifa Hadju")</f>
        <v>Syifa Hadju</v>
      </c>
      <c r="O57" s="119"/>
      <c r="P57" s="119"/>
    </row>
    <row r="58">
      <c r="B58" s="163">
        <f>IFERROR(__xludf.DUMMYFUNCTION("""COMPUTED_VALUE"""),46076.0)</f>
        <v>46076</v>
      </c>
      <c r="C58" s="119"/>
      <c r="D58" s="119" t="str">
        <f>IFERROR(__xludf.DUMMYFUNCTION("""COMPUTED_VALUE"""),"HANDPHONE")</f>
        <v>HANDPHONE</v>
      </c>
      <c r="E58" s="159">
        <f>IFERROR(__xludf.DUMMYFUNCTION("""COMPUTED_VALUE"""),3.58780495019643E14)</f>
        <v>358780495019643</v>
      </c>
      <c r="F58" s="160" t="str">
        <f>IFERROR(__xludf.DUMMYFUNCTION("""COMPUTED_VALUE"""),"G-S26-ULTRA 256GB COBALT VIOLET")</f>
        <v>G-S26-ULTRA 256GB COBALT VIOLET</v>
      </c>
      <c r="G58" s="119" t="str">
        <f>IFERROR(__xludf.DUMMYFUNCTION("""COMPUTED_VALUE"""),"UNRETURN")</f>
        <v>UNRETURN</v>
      </c>
      <c r="H58" s="164"/>
      <c r="I58" s="119"/>
      <c r="J58" s="119" t="str">
        <f>IFERROR(__xludf.DUMMYFUNCTION("""COMPUTED_VALUE"""),"SULU")</f>
        <v>SULU</v>
      </c>
      <c r="K58" s="119" t="str">
        <f>IFERROR(__xludf.DUMMYFUNCTION("""COMPUTED_VALUE"""),"Miracle")</f>
        <v>Miracle</v>
      </c>
      <c r="L58" s="119" t="str">
        <f>IFERROR(__xludf.DUMMYFUNCTION("""COMPUTED_VALUE"""),"GIFT TO KOL")</f>
        <v>GIFT TO KOL</v>
      </c>
      <c r="M58" s="119" t="str">
        <f>IFERROR(__xludf.DUMMYFUNCTION("""COMPUTED_VALUE"""),"LOANED / ON KOL")</f>
        <v>LOANED / ON KOL</v>
      </c>
      <c r="N58" s="158" t="str">
        <f>IFERROR(__xludf.DUMMYFUNCTION("""COMPUTED_VALUE"""),"Sena Farids")</f>
        <v>Sena Farids</v>
      </c>
      <c r="O58" s="119"/>
      <c r="P58" s="119"/>
    </row>
    <row r="59">
      <c r="B59" s="163">
        <f>IFERROR(__xludf.DUMMYFUNCTION("""COMPUTED_VALUE"""),46076.0)</f>
        <v>46076</v>
      </c>
      <c r="C59" s="119"/>
      <c r="D59" s="119" t="str">
        <f>IFERROR(__xludf.DUMMYFUNCTION("""COMPUTED_VALUE"""),"HANDPHONE")</f>
        <v>HANDPHONE</v>
      </c>
      <c r="E59" s="159">
        <f>IFERROR(__xludf.DUMMYFUNCTION("""COMPUTED_VALUE"""),3.58780495002888E14)</f>
        <v>358780495002888</v>
      </c>
      <c r="F59" s="160" t="str">
        <f>IFERROR(__xludf.DUMMYFUNCTION("""COMPUTED_VALUE"""),"G-S26-ULTRA 256GB WHITE")</f>
        <v>G-S26-ULTRA 256GB WHITE</v>
      </c>
      <c r="G59" s="119" t="str">
        <f>IFERROR(__xludf.DUMMYFUNCTION("""COMPUTED_VALUE"""),"UNRETURN")</f>
        <v>UNRETURN</v>
      </c>
      <c r="H59" s="164"/>
      <c r="I59" s="119"/>
      <c r="J59" s="119" t="str">
        <f>IFERROR(__xludf.DUMMYFUNCTION("""COMPUTED_VALUE"""),"SULU")</f>
        <v>SULU</v>
      </c>
      <c r="K59" s="119" t="str">
        <f>IFERROR(__xludf.DUMMYFUNCTION("""COMPUTED_VALUE"""),"Miracle")</f>
        <v>Miracle</v>
      </c>
      <c r="L59" s="119" t="str">
        <f>IFERROR(__xludf.DUMMYFUNCTION("""COMPUTED_VALUE"""),"GIFT TO KOL")</f>
        <v>GIFT TO KOL</v>
      </c>
      <c r="M59" s="119" t="str">
        <f>IFERROR(__xludf.DUMMYFUNCTION("""COMPUTED_VALUE"""),"LOANED / ON KOL")</f>
        <v>LOANED / ON KOL</v>
      </c>
      <c r="N59" s="158" t="str">
        <f>IFERROR(__xludf.DUMMYFUNCTION("""COMPUTED_VALUE"""),"Amha")</f>
        <v>Amha</v>
      </c>
      <c r="O59" s="119"/>
      <c r="P59" s="119"/>
    </row>
    <row r="60">
      <c r="B60" s="163">
        <f>IFERROR(__xludf.DUMMYFUNCTION("""COMPUTED_VALUE"""),46076.0)</f>
        <v>46076</v>
      </c>
      <c r="C60" s="119"/>
      <c r="D60" s="119" t="str">
        <f>IFERROR(__xludf.DUMMYFUNCTION("""COMPUTED_VALUE"""),"HANDPHONE")</f>
        <v>HANDPHONE</v>
      </c>
      <c r="E60" s="159">
        <f>IFERROR(__xludf.DUMMYFUNCTION("""COMPUTED_VALUE"""),3.58780495002516E14)</f>
        <v>358780495002516</v>
      </c>
      <c r="F60" s="160" t="str">
        <f>IFERROR(__xludf.DUMMYFUNCTION("""COMPUTED_VALUE"""),"G-S26-ULTRA 256GB WHITE")</f>
        <v>G-S26-ULTRA 256GB WHITE</v>
      </c>
      <c r="G60" s="119" t="str">
        <f>IFERROR(__xludf.DUMMYFUNCTION("""COMPUTED_VALUE"""),"UNRETURN")</f>
        <v>UNRETURN</v>
      </c>
      <c r="H60" s="164"/>
      <c r="I60" s="119"/>
      <c r="J60" s="119" t="str">
        <f>IFERROR(__xludf.DUMMYFUNCTION("""COMPUTED_VALUE"""),"SULU")</f>
        <v>SULU</v>
      </c>
      <c r="K60" s="119" t="str">
        <f>IFERROR(__xludf.DUMMYFUNCTION("""COMPUTED_VALUE"""),"Miracle")</f>
        <v>Miracle</v>
      </c>
      <c r="L60" s="119" t="str">
        <f>IFERROR(__xludf.DUMMYFUNCTION("""COMPUTED_VALUE"""),"GIFT TO KOL")</f>
        <v>GIFT TO KOL</v>
      </c>
      <c r="M60" s="119" t="str">
        <f>IFERROR(__xludf.DUMMYFUNCTION("""COMPUTED_VALUE"""),"LOANED / ON KOL")</f>
        <v>LOANED / ON KOL</v>
      </c>
      <c r="N60" s="158" t="str">
        <f>IFERROR(__xludf.DUMMYFUNCTION("""COMPUTED_VALUE"""),"Dian Sastro")</f>
        <v>Dian Sastro</v>
      </c>
      <c r="O60" s="119"/>
      <c r="P60" s="119"/>
    </row>
    <row r="61">
      <c r="B61" s="163">
        <f>IFERROR(__xludf.DUMMYFUNCTION("""COMPUTED_VALUE"""),46076.0)</f>
        <v>46076</v>
      </c>
      <c r="C61" s="119"/>
      <c r="D61" s="119" t="str">
        <f>IFERROR(__xludf.DUMMYFUNCTION("""COMPUTED_VALUE"""),"HANDPHONE")</f>
        <v>HANDPHONE</v>
      </c>
      <c r="E61" s="159">
        <f>IFERROR(__xludf.DUMMYFUNCTION("""COMPUTED_VALUE"""),3.58780495027733E14)</f>
        <v>358780495027733</v>
      </c>
      <c r="F61" s="160" t="str">
        <f>IFERROR(__xludf.DUMMYFUNCTION("""COMPUTED_VALUE"""),"G-S26-ULTRA 256GB SKY BLUE")</f>
        <v>G-S26-ULTRA 256GB SKY BLUE</v>
      </c>
      <c r="G61" s="119" t="str">
        <f>IFERROR(__xludf.DUMMYFUNCTION("""COMPUTED_VALUE"""),"UNRETURN")</f>
        <v>UNRETURN</v>
      </c>
      <c r="H61" s="164"/>
      <c r="I61" s="119"/>
      <c r="J61" s="119" t="str">
        <f>IFERROR(__xludf.DUMMYFUNCTION("""COMPUTED_VALUE"""),"SULU")</f>
        <v>SULU</v>
      </c>
      <c r="K61" s="119" t="str">
        <f>IFERROR(__xludf.DUMMYFUNCTION("""COMPUTED_VALUE"""),"Miracle")</f>
        <v>Miracle</v>
      </c>
      <c r="L61" s="119" t="str">
        <f>IFERROR(__xludf.DUMMYFUNCTION("""COMPUTED_VALUE"""),"GIFT TO KOL")</f>
        <v>GIFT TO KOL</v>
      </c>
      <c r="M61" s="119" t="str">
        <f>IFERROR(__xludf.DUMMYFUNCTION("""COMPUTED_VALUE"""),"LOANED / ON KOL")</f>
        <v>LOANED / ON KOL</v>
      </c>
      <c r="N61" s="158" t="str">
        <f>IFERROR(__xludf.DUMMYFUNCTION("""COMPUTED_VALUE"""),"Jejakiki")</f>
        <v>Jejakiki</v>
      </c>
      <c r="O61" s="119"/>
      <c r="P61" s="119"/>
    </row>
    <row r="62">
      <c r="B62" s="163">
        <f>IFERROR(__xludf.DUMMYFUNCTION("""COMPUTED_VALUE"""),46076.0)</f>
        <v>46076</v>
      </c>
      <c r="C62" s="119"/>
      <c r="D62" s="119" t="str">
        <f>IFERROR(__xludf.DUMMYFUNCTION("""COMPUTED_VALUE"""),"HANDPHONE")</f>
        <v>HANDPHONE</v>
      </c>
      <c r="E62" s="159">
        <f>IFERROR(__xludf.DUMMYFUNCTION("""COMPUTED_VALUE"""),3.58780495027166E14)</f>
        <v>358780495027166</v>
      </c>
      <c r="F62" s="160" t="str">
        <f>IFERROR(__xludf.DUMMYFUNCTION("""COMPUTED_VALUE"""),"G-S26-ULTRA 256GB SKY BLUE")</f>
        <v>G-S26-ULTRA 256GB SKY BLUE</v>
      </c>
      <c r="G62" s="119" t="str">
        <f>IFERROR(__xludf.DUMMYFUNCTION("""COMPUTED_VALUE"""),"UNRETURN")</f>
        <v>UNRETURN</v>
      </c>
      <c r="H62" s="164"/>
      <c r="I62" s="119"/>
      <c r="J62" s="119" t="str">
        <f>IFERROR(__xludf.DUMMYFUNCTION("""COMPUTED_VALUE"""),"SULU")</f>
        <v>SULU</v>
      </c>
      <c r="K62" s="119" t="str">
        <f>IFERROR(__xludf.DUMMYFUNCTION("""COMPUTED_VALUE"""),"Miracle")</f>
        <v>Miracle</v>
      </c>
      <c r="L62" s="119" t="str">
        <f>IFERROR(__xludf.DUMMYFUNCTION("""COMPUTED_VALUE"""),"GIFT TO KOL")</f>
        <v>GIFT TO KOL</v>
      </c>
      <c r="M62" s="119" t="str">
        <f>IFERROR(__xludf.DUMMYFUNCTION("""COMPUTED_VALUE"""),"LOANED / ON KOL")</f>
        <v>LOANED / ON KOL</v>
      </c>
      <c r="N62" s="158" t="str">
        <f>IFERROR(__xludf.DUMMYFUNCTION("""COMPUTED_VALUE"""),"Kevin Pramudya")</f>
        <v>Kevin Pramudya</v>
      </c>
      <c r="O62" s="119"/>
      <c r="P62" s="119"/>
    </row>
    <row r="63">
      <c r="B63" s="163">
        <f>IFERROR(__xludf.DUMMYFUNCTION("""COMPUTED_VALUE"""),46076.0)</f>
        <v>46076</v>
      </c>
      <c r="C63" s="119"/>
      <c r="D63" s="119" t="str">
        <f>IFERROR(__xludf.DUMMYFUNCTION("""COMPUTED_VALUE"""),"HANDPHONE")</f>
        <v>HANDPHONE</v>
      </c>
      <c r="E63" s="159">
        <f>IFERROR(__xludf.DUMMYFUNCTION("""COMPUTED_VALUE"""),3.58780495027596E14)</f>
        <v>358780495027596</v>
      </c>
      <c r="F63" s="160" t="str">
        <f>IFERROR(__xludf.DUMMYFUNCTION("""COMPUTED_VALUE"""),"G-S26-ULTRA 256GB SKY BLUE")</f>
        <v>G-S26-ULTRA 256GB SKY BLUE</v>
      </c>
      <c r="G63" s="119" t="str">
        <f>IFERROR(__xludf.DUMMYFUNCTION("""COMPUTED_VALUE"""),"UNRETURN")</f>
        <v>UNRETURN</v>
      </c>
      <c r="H63" s="164"/>
      <c r="I63" s="119"/>
      <c r="J63" s="119" t="str">
        <f>IFERROR(__xludf.DUMMYFUNCTION("""COMPUTED_VALUE"""),"SULU")</f>
        <v>SULU</v>
      </c>
      <c r="K63" s="119" t="str">
        <f>IFERROR(__xludf.DUMMYFUNCTION("""COMPUTED_VALUE"""),"Miracle")</f>
        <v>Miracle</v>
      </c>
      <c r="L63" s="119" t="str">
        <f>IFERROR(__xludf.DUMMYFUNCTION("""COMPUTED_VALUE"""),"GIFT TO KOL")</f>
        <v>GIFT TO KOL</v>
      </c>
      <c r="M63" s="119" t="str">
        <f>IFERROR(__xludf.DUMMYFUNCTION("""COMPUTED_VALUE"""),"LOANED / ON KOL")</f>
        <v>LOANED / ON KOL</v>
      </c>
      <c r="N63" s="158" t="str">
        <f>IFERROR(__xludf.DUMMYFUNCTION("""COMPUTED_VALUE"""),"Joshua Ariel")</f>
        <v>Joshua Ariel</v>
      </c>
      <c r="O63" s="119"/>
      <c r="P63" s="119"/>
    </row>
    <row r="64">
      <c r="B64" s="163">
        <f>IFERROR(__xludf.DUMMYFUNCTION("""COMPUTED_VALUE"""),46076.0)</f>
        <v>46076</v>
      </c>
      <c r="C64" s="119"/>
      <c r="D64" s="119" t="str">
        <f>IFERROR(__xludf.DUMMYFUNCTION("""COMPUTED_VALUE"""),"HANDPHONE")</f>
        <v>HANDPHONE</v>
      </c>
      <c r="E64" s="159">
        <f>IFERROR(__xludf.DUMMYFUNCTION("""COMPUTED_VALUE"""),3.58780495028719E14)</f>
        <v>358780495028719</v>
      </c>
      <c r="F64" s="160" t="str">
        <f>IFERROR(__xludf.DUMMYFUNCTION("""COMPUTED_VALUE"""),"G-S26-ULTRA 256GB SKY BLUE")</f>
        <v>G-S26-ULTRA 256GB SKY BLUE</v>
      </c>
      <c r="G64" s="119" t="str">
        <f>IFERROR(__xludf.DUMMYFUNCTION("""COMPUTED_VALUE"""),"UNRETURN")</f>
        <v>UNRETURN</v>
      </c>
      <c r="H64" s="164"/>
      <c r="I64" s="119"/>
      <c r="J64" s="119" t="str">
        <f>IFERROR(__xludf.DUMMYFUNCTION("""COMPUTED_VALUE"""),"SULU")</f>
        <v>SULU</v>
      </c>
      <c r="K64" s="119" t="str">
        <f>IFERROR(__xludf.DUMMYFUNCTION("""COMPUTED_VALUE"""),"Miracle")</f>
        <v>Miracle</v>
      </c>
      <c r="L64" s="119" t="str">
        <f>IFERROR(__xludf.DUMMYFUNCTION("""COMPUTED_VALUE"""),"GIFT TO KOL")</f>
        <v>GIFT TO KOL</v>
      </c>
      <c r="M64" s="119" t="str">
        <f>IFERROR(__xludf.DUMMYFUNCTION("""COMPUTED_VALUE"""),"LOANED / ON KOL")</f>
        <v>LOANED / ON KOL</v>
      </c>
      <c r="N64" s="158" t="str">
        <f>IFERROR(__xludf.DUMMYFUNCTION("""COMPUTED_VALUE"""),"Reza Dharmawangsa")</f>
        <v>Reza Dharmawangsa</v>
      </c>
      <c r="O64" s="119"/>
      <c r="P64" s="119"/>
    </row>
    <row r="65">
      <c r="B65" s="163">
        <f>IFERROR(__xludf.DUMMYFUNCTION("""COMPUTED_VALUE"""),46076.0)</f>
        <v>46076</v>
      </c>
      <c r="C65" s="119"/>
      <c r="D65" s="119" t="str">
        <f>IFERROR(__xludf.DUMMYFUNCTION("""COMPUTED_VALUE"""),"HANDPHONE")</f>
        <v>HANDPHONE</v>
      </c>
      <c r="E65" s="159">
        <f>IFERROR(__xludf.DUMMYFUNCTION("""COMPUTED_VALUE"""),3.52425615000141E14)</f>
        <v>352425615000141</v>
      </c>
      <c r="F65" s="160" t="str">
        <f>IFERROR(__xludf.DUMMYFUNCTION("""COMPUTED_VALUE"""),"G-S26-ULTRA 512GB BLACK")</f>
        <v>G-S26-ULTRA 512GB BLACK</v>
      </c>
      <c r="G65" s="119" t="str">
        <f>IFERROR(__xludf.DUMMYFUNCTION("""COMPUTED_VALUE"""),"UNRETURN")</f>
        <v>UNRETURN</v>
      </c>
      <c r="H65" s="164"/>
      <c r="I65" s="119"/>
      <c r="J65" s="119" t="str">
        <f>IFERROR(__xludf.DUMMYFUNCTION("""COMPUTED_VALUE"""),"SULU")</f>
        <v>SULU</v>
      </c>
      <c r="K65" s="119" t="str">
        <f>IFERROR(__xludf.DUMMYFUNCTION("""COMPUTED_VALUE"""),"Miracle")</f>
        <v>Miracle</v>
      </c>
      <c r="L65" s="119" t="str">
        <f>IFERROR(__xludf.DUMMYFUNCTION("""COMPUTED_VALUE"""),"GIFT TO KOL")</f>
        <v>GIFT TO KOL</v>
      </c>
      <c r="M65" s="119" t="str">
        <f>IFERROR(__xludf.DUMMYFUNCTION("""COMPUTED_VALUE"""),"LOANED / ON KOL")</f>
        <v>LOANED / ON KOL</v>
      </c>
      <c r="N65" s="158" t="str">
        <f>IFERROR(__xludf.DUMMYFUNCTION("""COMPUTED_VALUE"""),"Vonzy")</f>
        <v>Vonzy</v>
      </c>
      <c r="O65" s="119"/>
      <c r="P65" s="119"/>
    </row>
    <row r="66">
      <c r="B66" s="163">
        <f>IFERROR(__xludf.DUMMYFUNCTION("""COMPUTED_VALUE"""),46076.0)</f>
        <v>46076</v>
      </c>
      <c r="C66" s="119"/>
      <c r="D66" s="119" t="str">
        <f>IFERROR(__xludf.DUMMYFUNCTION("""COMPUTED_VALUE"""),"HANDPHONE")</f>
        <v>HANDPHONE</v>
      </c>
      <c r="E66" s="159">
        <f>IFERROR(__xludf.DUMMYFUNCTION("""COMPUTED_VALUE"""),3.52425615160531E14)</f>
        <v>352425615160531</v>
      </c>
      <c r="F66" s="160" t="str">
        <f>IFERROR(__xludf.DUMMYFUNCTION("""COMPUTED_VALUE"""),"G-S26-ULTRA 512GB BLACK")</f>
        <v>G-S26-ULTRA 512GB BLACK</v>
      </c>
      <c r="G66" s="119" t="str">
        <f>IFERROR(__xludf.DUMMYFUNCTION("""COMPUTED_VALUE"""),"UNRETURN")</f>
        <v>UNRETURN</v>
      </c>
      <c r="H66" s="164"/>
      <c r="I66" s="119"/>
      <c r="J66" s="119" t="str">
        <f>IFERROR(__xludf.DUMMYFUNCTION("""COMPUTED_VALUE"""),"SULU")</f>
        <v>SULU</v>
      </c>
      <c r="K66" s="119" t="str">
        <f>IFERROR(__xludf.DUMMYFUNCTION("""COMPUTED_VALUE"""),"Miracle")</f>
        <v>Miracle</v>
      </c>
      <c r="L66" s="119" t="str">
        <f>IFERROR(__xludf.DUMMYFUNCTION("""COMPUTED_VALUE"""),"GIFT TO KOL")</f>
        <v>GIFT TO KOL</v>
      </c>
      <c r="M66" s="119" t="str">
        <f>IFERROR(__xludf.DUMMYFUNCTION("""COMPUTED_VALUE"""),"LOANED / ON KOL")</f>
        <v>LOANED / ON KOL</v>
      </c>
      <c r="N66" s="158" t="str">
        <f>IFERROR(__xludf.DUMMYFUNCTION("""COMPUTED_VALUE"""),"Agung")</f>
        <v>Agung</v>
      </c>
      <c r="O66" s="119"/>
      <c r="P66" s="119"/>
    </row>
    <row r="67">
      <c r="B67" s="163">
        <f>IFERROR(__xludf.DUMMYFUNCTION("""COMPUTED_VALUE"""),46076.0)</f>
        <v>46076</v>
      </c>
      <c r="C67" s="119"/>
      <c r="D67" s="119" t="str">
        <f>IFERROR(__xludf.DUMMYFUNCTION("""COMPUTED_VALUE"""),"HANDPHONE")</f>
        <v>HANDPHONE</v>
      </c>
      <c r="E67" s="159">
        <f>IFERROR(__xludf.DUMMYFUNCTION("""COMPUTED_VALUE"""),3.53829360020585E14)</f>
        <v>353829360020585</v>
      </c>
      <c r="F67" s="160" t="str">
        <f>IFERROR(__xludf.DUMMYFUNCTION("""COMPUTED_VALUE"""),"G-S26-PLUS 256GB SKY BLUE")</f>
        <v>G-S26-PLUS 256GB SKY BLUE</v>
      </c>
      <c r="G67" s="119" t="str">
        <f>IFERROR(__xludf.DUMMYFUNCTION("""COMPUTED_VALUE"""),"UNRETURN")</f>
        <v>UNRETURN</v>
      </c>
      <c r="H67" s="164"/>
      <c r="I67" s="119"/>
      <c r="J67" s="119" t="str">
        <f>IFERROR(__xludf.DUMMYFUNCTION("""COMPUTED_VALUE"""),"SULU")</f>
        <v>SULU</v>
      </c>
      <c r="K67" s="119" t="str">
        <f>IFERROR(__xludf.DUMMYFUNCTION("""COMPUTED_VALUE"""),"Miracle")</f>
        <v>Miracle</v>
      </c>
      <c r="L67" s="119" t="str">
        <f>IFERROR(__xludf.DUMMYFUNCTION("""COMPUTED_VALUE"""),"GIFT TO KOL")</f>
        <v>GIFT TO KOL</v>
      </c>
      <c r="M67" s="119" t="str">
        <f>IFERROR(__xludf.DUMMYFUNCTION("""COMPUTED_VALUE"""),"AVAILABLE")</f>
        <v>AVAILABLE</v>
      </c>
      <c r="N67" s="158" t="str">
        <f>IFERROR(__xludf.DUMMYFUNCTION("""COMPUTED_VALUE"""),"-")</f>
        <v>-</v>
      </c>
      <c r="O67" s="119"/>
      <c r="P67" s="119"/>
    </row>
    <row r="68">
      <c r="B68" s="163">
        <f>IFERROR(__xludf.DUMMYFUNCTION("""COMPUTED_VALUE"""),46076.0)</f>
        <v>46076</v>
      </c>
      <c r="C68" s="119"/>
      <c r="D68" s="119" t="str">
        <f>IFERROR(__xludf.DUMMYFUNCTION("""COMPUTED_VALUE"""),"HANDPHONE")</f>
        <v>HANDPHONE</v>
      </c>
      <c r="E68" s="159">
        <f>IFERROR(__xludf.DUMMYFUNCTION("""COMPUTED_VALUE"""),3.53829360015072E14)</f>
        <v>353829360015072</v>
      </c>
      <c r="F68" s="160" t="str">
        <f>IFERROR(__xludf.DUMMYFUNCTION("""COMPUTED_VALUE"""),"G-S26-PLUS 256GB SKY BLUE")</f>
        <v>G-S26-PLUS 256GB SKY BLUE</v>
      </c>
      <c r="G68" s="119" t="str">
        <f>IFERROR(__xludf.DUMMYFUNCTION("""COMPUTED_VALUE"""),"UNRETURN")</f>
        <v>UNRETURN</v>
      </c>
      <c r="H68" s="164"/>
      <c r="I68" s="119"/>
      <c r="J68" s="119" t="str">
        <f>IFERROR(__xludf.DUMMYFUNCTION("""COMPUTED_VALUE"""),"SULU")</f>
        <v>SULU</v>
      </c>
      <c r="K68" s="119" t="str">
        <f>IFERROR(__xludf.DUMMYFUNCTION("""COMPUTED_VALUE"""),"Miracle")</f>
        <v>Miracle</v>
      </c>
      <c r="L68" s="119" t="str">
        <f>IFERROR(__xludf.DUMMYFUNCTION("""COMPUTED_VALUE"""),"GIFT TO KOL")</f>
        <v>GIFT TO KOL</v>
      </c>
      <c r="M68" s="119" t="str">
        <f>IFERROR(__xludf.DUMMYFUNCTION("""COMPUTED_VALUE"""),"AVAILABLE")</f>
        <v>AVAILABLE</v>
      </c>
      <c r="N68" s="158" t="str">
        <f>IFERROR(__xludf.DUMMYFUNCTION("""COMPUTED_VALUE"""),"-")</f>
        <v>-</v>
      </c>
      <c r="O68" s="119"/>
      <c r="P68" s="119"/>
    </row>
    <row r="69">
      <c r="B69" s="163">
        <f>IFERROR(__xludf.DUMMYFUNCTION("""COMPUTED_VALUE"""),46076.0)</f>
        <v>46076</v>
      </c>
      <c r="C69" s="119"/>
      <c r="D69" s="119" t="str">
        <f>IFERROR(__xludf.DUMMYFUNCTION("""COMPUTED_VALUE"""),"BUDS")</f>
        <v>BUDS</v>
      </c>
      <c r="E69" s="159"/>
      <c r="F69" s="160" t="str">
        <f>IFERROR(__xludf.DUMMYFUNCTION("""COMPUTED_VALUE"""),"G-BUDS3-FE BLACK (2025)")</f>
        <v>G-BUDS3-FE BLACK (2025)</v>
      </c>
      <c r="G69" s="119" t="str">
        <f>IFERROR(__xludf.DUMMYFUNCTION("""COMPUTED_VALUE"""),"UNRETURN")</f>
        <v>UNRETURN</v>
      </c>
      <c r="H69" s="164"/>
      <c r="I69" s="119"/>
      <c r="J69" s="119" t="str">
        <f>IFERROR(__xludf.DUMMYFUNCTION("""COMPUTED_VALUE"""),"ABIGAIL")</f>
        <v>ABIGAIL</v>
      </c>
      <c r="K69" s="119"/>
      <c r="L69" s="119" t="str">
        <f>IFERROR(__xludf.DUMMYFUNCTION("""COMPUTED_VALUE"""),"AVAILABLE IN AGENCY")</f>
        <v>AVAILABLE IN AGENCY</v>
      </c>
      <c r="M69" s="119" t="str">
        <f>IFERROR(__xludf.DUMMYFUNCTION("""COMPUTED_VALUE"""),"AVAILABLE")</f>
        <v>AVAILABLE</v>
      </c>
      <c r="N69" s="158" t="str">
        <f>IFERROR(__xludf.DUMMYFUNCTION("""COMPUTED_VALUE"""),"-")</f>
        <v>-</v>
      </c>
      <c r="O69" s="119"/>
      <c r="P69" s="119" t="str">
        <f>IFERROR(__xludf.DUMMYFUNCTION("""COMPUTED_VALUE"""),"Box Only")</f>
        <v>Box Only</v>
      </c>
    </row>
    <row r="70">
      <c r="B70" s="163">
        <f>IFERROR(__xludf.DUMMYFUNCTION("""COMPUTED_VALUE"""),46076.0)</f>
        <v>46076</v>
      </c>
      <c r="C70" s="119"/>
      <c r="D70" s="119" t="str">
        <f>IFERROR(__xludf.DUMMYFUNCTION("""COMPUTED_VALUE"""),"BUDS")</f>
        <v>BUDS</v>
      </c>
      <c r="E70" s="159"/>
      <c r="F70" s="160" t="str">
        <f>IFERROR(__xludf.DUMMYFUNCTION("""COMPUTED_VALUE"""),"G-BUDS3-FE BLACK (2025)")</f>
        <v>G-BUDS3-FE BLACK (2025)</v>
      </c>
      <c r="G70" s="119" t="str">
        <f>IFERROR(__xludf.DUMMYFUNCTION("""COMPUTED_VALUE"""),"UNRETURN")</f>
        <v>UNRETURN</v>
      </c>
      <c r="H70" s="164"/>
      <c r="I70" s="119"/>
      <c r="J70" s="119" t="str">
        <f>IFERROR(__xludf.DUMMYFUNCTION("""COMPUTED_VALUE"""),"ABIGAIL")</f>
        <v>ABIGAIL</v>
      </c>
      <c r="K70" s="119"/>
      <c r="L70" s="119" t="str">
        <f>IFERROR(__xludf.DUMMYFUNCTION("""COMPUTED_VALUE"""),"AVAILABLE IN AGENCY")</f>
        <v>AVAILABLE IN AGENCY</v>
      </c>
      <c r="M70" s="119" t="str">
        <f>IFERROR(__xludf.DUMMYFUNCTION("""COMPUTED_VALUE"""),"AVAILABLE")</f>
        <v>AVAILABLE</v>
      </c>
      <c r="N70" s="158" t="str">
        <f>IFERROR(__xludf.DUMMYFUNCTION("""COMPUTED_VALUE"""),"-")</f>
        <v>-</v>
      </c>
      <c r="O70" s="119"/>
      <c r="P70" s="119"/>
    </row>
    <row r="71">
      <c r="B71" s="163">
        <f>IFERROR(__xludf.DUMMYFUNCTION("""COMPUTED_VALUE"""),46076.0)</f>
        <v>46076</v>
      </c>
      <c r="C71" s="119"/>
      <c r="D71" s="119" t="str">
        <f>IFERROR(__xludf.DUMMYFUNCTION("""COMPUTED_VALUE"""),"BUDS")</f>
        <v>BUDS</v>
      </c>
      <c r="E71" s="159"/>
      <c r="F71" s="160" t="str">
        <f>IFERROR(__xludf.DUMMYFUNCTION("""COMPUTED_VALUE"""),"G-BUDS3-FE BLACK (2025)")</f>
        <v>G-BUDS3-FE BLACK (2025)</v>
      </c>
      <c r="G71" s="119" t="str">
        <f>IFERROR(__xludf.DUMMYFUNCTION("""COMPUTED_VALUE"""),"UNRETURN")</f>
        <v>UNRETURN</v>
      </c>
      <c r="H71" s="164"/>
      <c r="I71" s="119"/>
      <c r="J71" s="119" t="str">
        <f>IFERROR(__xludf.DUMMYFUNCTION("""COMPUTED_VALUE"""),"ABIGAIL")</f>
        <v>ABIGAIL</v>
      </c>
      <c r="K71" s="119"/>
      <c r="L71" s="119" t="str">
        <f>IFERROR(__xludf.DUMMYFUNCTION("""COMPUTED_VALUE"""),"AVAILABLE IN AGENCY")</f>
        <v>AVAILABLE IN AGENCY</v>
      </c>
      <c r="M71" s="119" t="str">
        <f>IFERROR(__xludf.DUMMYFUNCTION("""COMPUTED_VALUE"""),"LOANED / ON KOL")</f>
        <v>LOANED / ON KOL</v>
      </c>
      <c r="N71" s="158" t="str">
        <f>IFERROR(__xludf.DUMMYFUNCTION("""COMPUTED_VALUE"""),"Putu Aditya (Govinda Rumi)")</f>
        <v>Putu Aditya (Govinda Rumi)</v>
      </c>
      <c r="O71" s="119"/>
      <c r="P71" s="119"/>
    </row>
    <row r="72">
      <c r="B72" s="163">
        <f>IFERROR(__xludf.DUMMYFUNCTION("""COMPUTED_VALUE"""),46078.0)</f>
        <v>46078</v>
      </c>
      <c r="C72" s="119"/>
      <c r="D72" s="119" t="str">
        <f>IFERROR(__xludf.DUMMYFUNCTION("""COMPUTED_VALUE"""),"HANDPHONE")</f>
        <v>HANDPHONE</v>
      </c>
      <c r="E72" s="159">
        <f>IFERROR(__xludf.DUMMYFUNCTION("""COMPUTED_VALUE"""),3.58780495026945E14)</f>
        <v>358780495026945</v>
      </c>
      <c r="F72" s="160" t="str">
        <f>IFERROR(__xludf.DUMMYFUNCTION("""COMPUTED_VALUE"""),"G-S26-ULTRA 256GB SKY BLUE")</f>
        <v>G-S26-ULTRA 256GB SKY BLUE</v>
      </c>
      <c r="G72" s="119" t="str">
        <f>IFERROR(__xludf.DUMMYFUNCTION("""COMPUTED_VALUE"""),"UNRETURN")</f>
        <v>UNRETURN</v>
      </c>
      <c r="H72" s="164"/>
      <c r="I72" s="119"/>
      <c r="J72" s="119" t="str">
        <f>IFERROR(__xludf.DUMMYFUNCTION("""COMPUTED_VALUE"""),"SULU")</f>
        <v>SULU</v>
      </c>
      <c r="K72" s="119" t="str">
        <f>IFERROR(__xludf.DUMMYFUNCTION("""COMPUTED_VALUE"""),"Miracle")</f>
        <v>Miracle</v>
      </c>
      <c r="L72" s="119" t="str">
        <f>IFERROR(__xludf.DUMMYFUNCTION("""COMPUTED_VALUE"""),"GIFT TO KOL")</f>
        <v>GIFT TO KOL</v>
      </c>
      <c r="M72" s="119" t="str">
        <f>IFERROR(__xludf.DUMMYFUNCTION("""COMPUTED_VALUE"""),"LOANED / ON KOL")</f>
        <v>LOANED / ON KOL</v>
      </c>
      <c r="N72" s="158" t="str">
        <f>IFERROR(__xludf.DUMMYFUNCTION("""COMPUTED_VALUE"""),"Jerome/Jehian")</f>
        <v>Jerome/Jehian</v>
      </c>
      <c r="O72" s="119"/>
      <c r="P72" s="119"/>
    </row>
    <row r="73">
      <c r="B73" s="163">
        <f>IFERROR(__xludf.DUMMYFUNCTION("""COMPUTED_VALUE"""),46078.0)</f>
        <v>46078</v>
      </c>
      <c r="C73" s="119"/>
      <c r="D73" s="119" t="str">
        <f>IFERROR(__xludf.DUMMYFUNCTION("""COMPUTED_VALUE"""),"HANDPHONE")</f>
        <v>HANDPHONE</v>
      </c>
      <c r="E73" s="159">
        <f>IFERROR(__xludf.DUMMYFUNCTION("""COMPUTED_VALUE"""),3.58780495026978E14)</f>
        <v>358780495026978</v>
      </c>
      <c r="F73" s="160" t="str">
        <f>IFERROR(__xludf.DUMMYFUNCTION("""COMPUTED_VALUE"""),"G-S26-ULTRA 256GB SKY BLUE")</f>
        <v>G-S26-ULTRA 256GB SKY BLUE</v>
      </c>
      <c r="G73" s="119" t="str">
        <f>IFERROR(__xludf.DUMMYFUNCTION("""COMPUTED_VALUE"""),"UNRETURN")</f>
        <v>UNRETURN</v>
      </c>
      <c r="H73" s="164"/>
      <c r="I73" s="119"/>
      <c r="J73" s="119" t="str">
        <f>IFERROR(__xludf.DUMMYFUNCTION("""COMPUTED_VALUE"""),"SULU")</f>
        <v>SULU</v>
      </c>
      <c r="K73" s="119" t="str">
        <f>IFERROR(__xludf.DUMMYFUNCTION("""COMPUTED_VALUE"""),"Miracle")</f>
        <v>Miracle</v>
      </c>
      <c r="L73" s="119" t="str">
        <f>IFERROR(__xludf.DUMMYFUNCTION("""COMPUTED_VALUE"""),"GIFT TO KOL")</f>
        <v>GIFT TO KOL</v>
      </c>
      <c r="M73" s="119" t="str">
        <f>IFERROR(__xludf.DUMMYFUNCTION("""COMPUTED_VALUE"""),"LOANED / ON KOL")</f>
        <v>LOANED / ON KOL</v>
      </c>
      <c r="N73" s="158" t="str">
        <f>IFERROR(__xludf.DUMMYFUNCTION("""COMPUTED_VALUE"""),"Putu Aditya (Govinda Rumi)")</f>
        <v>Putu Aditya (Govinda Rumi)</v>
      </c>
      <c r="O73" s="119"/>
      <c r="P73" s="119"/>
    </row>
    <row r="74">
      <c r="B74" s="163">
        <f>IFERROR(__xludf.DUMMYFUNCTION("""COMPUTED_VALUE"""),46078.0)</f>
        <v>46078</v>
      </c>
      <c r="C74" s="119"/>
      <c r="D74" s="119" t="str">
        <f>IFERROR(__xludf.DUMMYFUNCTION("""COMPUTED_VALUE"""),"HANDPHONE")</f>
        <v>HANDPHONE</v>
      </c>
      <c r="E74" s="159">
        <f>IFERROR(__xludf.DUMMYFUNCTION("""COMPUTED_VALUE"""),3.58780495002268E14)</f>
        <v>358780495002268</v>
      </c>
      <c r="F74" s="160" t="str">
        <f>IFERROR(__xludf.DUMMYFUNCTION("""COMPUTED_VALUE"""),"G-S26-ULTRA 256GB WHITE")</f>
        <v>G-S26-ULTRA 256GB WHITE</v>
      </c>
      <c r="G74" s="119" t="str">
        <f>IFERROR(__xludf.DUMMYFUNCTION("""COMPUTED_VALUE"""),"UNRETURN")</f>
        <v>UNRETURN</v>
      </c>
      <c r="H74" s="164"/>
      <c r="I74" s="119"/>
      <c r="J74" s="119" t="str">
        <f>IFERROR(__xludf.DUMMYFUNCTION("""COMPUTED_VALUE"""),"SULU")</f>
        <v>SULU</v>
      </c>
      <c r="K74" s="119" t="str">
        <f>IFERROR(__xludf.DUMMYFUNCTION("""COMPUTED_VALUE"""),"Miracle")</f>
        <v>Miracle</v>
      </c>
      <c r="L74" s="119" t="str">
        <f>IFERROR(__xludf.DUMMYFUNCTION("""COMPUTED_VALUE"""),"GIFT TO KOL")</f>
        <v>GIFT TO KOL</v>
      </c>
      <c r="M74" s="119" t="str">
        <f>IFERROR(__xludf.DUMMYFUNCTION("""COMPUTED_VALUE"""),"LOANED / ON KOL")</f>
        <v>LOANED / ON KOL</v>
      </c>
      <c r="N74" s="158" t="str">
        <f>IFERROR(__xludf.DUMMYFUNCTION("""COMPUTED_VALUE"""),"Habib Jafar")</f>
        <v>Habib Jafar</v>
      </c>
      <c r="O74" s="119"/>
      <c r="P74" s="119"/>
    </row>
    <row r="75">
      <c r="B75" s="163">
        <f>IFERROR(__xludf.DUMMYFUNCTION("""COMPUTED_VALUE"""),46078.0)</f>
        <v>46078</v>
      </c>
      <c r="C75" s="119"/>
      <c r="D75" s="119" t="str">
        <f>IFERROR(__xludf.DUMMYFUNCTION("""COMPUTED_VALUE"""),"HANDPHONE")</f>
        <v>HANDPHONE</v>
      </c>
      <c r="E75" s="159">
        <f>IFERROR(__xludf.DUMMYFUNCTION("""COMPUTED_VALUE"""),3.58780495001757E14)</f>
        <v>358780495001757</v>
      </c>
      <c r="F75" s="160" t="str">
        <f>IFERROR(__xludf.DUMMYFUNCTION("""COMPUTED_VALUE"""),"G-S26-ULTRA 256GB WHITE")</f>
        <v>G-S26-ULTRA 256GB WHITE</v>
      </c>
      <c r="G75" s="119" t="str">
        <f>IFERROR(__xludf.DUMMYFUNCTION("""COMPUTED_VALUE"""),"UNRETURN")</f>
        <v>UNRETURN</v>
      </c>
      <c r="H75" s="164"/>
      <c r="I75" s="119"/>
      <c r="J75" s="119" t="str">
        <f>IFERROR(__xludf.DUMMYFUNCTION("""COMPUTED_VALUE"""),"SULU")</f>
        <v>SULU</v>
      </c>
      <c r="K75" s="119" t="str">
        <f>IFERROR(__xludf.DUMMYFUNCTION("""COMPUTED_VALUE"""),"Miracle")</f>
        <v>Miracle</v>
      </c>
      <c r="L75" s="119" t="str">
        <f>IFERROR(__xludf.DUMMYFUNCTION("""COMPUTED_VALUE"""),"GIFT TO KOL")</f>
        <v>GIFT TO KOL</v>
      </c>
      <c r="M75" s="119" t="str">
        <f>IFERROR(__xludf.DUMMYFUNCTION("""COMPUTED_VALUE"""),"LOANED / ON KOL")</f>
        <v>LOANED / ON KOL</v>
      </c>
      <c r="N75" s="158" t="str">
        <f>IFERROR(__xludf.DUMMYFUNCTION("""COMPUTED_VALUE"""),"Bram Hansel")</f>
        <v>Bram Hansel</v>
      </c>
      <c r="O75" s="119"/>
      <c r="P75" s="119"/>
    </row>
    <row r="76">
      <c r="B76" s="163">
        <f>IFERROR(__xludf.DUMMYFUNCTION("""COMPUTED_VALUE"""),46078.0)</f>
        <v>46078</v>
      </c>
      <c r="C76" s="119"/>
      <c r="D76" s="119" t="str">
        <f>IFERROR(__xludf.DUMMYFUNCTION("""COMPUTED_VALUE"""),"HANDPHONE")</f>
        <v>HANDPHONE</v>
      </c>
      <c r="E76" s="159">
        <f>IFERROR(__xludf.DUMMYFUNCTION("""COMPUTED_VALUE"""),3.58780495024254E14)</f>
        <v>358780495024254</v>
      </c>
      <c r="F76" s="160" t="str">
        <f>IFERROR(__xludf.DUMMYFUNCTION("""COMPUTED_VALUE"""),"G-S26-ULTRA 256GB COBALT VIOLET")</f>
        <v>G-S26-ULTRA 256GB COBALT VIOLET</v>
      </c>
      <c r="G76" s="119" t="str">
        <f>IFERROR(__xludf.DUMMYFUNCTION("""COMPUTED_VALUE"""),"UNRETURN")</f>
        <v>UNRETURN</v>
      </c>
      <c r="H76" s="164"/>
      <c r="I76" s="119"/>
      <c r="J76" s="119" t="str">
        <f>IFERROR(__xludf.DUMMYFUNCTION("""COMPUTED_VALUE"""),"SULU")</f>
        <v>SULU</v>
      </c>
      <c r="K76" s="119" t="str">
        <f>IFERROR(__xludf.DUMMYFUNCTION("""COMPUTED_VALUE"""),"Miracle")</f>
        <v>Miracle</v>
      </c>
      <c r="L76" s="119" t="str">
        <f>IFERROR(__xludf.DUMMYFUNCTION("""COMPUTED_VALUE"""),"GIFT TO KOL")</f>
        <v>GIFT TO KOL</v>
      </c>
      <c r="M76" s="119" t="str">
        <f>IFERROR(__xludf.DUMMYFUNCTION("""COMPUTED_VALUE"""),"LOANED / ON KOL")</f>
        <v>LOANED / ON KOL</v>
      </c>
      <c r="N76" s="158" t="str">
        <f>IFERROR(__xludf.DUMMYFUNCTION("""COMPUTED_VALUE"""),"Reza Febs")</f>
        <v>Reza Febs</v>
      </c>
      <c r="O76" s="119"/>
      <c r="P76" s="119"/>
    </row>
    <row r="77">
      <c r="B77" s="163">
        <f>IFERROR(__xludf.DUMMYFUNCTION("""COMPUTED_VALUE"""),46078.0)</f>
        <v>46078</v>
      </c>
      <c r="C77" s="119"/>
      <c r="D77" s="119" t="str">
        <f>IFERROR(__xludf.DUMMYFUNCTION("""COMPUTED_VALUE"""),"HANDPHONE")</f>
        <v>HANDPHONE</v>
      </c>
      <c r="E77" s="159">
        <f>IFERROR(__xludf.DUMMYFUNCTION("""COMPUTED_VALUE"""),3.5878049501442E14)</f>
        <v>358780495014420</v>
      </c>
      <c r="F77" s="160" t="str">
        <f>IFERROR(__xludf.DUMMYFUNCTION("""COMPUTED_VALUE"""),"G-S26-ULTRA 256GB COBALT VIOLET")</f>
        <v>G-S26-ULTRA 256GB COBALT VIOLET</v>
      </c>
      <c r="G77" s="119" t="str">
        <f>IFERROR(__xludf.DUMMYFUNCTION("""COMPUTED_VALUE"""),"UNRETURN")</f>
        <v>UNRETURN</v>
      </c>
      <c r="H77" s="164"/>
      <c r="I77" s="119"/>
      <c r="J77" s="119" t="str">
        <f>IFERROR(__xludf.DUMMYFUNCTION("""COMPUTED_VALUE"""),"SULU")</f>
        <v>SULU</v>
      </c>
      <c r="K77" s="119" t="str">
        <f>IFERROR(__xludf.DUMMYFUNCTION("""COMPUTED_VALUE"""),"Miracle")</f>
        <v>Miracle</v>
      </c>
      <c r="L77" s="119" t="str">
        <f>IFERROR(__xludf.DUMMYFUNCTION("""COMPUTED_VALUE"""),"GIFT TO KOL")</f>
        <v>GIFT TO KOL</v>
      </c>
      <c r="M77" s="119" t="str">
        <f>IFERROR(__xludf.DUMMYFUNCTION("""COMPUTED_VALUE"""),"LOANED / ON KOL")</f>
        <v>LOANED / ON KOL</v>
      </c>
      <c r="N77" s="158" t="str">
        <f>IFERROR(__xludf.DUMMYFUNCTION("""COMPUTED_VALUE"""),"Tissa")</f>
        <v>Tissa</v>
      </c>
      <c r="O77" s="119"/>
      <c r="P77" s="119"/>
    </row>
    <row r="78">
      <c r="B78" s="163">
        <f>IFERROR(__xludf.DUMMYFUNCTION("""COMPUTED_VALUE"""),46078.0)</f>
        <v>46078</v>
      </c>
      <c r="C78" s="119"/>
      <c r="D78" s="119" t="str">
        <f>IFERROR(__xludf.DUMMYFUNCTION("""COMPUTED_VALUE"""),"HANDPHONE")</f>
        <v>HANDPHONE</v>
      </c>
      <c r="E78" s="159">
        <f>IFERROR(__xludf.DUMMYFUNCTION("""COMPUTED_VALUE"""),3.58780495005428E14)</f>
        <v>358780495005428</v>
      </c>
      <c r="F78" s="160" t="str">
        <f>IFERROR(__xludf.DUMMYFUNCTION("""COMPUTED_VALUE"""),"G-S26-ULTRA 256GB COBALT VIOLET")</f>
        <v>G-S26-ULTRA 256GB COBALT VIOLET</v>
      </c>
      <c r="G78" s="119" t="str">
        <f>IFERROR(__xludf.DUMMYFUNCTION("""COMPUTED_VALUE"""),"UNRETURN")</f>
        <v>UNRETURN</v>
      </c>
      <c r="H78" s="164"/>
      <c r="I78" s="119"/>
      <c r="J78" s="119" t="str">
        <f>IFERROR(__xludf.DUMMYFUNCTION("""COMPUTED_VALUE"""),"SULU")</f>
        <v>SULU</v>
      </c>
      <c r="K78" s="119" t="str">
        <f>IFERROR(__xludf.DUMMYFUNCTION("""COMPUTED_VALUE"""),"Miracle")</f>
        <v>Miracle</v>
      </c>
      <c r="L78" s="119" t="str">
        <f>IFERROR(__xludf.DUMMYFUNCTION("""COMPUTED_VALUE"""),"GIFT TO KOL")</f>
        <v>GIFT TO KOL</v>
      </c>
      <c r="M78" s="119" t="str">
        <f>IFERROR(__xludf.DUMMYFUNCTION("""COMPUTED_VALUE"""),"LOANED / ON KOL")</f>
        <v>LOANED / ON KOL</v>
      </c>
      <c r="N78" s="158" t="str">
        <f>IFERROR(__xludf.DUMMYFUNCTION("""COMPUTED_VALUE"""),"Harry Faugan")</f>
        <v>Harry Faugan</v>
      </c>
      <c r="O78" s="119"/>
      <c r="P78" s="119"/>
    </row>
    <row r="79">
      <c r="B79" s="163">
        <f>IFERROR(__xludf.DUMMYFUNCTION("""COMPUTED_VALUE"""),46078.0)</f>
        <v>46078</v>
      </c>
      <c r="C79" s="119"/>
      <c r="D79" s="119" t="str">
        <f>IFERROR(__xludf.DUMMYFUNCTION("""COMPUTED_VALUE"""),"HANDPHONE")</f>
        <v>HANDPHONE</v>
      </c>
      <c r="E79" s="159"/>
      <c r="F79" s="160" t="str">
        <f>IFERROR(__xludf.DUMMYFUNCTION("""COMPUTED_VALUE"""),"G-S26-ULTRA-CASE CLEAR MAGNET CASE")</f>
        <v>G-S26-ULTRA-CASE CLEAR MAGNET CASE</v>
      </c>
      <c r="G79" s="119" t="str">
        <f>IFERROR(__xludf.DUMMYFUNCTION("""COMPUTED_VALUE"""),"UNRETURN")</f>
        <v>UNRETURN</v>
      </c>
      <c r="H79" s="164"/>
      <c r="I79" s="119"/>
      <c r="J79" s="119" t="str">
        <f>IFERROR(__xludf.DUMMYFUNCTION("""COMPUTED_VALUE"""),"SULU")</f>
        <v>SULU</v>
      </c>
      <c r="K79" s="119" t="str">
        <f>IFERROR(__xludf.DUMMYFUNCTION("""COMPUTED_VALUE"""),"Miracle")</f>
        <v>Miracle</v>
      </c>
      <c r="L79" s="119" t="str">
        <f>IFERROR(__xludf.DUMMYFUNCTION("""COMPUTED_VALUE"""),"GIFT TO KOL")</f>
        <v>GIFT TO KOL</v>
      </c>
      <c r="M79" s="119" t="str">
        <f>IFERROR(__xludf.DUMMYFUNCTION("""COMPUTED_VALUE"""),"AVAILABLE")</f>
        <v>AVAILABLE</v>
      </c>
      <c r="N79" s="158" t="str">
        <f>IFERROR(__xludf.DUMMYFUNCTION("""COMPUTED_VALUE"""),"-")</f>
        <v>-</v>
      </c>
      <c r="O79" s="119"/>
      <c r="P79" s="119"/>
    </row>
    <row r="80">
      <c r="B80" s="163">
        <f>IFERROR(__xludf.DUMMYFUNCTION("""COMPUTED_VALUE"""),46078.0)</f>
        <v>46078</v>
      </c>
      <c r="C80" s="119"/>
      <c r="D80" s="119" t="str">
        <f>IFERROR(__xludf.DUMMYFUNCTION("""COMPUTED_VALUE"""),"HANDPHONE")</f>
        <v>HANDPHONE</v>
      </c>
      <c r="E80" s="159">
        <f>IFERROR(__xludf.DUMMYFUNCTION("""COMPUTED_VALUE"""),3.50009210014939E14)</f>
        <v>350009210014939</v>
      </c>
      <c r="F80" s="160" t="str">
        <f>IFERROR(__xludf.DUMMYFUNCTION("""COMPUTED_VALUE"""),"G-S24-FE 256GB GRAY")</f>
        <v>G-S24-FE 256GB GRAY</v>
      </c>
      <c r="G80" s="119" t="str">
        <f>IFERROR(__xludf.DUMMYFUNCTION("""COMPUTED_VALUE"""),"UNRETURN")</f>
        <v>UNRETURN</v>
      </c>
      <c r="H80" s="164"/>
      <c r="I80" s="119"/>
      <c r="J80" s="119" t="str">
        <f>IFERROR(__xludf.DUMMYFUNCTION("""COMPUTED_VALUE"""),"ABIGAIL")</f>
        <v>ABIGAIL</v>
      </c>
      <c r="K80" s="119"/>
      <c r="L80" s="119" t="str">
        <f>IFERROR(__xludf.DUMMYFUNCTION("""COMPUTED_VALUE"""),"AVAILABLE IN AGENCY")</f>
        <v>AVAILABLE IN AGENCY</v>
      </c>
      <c r="M80" s="119" t="str">
        <f>IFERROR(__xludf.DUMMYFUNCTION("""COMPUTED_VALUE"""),"LOANED / ON KOL")</f>
        <v>LOANED / ON KOL</v>
      </c>
      <c r="N80" s="158" t="str">
        <f>IFERROR(__xludf.DUMMYFUNCTION("""COMPUTED_VALUE"""),"Clara Lianis")</f>
        <v>Clara Lianis</v>
      </c>
      <c r="O80" s="119"/>
      <c r="P80" s="119"/>
    </row>
    <row r="81">
      <c r="B81" s="163">
        <f>IFERROR(__xludf.DUMMYFUNCTION("""COMPUTED_VALUE"""),46080.0)</f>
        <v>46080</v>
      </c>
      <c r="C81" s="119"/>
      <c r="D81" s="119" t="str">
        <f>IFERROR(__xludf.DUMMYFUNCTION("""COMPUTED_VALUE"""),"HANDPHONE")</f>
        <v>HANDPHONE</v>
      </c>
      <c r="E81" s="159">
        <f>IFERROR(__xludf.DUMMYFUNCTION("""COMPUTED_VALUE"""),3.55649780288663E14)</f>
        <v>355649780288663</v>
      </c>
      <c r="F81" s="160" t="str">
        <f>IFERROR(__xludf.DUMMYFUNCTION("""COMPUTED_VALUE"""),"G-A07-5G 128GB LIGHT VIOLET")</f>
        <v>G-A07-5G 128GB LIGHT VIOLET</v>
      </c>
      <c r="G81" s="119" t="str">
        <f>IFERROR(__xludf.DUMMYFUNCTION("""COMPUTED_VALUE"""),"UNRETURN")</f>
        <v>UNRETURN</v>
      </c>
      <c r="H81" s="164"/>
      <c r="I81" s="119"/>
      <c r="J81" s="119" t="str">
        <f>IFERROR(__xludf.DUMMYFUNCTION("""COMPUTED_VALUE"""),"TASHYA")</f>
        <v>TASHYA</v>
      </c>
      <c r="K81" s="119"/>
      <c r="L81" s="119" t="str">
        <f>IFERROR(__xludf.DUMMYFUNCTION("""COMPUTED_VALUE"""),"AVAILABLE IN AGENCY")</f>
        <v>AVAILABLE IN AGENCY</v>
      </c>
      <c r="M81" s="119" t="str">
        <f>IFERROR(__xludf.DUMMYFUNCTION("""COMPUTED_VALUE"""),"LOANED / ON KOL")</f>
        <v>LOANED / ON KOL</v>
      </c>
      <c r="N81" s="158" t="str">
        <f>IFERROR(__xludf.DUMMYFUNCTION("""COMPUTED_VALUE"""),"Shaguffta Kaur")</f>
        <v>Shaguffta Kaur</v>
      </c>
      <c r="O81" s="119"/>
      <c r="P81" s="119"/>
    </row>
    <row r="82">
      <c r="B82" s="163">
        <f>IFERROR(__xludf.DUMMYFUNCTION("""COMPUTED_VALUE"""),46080.0)</f>
        <v>46080</v>
      </c>
      <c r="C82" s="119"/>
      <c r="D82" s="119" t="str">
        <f>IFERROR(__xludf.DUMMYFUNCTION("""COMPUTED_VALUE"""),"HANDPHONE")</f>
        <v>HANDPHONE</v>
      </c>
      <c r="E82" s="159">
        <f>IFERROR(__xludf.DUMMYFUNCTION("""COMPUTED_VALUE"""),3.55649780286204E14)</f>
        <v>355649780286204</v>
      </c>
      <c r="F82" s="160" t="str">
        <f>IFERROR(__xludf.DUMMYFUNCTION("""COMPUTED_VALUE"""),"G-A07-5G 128GB LIGHT VIOLET")</f>
        <v>G-A07-5G 128GB LIGHT VIOLET</v>
      </c>
      <c r="G82" s="119" t="str">
        <f>IFERROR(__xludf.DUMMYFUNCTION("""COMPUTED_VALUE"""),"UNRETURN")</f>
        <v>UNRETURN</v>
      </c>
      <c r="H82" s="164"/>
      <c r="I82" s="119"/>
      <c r="J82" s="119" t="str">
        <f>IFERROR(__xludf.DUMMYFUNCTION("""COMPUTED_VALUE"""),"TASHYA")</f>
        <v>TASHYA</v>
      </c>
      <c r="K82" s="119"/>
      <c r="L82" s="119" t="str">
        <f>IFERROR(__xludf.DUMMYFUNCTION("""COMPUTED_VALUE"""),"AVAILABLE IN AGENCY")</f>
        <v>AVAILABLE IN AGENCY</v>
      </c>
      <c r="M82" s="119" t="str">
        <f>IFERROR(__xludf.DUMMYFUNCTION("""COMPUTED_VALUE"""),"AVAILABLE")</f>
        <v>AVAILABLE</v>
      </c>
      <c r="N82" s="158" t="str">
        <f>IFERROR(__xludf.DUMMYFUNCTION("""COMPUTED_VALUE"""),"-")</f>
        <v>-</v>
      </c>
      <c r="O82" s="119"/>
      <c r="P82" s="119"/>
    </row>
    <row r="83">
      <c r="B83" s="163">
        <f>IFERROR(__xludf.DUMMYFUNCTION("""COMPUTED_VALUE"""),46080.0)</f>
        <v>46080</v>
      </c>
      <c r="C83" s="119"/>
      <c r="D83" s="119" t="str">
        <f>IFERROR(__xludf.DUMMYFUNCTION("""COMPUTED_VALUE"""),"HANDPHONE")</f>
        <v>HANDPHONE</v>
      </c>
      <c r="E83" s="159">
        <f>IFERROR(__xludf.DUMMYFUNCTION("""COMPUTED_VALUE"""),3.55649780289422E14)</f>
        <v>355649780289422</v>
      </c>
      <c r="F83" s="160" t="str">
        <f>IFERROR(__xludf.DUMMYFUNCTION("""COMPUTED_VALUE"""),"G-A07-5G 128GB LIGHT VIOLET")</f>
        <v>G-A07-5G 128GB LIGHT VIOLET</v>
      </c>
      <c r="G83" s="119" t="str">
        <f>IFERROR(__xludf.DUMMYFUNCTION("""COMPUTED_VALUE"""),"UNRETURN")</f>
        <v>UNRETURN</v>
      </c>
      <c r="H83" s="164"/>
      <c r="I83" s="119"/>
      <c r="J83" s="119" t="str">
        <f>IFERROR(__xludf.DUMMYFUNCTION("""COMPUTED_VALUE"""),"TASHYA")</f>
        <v>TASHYA</v>
      </c>
      <c r="K83" s="119"/>
      <c r="L83" s="119" t="str">
        <f>IFERROR(__xludf.DUMMYFUNCTION("""COMPUTED_VALUE"""),"AVAILABLE IN AGENCY")</f>
        <v>AVAILABLE IN AGENCY</v>
      </c>
      <c r="M83" s="119" t="str">
        <f>IFERROR(__xludf.DUMMYFUNCTION("""COMPUTED_VALUE"""),"AVAILABLE")</f>
        <v>AVAILABLE</v>
      </c>
      <c r="N83" s="158" t="str">
        <f>IFERROR(__xludf.DUMMYFUNCTION("""COMPUTED_VALUE"""),"-")</f>
        <v>-</v>
      </c>
      <c r="O83" s="119"/>
      <c r="P83" s="119"/>
    </row>
    <row r="84">
      <c r="B84" s="163">
        <f>IFERROR(__xludf.DUMMYFUNCTION("""COMPUTED_VALUE"""),46080.0)</f>
        <v>46080</v>
      </c>
      <c r="C84" s="119"/>
      <c r="D84" s="119" t="str">
        <f>IFERROR(__xludf.DUMMYFUNCTION("""COMPUTED_VALUE"""),"HANDPHONE")</f>
        <v>HANDPHONE</v>
      </c>
      <c r="E84" s="159">
        <f>IFERROR(__xludf.DUMMYFUNCTION("""COMPUTED_VALUE"""),3.55649780289513E14)</f>
        <v>355649780289513</v>
      </c>
      <c r="F84" s="160" t="str">
        <f>IFERROR(__xludf.DUMMYFUNCTION("""COMPUTED_VALUE"""),"G-A07-5G 128GB LIGHT VIOLET")</f>
        <v>G-A07-5G 128GB LIGHT VIOLET</v>
      </c>
      <c r="G84" s="119" t="str">
        <f>IFERROR(__xludf.DUMMYFUNCTION("""COMPUTED_VALUE"""),"UNRETURN")</f>
        <v>UNRETURN</v>
      </c>
      <c r="H84" s="164"/>
      <c r="I84" s="119"/>
      <c r="J84" s="119" t="str">
        <f>IFERROR(__xludf.DUMMYFUNCTION("""COMPUTED_VALUE"""),"TASHYA")</f>
        <v>TASHYA</v>
      </c>
      <c r="K84" s="119"/>
      <c r="L84" s="119" t="str">
        <f>IFERROR(__xludf.DUMMYFUNCTION("""COMPUTED_VALUE"""),"AVAILABLE IN AGENCY")</f>
        <v>AVAILABLE IN AGENCY</v>
      </c>
      <c r="M84" s="119" t="str">
        <f>IFERROR(__xludf.DUMMYFUNCTION("""COMPUTED_VALUE"""),"LOANED / ON KOL")</f>
        <v>LOANED / ON KOL</v>
      </c>
      <c r="N84" s="158" t="str">
        <f>IFERROR(__xludf.DUMMYFUNCTION("""COMPUTED_VALUE"""),"Ardhisekartaji")</f>
        <v>Ardhisekartaji</v>
      </c>
      <c r="O84" s="119"/>
      <c r="P84" s="119"/>
    </row>
    <row r="85">
      <c r="B85" s="163">
        <f>IFERROR(__xludf.DUMMYFUNCTION("""COMPUTED_VALUE"""),46080.0)</f>
        <v>46080</v>
      </c>
      <c r="C85" s="119"/>
      <c r="D85" s="119" t="str">
        <f>IFERROR(__xludf.DUMMYFUNCTION("""COMPUTED_VALUE"""),"HANDPHONE")</f>
        <v>HANDPHONE</v>
      </c>
      <c r="E85" s="159">
        <f>IFERROR(__xludf.DUMMYFUNCTION("""COMPUTED_VALUE"""),3.55649780289638E14)</f>
        <v>355649780289638</v>
      </c>
      <c r="F85" s="160" t="str">
        <f>IFERROR(__xludf.DUMMYFUNCTION("""COMPUTED_VALUE"""),"G-A07-5G 128GB LIGHT VIOLET")</f>
        <v>G-A07-5G 128GB LIGHT VIOLET</v>
      </c>
      <c r="G85" s="119" t="str">
        <f>IFERROR(__xludf.DUMMYFUNCTION("""COMPUTED_VALUE"""),"UNRETURN")</f>
        <v>UNRETURN</v>
      </c>
      <c r="H85" s="164"/>
      <c r="I85" s="119"/>
      <c r="J85" s="119" t="str">
        <f>IFERROR(__xludf.DUMMYFUNCTION("""COMPUTED_VALUE"""),"TASHYA")</f>
        <v>TASHYA</v>
      </c>
      <c r="K85" s="119"/>
      <c r="L85" s="119" t="str">
        <f>IFERROR(__xludf.DUMMYFUNCTION("""COMPUTED_VALUE"""),"AVAILABLE IN AGENCY")</f>
        <v>AVAILABLE IN AGENCY</v>
      </c>
      <c r="M85" s="119" t="str">
        <f>IFERROR(__xludf.DUMMYFUNCTION("""COMPUTED_VALUE"""),"AVAILABLE")</f>
        <v>AVAILABLE</v>
      </c>
      <c r="N85" s="158" t="str">
        <f>IFERROR(__xludf.DUMMYFUNCTION("""COMPUTED_VALUE"""),"-")</f>
        <v>-</v>
      </c>
      <c r="O85" s="119"/>
      <c r="P85" s="119"/>
    </row>
    <row r="86">
      <c r="B86" s="163">
        <f>IFERROR(__xludf.DUMMYFUNCTION("""COMPUTED_VALUE"""),46080.0)</f>
        <v>46080</v>
      </c>
      <c r="C86" s="119"/>
      <c r="D86" s="119" t="str">
        <f>IFERROR(__xludf.DUMMYFUNCTION("""COMPUTED_VALUE"""),"HANDPHONE")</f>
        <v>HANDPHONE</v>
      </c>
      <c r="E86" s="159">
        <f>IFERROR(__xludf.DUMMYFUNCTION("""COMPUTED_VALUE"""),3.55649780289521E14)</f>
        <v>355649780289521</v>
      </c>
      <c r="F86" s="160" t="str">
        <f>IFERROR(__xludf.DUMMYFUNCTION("""COMPUTED_VALUE"""),"G-A07-5G 128GB LIGHT VIOLET")</f>
        <v>G-A07-5G 128GB LIGHT VIOLET</v>
      </c>
      <c r="G86" s="119" t="str">
        <f>IFERROR(__xludf.DUMMYFUNCTION("""COMPUTED_VALUE"""),"UNRETURN")</f>
        <v>UNRETURN</v>
      </c>
      <c r="H86" s="164"/>
      <c r="I86" s="119"/>
      <c r="J86" s="119" t="str">
        <f>IFERROR(__xludf.DUMMYFUNCTION("""COMPUTED_VALUE"""),"TASHYA")</f>
        <v>TASHYA</v>
      </c>
      <c r="K86" s="119"/>
      <c r="L86" s="119" t="str">
        <f>IFERROR(__xludf.DUMMYFUNCTION("""COMPUTED_VALUE"""),"AVAILABLE IN AGENCY")</f>
        <v>AVAILABLE IN AGENCY</v>
      </c>
      <c r="M86" s="119" t="str">
        <f>IFERROR(__xludf.DUMMYFUNCTION("""COMPUTED_VALUE"""),"AVAILABLE")</f>
        <v>AVAILABLE</v>
      </c>
      <c r="N86" s="158" t="str">
        <f>IFERROR(__xludf.DUMMYFUNCTION("""COMPUTED_VALUE"""),"-")</f>
        <v>-</v>
      </c>
      <c r="O86" s="119"/>
      <c r="P86" s="119"/>
    </row>
    <row r="87">
      <c r="B87" s="163">
        <f>IFERROR(__xludf.DUMMYFUNCTION("""COMPUTED_VALUE"""),46080.0)</f>
        <v>46080</v>
      </c>
      <c r="C87" s="119"/>
      <c r="D87" s="119" t="str">
        <f>IFERROR(__xludf.DUMMYFUNCTION("""COMPUTED_VALUE"""),"HANDPHONE")</f>
        <v>HANDPHONE</v>
      </c>
      <c r="E87" s="159">
        <f>IFERROR(__xludf.DUMMYFUNCTION("""COMPUTED_VALUE"""),3.55649780288341E14)</f>
        <v>355649780288341</v>
      </c>
      <c r="F87" s="160" t="str">
        <f>IFERROR(__xludf.DUMMYFUNCTION("""COMPUTED_VALUE"""),"G-A07-5G 128GB LIGHT VIOLET")</f>
        <v>G-A07-5G 128GB LIGHT VIOLET</v>
      </c>
      <c r="G87" s="119" t="str">
        <f>IFERROR(__xludf.DUMMYFUNCTION("""COMPUTED_VALUE"""),"UNRETURN")</f>
        <v>UNRETURN</v>
      </c>
      <c r="H87" s="164"/>
      <c r="I87" s="119"/>
      <c r="J87" s="119" t="str">
        <f>IFERROR(__xludf.DUMMYFUNCTION("""COMPUTED_VALUE"""),"TASHYA")</f>
        <v>TASHYA</v>
      </c>
      <c r="K87" s="119"/>
      <c r="L87" s="119" t="str">
        <f>IFERROR(__xludf.DUMMYFUNCTION("""COMPUTED_VALUE"""),"AVAILABLE IN AGENCY")</f>
        <v>AVAILABLE IN AGENCY</v>
      </c>
      <c r="M87" s="119" t="str">
        <f>IFERROR(__xludf.DUMMYFUNCTION("""COMPUTED_VALUE"""),"AVAILABLE")</f>
        <v>AVAILABLE</v>
      </c>
      <c r="N87" s="158" t="str">
        <f>IFERROR(__xludf.DUMMYFUNCTION("""COMPUTED_VALUE"""),"-")</f>
        <v>-</v>
      </c>
      <c r="O87" s="119"/>
      <c r="P87" s="119"/>
    </row>
    <row r="88">
      <c r="B88" s="163">
        <f>IFERROR(__xludf.DUMMYFUNCTION("""COMPUTED_VALUE"""),46080.0)</f>
        <v>46080</v>
      </c>
      <c r="C88" s="119"/>
      <c r="D88" s="119" t="str">
        <f>IFERROR(__xludf.DUMMYFUNCTION("""COMPUTED_VALUE"""),"HANDPHONE")</f>
        <v>HANDPHONE</v>
      </c>
      <c r="E88" s="159">
        <f>IFERROR(__xludf.DUMMYFUNCTION("""COMPUTED_VALUE"""),3.55649780289554E14)</f>
        <v>355649780289554</v>
      </c>
      <c r="F88" s="160" t="str">
        <f>IFERROR(__xludf.DUMMYFUNCTION("""COMPUTED_VALUE"""),"G-A07-5G 128GB LIGHT VIOLET")</f>
        <v>G-A07-5G 128GB LIGHT VIOLET</v>
      </c>
      <c r="G88" s="119" t="str">
        <f>IFERROR(__xludf.DUMMYFUNCTION("""COMPUTED_VALUE"""),"UNRETURN")</f>
        <v>UNRETURN</v>
      </c>
      <c r="H88" s="164"/>
      <c r="I88" s="119"/>
      <c r="J88" s="119" t="str">
        <f>IFERROR(__xludf.DUMMYFUNCTION("""COMPUTED_VALUE"""),"TASHYA")</f>
        <v>TASHYA</v>
      </c>
      <c r="K88" s="119"/>
      <c r="L88" s="119" t="str">
        <f>IFERROR(__xludf.DUMMYFUNCTION("""COMPUTED_VALUE"""),"AVAILABLE IN AGENCY")</f>
        <v>AVAILABLE IN AGENCY</v>
      </c>
      <c r="M88" s="119" t="str">
        <f>IFERROR(__xludf.DUMMYFUNCTION("""COMPUTED_VALUE"""),"AVAILABLE")</f>
        <v>AVAILABLE</v>
      </c>
      <c r="N88" s="158" t="str">
        <f>IFERROR(__xludf.DUMMYFUNCTION("""COMPUTED_VALUE"""),"-")</f>
        <v>-</v>
      </c>
      <c r="O88" s="119"/>
      <c r="P88" s="119"/>
    </row>
    <row r="89">
      <c r="B89" s="163">
        <f>IFERROR(__xludf.DUMMYFUNCTION("""COMPUTED_VALUE"""),46080.0)</f>
        <v>46080</v>
      </c>
      <c r="C89" s="119"/>
      <c r="D89" s="119" t="str">
        <f>IFERROR(__xludf.DUMMYFUNCTION("""COMPUTED_VALUE"""),"HANDPHONE")</f>
        <v>HANDPHONE</v>
      </c>
      <c r="E89" s="159">
        <f>IFERROR(__xludf.DUMMYFUNCTION("""COMPUTED_VALUE"""),3.55649780289018E14)</f>
        <v>355649780289018</v>
      </c>
      <c r="F89" s="160" t="str">
        <f>IFERROR(__xludf.DUMMYFUNCTION("""COMPUTED_VALUE"""),"G-A07-5G 128GB LIGHT VIOLET")</f>
        <v>G-A07-5G 128GB LIGHT VIOLET</v>
      </c>
      <c r="G89" s="119" t="str">
        <f>IFERROR(__xludf.DUMMYFUNCTION("""COMPUTED_VALUE"""),"UNRETURN")</f>
        <v>UNRETURN</v>
      </c>
      <c r="H89" s="164"/>
      <c r="I89" s="119"/>
      <c r="J89" s="119" t="str">
        <f>IFERROR(__xludf.DUMMYFUNCTION("""COMPUTED_VALUE"""),"TASHYA")</f>
        <v>TASHYA</v>
      </c>
      <c r="K89" s="119"/>
      <c r="L89" s="119" t="str">
        <f>IFERROR(__xludf.DUMMYFUNCTION("""COMPUTED_VALUE"""),"AVAILABLE IN AGENCY")</f>
        <v>AVAILABLE IN AGENCY</v>
      </c>
      <c r="M89" s="119" t="str">
        <f>IFERROR(__xludf.DUMMYFUNCTION("""COMPUTED_VALUE"""),"LOANED / ON KOL")</f>
        <v>LOANED / ON KOL</v>
      </c>
      <c r="N89" s="158" t="str">
        <f>IFERROR(__xludf.DUMMYFUNCTION("""COMPUTED_VALUE"""),"ADISSA MUTIARA BERNICKA ")</f>
        <v>ADISSA MUTIARA BERNICKA </v>
      </c>
      <c r="O89" s="119"/>
      <c r="P89" s="119"/>
    </row>
    <row r="90">
      <c r="B90" s="163">
        <f>IFERROR(__xludf.DUMMYFUNCTION("""COMPUTED_VALUE"""),46080.0)</f>
        <v>46080</v>
      </c>
      <c r="C90" s="119"/>
      <c r="D90" s="119" t="str">
        <f>IFERROR(__xludf.DUMMYFUNCTION("""COMPUTED_VALUE"""),"HANDPHONE")</f>
        <v>HANDPHONE</v>
      </c>
      <c r="E90" s="159">
        <f>IFERROR(__xludf.DUMMYFUNCTION("""COMPUTED_VALUE"""),3.55649780289364E14)</f>
        <v>355649780289364</v>
      </c>
      <c r="F90" s="160" t="str">
        <f>IFERROR(__xludf.DUMMYFUNCTION("""COMPUTED_VALUE"""),"G-A07-5G 128GB LIGHT VIOLET")</f>
        <v>G-A07-5G 128GB LIGHT VIOLET</v>
      </c>
      <c r="G90" s="119" t="str">
        <f>IFERROR(__xludf.DUMMYFUNCTION("""COMPUTED_VALUE"""),"UNRETURN")</f>
        <v>UNRETURN</v>
      </c>
      <c r="H90" s="164"/>
      <c r="I90" s="119"/>
      <c r="J90" s="119" t="str">
        <f>IFERROR(__xludf.DUMMYFUNCTION("""COMPUTED_VALUE"""),"TASHYA")</f>
        <v>TASHYA</v>
      </c>
      <c r="K90" s="119"/>
      <c r="L90" s="119" t="str">
        <f>IFERROR(__xludf.DUMMYFUNCTION("""COMPUTED_VALUE"""),"AVAILABLE IN AGENCY")</f>
        <v>AVAILABLE IN AGENCY</v>
      </c>
      <c r="M90" s="119" t="str">
        <f>IFERROR(__xludf.DUMMYFUNCTION("""COMPUTED_VALUE"""),"AVAILABLE")</f>
        <v>AVAILABLE</v>
      </c>
      <c r="N90" s="158" t="str">
        <f>IFERROR(__xludf.DUMMYFUNCTION("""COMPUTED_VALUE"""),"-")</f>
        <v>-</v>
      </c>
      <c r="O90" s="119"/>
      <c r="P90" s="119"/>
    </row>
    <row r="91">
      <c r="B91" s="163">
        <f>IFERROR(__xludf.DUMMYFUNCTION("""COMPUTED_VALUE"""),46080.0)</f>
        <v>46080</v>
      </c>
      <c r="C91" s="119"/>
      <c r="D91" s="119" t="str">
        <f>IFERROR(__xludf.DUMMYFUNCTION("""COMPUTED_VALUE"""),"HANDPHONE")</f>
        <v>HANDPHONE</v>
      </c>
      <c r="E91" s="159">
        <f>IFERROR(__xludf.DUMMYFUNCTION("""COMPUTED_VALUE"""),3.52246830113364E14)</f>
        <v>352246830113364</v>
      </c>
      <c r="F91" s="160" t="str">
        <f>IFERROR(__xludf.DUMMYFUNCTION("""COMPUTED_VALUE"""),"G-A07 RAMADHAN PACKAGE")</f>
        <v>G-A07 RAMADHAN PACKAGE</v>
      </c>
      <c r="G91" s="119" t="str">
        <f>IFERROR(__xludf.DUMMYFUNCTION("""COMPUTED_VALUE"""),"UNRETURN")</f>
        <v>UNRETURN</v>
      </c>
      <c r="H91" s="164"/>
      <c r="I91" s="119"/>
      <c r="J91" s="119" t="str">
        <f>IFERROR(__xludf.DUMMYFUNCTION("""COMPUTED_VALUE"""),"MARTIN")</f>
        <v>MARTIN</v>
      </c>
      <c r="K91" s="119"/>
      <c r="L91" s="119" t="str">
        <f>IFERROR(__xludf.DUMMYFUNCTION("""COMPUTED_VALUE"""),"AVAILABLE IN AGENCY")</f>
        <v>AVAILABLE IN AGENCY</v>
      </c>
      <c r="M91" s="119" t="str">
        <f>IFERROR(__xludf.DUMMYFUNCTION("""COMPUTED_VALUE"""),"LOANED / ON KOL")</f>
        <v>LOANED / ON KOL</v>
      </c>
      <c r="N91" s="158" t="str">
        <f>IFERROR(__xludf.DUMMYFUNCTION("""COMPUTED_VALUE"""),"Indah Fadhilah")</f>
        <v>Indah Fadhilah</v>
      </c>
      <c r="O91" s="119"/>
      <c r="P91" s="119"/>
    </row>
    <row r="92">
      <c r="B92" s="163">
        <f>IFERROR(__xludf.DUMMYFUNCTION("""COMPUTED_VALUE"""),46080.0)</f>
        <v>46080</v>
      </c>
      <c r="C92" s="119"/>
      <c r="D92" s="119" t="str">
        <f>IFERROR(__xludf.DUMMYFUNCTION("""COMPUTED_VALUE"""),"HANDPHONE")</f>
        <v>HANDPHONE</v>
      </c>
      <c r="E92" s="159">
        <f>IFERROR(__xludf.DUMMYFUNCTION("""COMPUTED_VALUE"""),3.52246830151406E14)</f>
        <v>352246830151406</v>
      </c>
      <c r="F92" s="160" t="str">
        <f>IFERROR(__xludf.DUMMYFUNCTION("""COMPUTED_VALUE"""),"G-A07 RAMADHAN PACKAGE")</f>
        <v>G-A07 RAMADHAN PACKAGE</v>
      </c>
      <c r="G92" s="119" t="str">
        <f>IFERROR(__xludf.DUMMYFUNCTION("""COMPUTED_VALUE"""),"UNRETURN")</f>
        <v>UNRETURN</v>
      </c>
      <c r="H92" s="164"/>
      <c r="I92" s="119"/>
      <c r="J92" s="119" t="str">
        <f>IFERROR(__xludf.DUMMYFUNCTION("""COMPUTED_VALUE"""),"MARTIN")</f>
        <v>MARTIN</v>
      </c>
      <c r="K92" s="119"/>
      <c r="L92" s="119" t="str">
        <f>IFERROR(__xludf.DUMMYFUNCTION("""COMPUTED_VALUE"""),"AVAILABLE IN AGENCY")</f>
        <v>AVAILABLE IN AGENCY</v>
      </c>
      <c r="M92" s="119" t="str">
        <f>IFERROR(__xludf.DUMMYFUNCTION("""COMPUTED_VALUE"""),"AVAILABLE")</f>
        <v>AVAILABLE</v>
      </c>
      <c r="N92" s="158" t="str">
        <f>IFERROR(__xludf.DUMMYFUNCTION("""COMPUTED_VALUE"""),"-")</f>
        <v>-</v>
      </c>
      <c r="O92" s="119"/>
      <c r="P92" s="119"/>
    </row>
    <row r="93">
      <c r="B93" s="163">
        <f>IFERROR(__xludf.DUMMYFUNCTION("""COMPUTED_VALUE"""),46080.0)</f>
        <v>46080</v>
      </c>
      <c r="C93" s="119"/>
      <c r="D93" s="119" t="str">
        <f>IFERROR(__xludf.DUMMYFUNCTION("""COMPUTED_VALUE"""),"HANDPHONE")</f>
        <v>HANDPHONE</v>
      </c>
      <c r="E93" s="159">
        <f>IFERROR(__xludf.DUMMYFUNCTION("""COMPUTED_VALUE"""),3.55649780289414E14)</f>
        <v>355649780289414</v>
      </c>
      <c r="F93" s="160" t="str">
        <f>IFERROR(__xludf.DUMMYFUNCTION("""COMPUTED_VALUE"""),"G-A07 RAMADHAN PACKAGE")</f>
        <v>G-A07 RAMADHAN PACKAGE</v>
      </c>
      <c r="G93" s="119" t="str">
        <f>IFERROR(__xludf.DUMMYFUNCTION("""COMPUTED_VALUE"""),"UNRETURN")</f>
        <v>UNRETURN</v>
      </c>
      <c r="H93" s="164"/>
      <c r="I93" s="119"/>
      <c r="J93" s="119" t="str">
        <f>IFERROR(__xludf.DUMMYFUNCTION("""COMPUTED_VALUE"""),"TASHYA")</f>
        <v>TASHYA</v>
      </c>
      <c r="K93" s="119"/>
      <c r="L93" s="119" t="str">
        <f>IFERROR(__xludf.DUMMYFUNCTION("""COMPUTED_VALUE"""),"AVAILABLE IN AGENCY")</f>
        <v>AVAILABLE IN AGENCY</v>
      </c>
      <c r="M93" s="119" t="str">
        <f>IFERROR(__xludf.DUMMYFUNCTION("""COMPUTED_VALUE"""),"AVAILABLE")</f>
        <v>AVAILABLE</v>
      </c>
      <c r="N93" s="158" t="str">
        <f>IFERROR(__xludf.DUMMYFUNCTION("""COMPUTED_VALUE"""),"-")</f>
        <v>-</v>
      </c>
      <c r="O93" s="119"/>
      <c r="P93" s="119"/>
    </row>
    <row r="94">
      <c r="B94" s="163">
        <f>IFERROR(__xludf.DUMMYFUNCTION("""COMPUTED_VALUE"""),46080.0)</f>
        <v>46080</v>
      </c>
      <c r="C94" s="119"/>
      <c r="D94" s="119" t="str">
        <f>IFERROR(__xludf.DUMMYFUNCTION("""COMPUTED_VALUE"""),"HANDPHONE")</f>
        <v>HANDPHONE</v>
      </c>
      <c r="E94" s="159">
        <f>IFERROR(__xludf.DUMMYFUNCTION("""COMPUTED_VALUE"""),3.52246830342724E14)</f>
        <v>352246830342724</v>
      </c>
      <c r="F94" s="160" t="str">
        <f>IFERROR(__xludf.DUMMYFUNCTION("""COMPUTED_VALUE"""),"G-A07 RAMADHAN PACKAGE")</f>
        <v>G-A07 RAMADHAN PACKAGE</v>
      </c>
      <c r="G94" s="119" t="str">
        <f>IFERROR(__xludf.DUMMYFUNCTION("""COMPUTED_VALUE"""),"UNRETURN")</f>
        <v>UNRETURN</v>
      </c>
      <c r="H94" s="164"/>
      <c r="I94" s="119"/>
      <c r="J94" s="119" t="str">
        <f>IFERROR(__xludf.DUMMYFUNCTION("""COMPUTED_VALUE"""),"TASHYA")</f>
        <v>TASHYA</v>
      </c>
      <c r="K94" s="119"/>
      <c r="L94" s="119" t="str">
        <f>IFERROR(__xludf.DUMMYFUNCTION("""COMPUTED_VALUE"""),"AVAILABLE IN AGENCY")</f>
        <v>AVAILABLE IN AGENCY</v>
      </c>
      <c r="M94" s="119" t="str">
        <f>IFERROR(__xludf.DUMMYFUNCTION("""COMPUTED_VALUE"""),"AVAILABLE")</f>
        <v>AVAILABLE</v>
      </c>
      <c r="N94" s="158" t="str">
        <f>IFERROR(__xludf.DUMMYFUNCTION("""COMPUTED_VALUE"""),"-")</f>
        <v>-</v>
      </c>
      <c r="O94" s="119"/>
      <c r="P94" s="119"/>
    </row>
    <row r="95">
      <c r="B95" s="163">
        <f>IFERROR(__xludf.DUMMYFUNCTION("""COMPUTED_VALUE"""),46080.0)</f>
        <v>46080</v>
      </c>
      <c r="C95" s="119"/>
      <c r="D95" s="119" t="str">
        <f>IFERROR(__xludf.DUMMYFUNCTION("""COMPUTED_VALUE"""),"HANDPHONE")</f>
        <v>HANDPHONE</v>
      </c>
      <c r="E95" s="159">
        <f>IFERROR(__xludf.DUMMYFUNCTION("""COMPUTED_VALUE"""),3.55500722567625E14)</f>
        <v>355500722567625</v>
      </c>
      <c r="F95" s="160" t="str">
        <f>IFERROR(__xludf.DUMMYFUNCTION("""COMPUTED_VALUE"""),"G-A17 RAMADHAN PACKAGE")</f>
        <v>G-A17 RAMADHAN PACKAGE</v>
      </c>
      <c r="G95" s="119" t="str">
        <f>IFERROR(__xludf.DUMMYFUNCTION("""COMPUTED_VALUE"""),"UNRETURN")</f>
        <v>UNRETURN</v>
      </c>
      <c r="H95" s="164"/>
      <c r="I95" s="119"/>
      <c r="J95" s="119" t="str">
        <f>IFERROR(__xludf.DUMMYFUNCTION("""COMPUTED_VALUE"""),"TASHYA")</f>
        <v>TASHYA</v>
      </c>
      <c r="K95" s="119"/>
      <c r="L95" s="119" t="str">
        <f>IFERROR(__xludf.DUMMYFUNCTION("""COMPUTED_VALUE"""),"AVAILABLE IN AGENCY")</f>
        <v>AVAILABLE IN AGENCY</v>
      </c>
      <c r="M95" s="119" t="str">
        <f>IFERROR(__xludf.DUMMYFUNCTION("""COMPUTED_VALUE"""),"AVAILABLE")</f>
        <v>AVAILABLE</v>
      </c>
      <c r="N95" s="158" t="str">
        <f>IFERROR(__xludf.DUMMYFUNCTION("""COMPUTED_VALUE"""),"-")</f>
        <v>-</v>
      </c>
      <c r="O95" s="119"/>
      <c r="P95" s="119"/>
    </row>
    <row r="96">
      <c r="B96" s="163">
        <f>IFERROR(__xludf.DUMMYFUNCTION("""COMPUTED_VALUE"""),46083.0)</f>
        <v>46083</v>
      </c>
      <c r="C96" s="119"/>
      <c r="D96" s="119" t="str">
        <f>IFERROR(__xludf.DUMMYFUNCTION("""COMPUTED_VALUE"""),"BUDS")</f>
        <v>BUDS</v>
      </c>
      <c r="E96" s="159"/>
      <c r="F96" s="160" t="str">
        <f>IFERROR(__xludf.DUMMYFUNCTION("""COMPUTED_VALUE"""),"G-BUDS4-PRO BLACK (2026)")</f>
        <v>G-BUDS4-PRO BLACK (2026)</v>
      </c>
      <c r="G96" s="119" t="str">
        <f>IFERROR(__xludf.DUMMYFUNCTION("""COMPUTED_VALUE"""),"UNRETURN")</f>
        <v>UNRETURN</v>
      </c>
      <c r="H96" s="164"/>
      <c r="I96" s="119"/>
      <c r="J96" s="119" t="str">
        <f>IFERROR(__xludf.DUMMYFUNCTION("""COMPUTED_VALUE"""),"ABIGAIL")</f>
        <v>ABIGAIL</v>
      </c>
      <c r="K96" s="119"/>
      <c r="L96" s="119" t="str">
        <f>IFERROR(__xludf.DUMMYFUNCTION("""COMPUTED_VALUE"""),"AVAILABLE IN AGENCY")</f>
        <v>AVAILABLE IN AGENCY</v>
      </c>
      <c r="M96" s="119" t="str">
        <f>IFERROR(__xludf.DUMMYFUNCTION("""COMPUTED_VALUE"""),"LOANED / ON KOL")</f>
        <v>LOANED / ON KOL</v>
      </c>
      <c r="N96" s="158" t="str">
        <f>IFERROR(__xludf.DUMMYFUNCTION("""COMPUTED_VALUE"""),"Bernadya")</f>
        <v>Bernadya</v>
      </c>
      <c r="O96" s="119"/>
      <c r="P96" s="119"/>
    </row>
    <row r="97">
      <c r="B97" s="163">
        <f>IFERROR(__xludf.DUMMYFUNCTION("""COMPUTED_VALUE"""),46083.0)</f>
        <v>46083</v>
      </c>
      <c r="C97" s="119"/>
      <c r="D97" s="119" t="str">
        <f>IFERROR(__xludf.DUMMYFUNCTION("""COMPUTED_VALUE"""),"BUDS")</f>
        <v>BUDS</v>
      </c>
      <c r="E97" s="159"/>
      <c r="F97" s="160" t="str">
        <f>IFERROR(__xludf.DUMMYFUNCTION("""COMPUTED_VALUE"""),"G-BUDS4-PRO BLACK (2026)")</f>
        <v>G-BUDS4-PRO BLACK (2026)</v>
      </c>
      <c r="G97" s="119" t="str">
        <f>IFERROR(__xludf.DUMMYFUNCTION("""COMPUTED_VALUE"""),"UNRETURN")</f>
        <v>UNRETURN</v>
      </c>
      <c r="H97" s="164"/>
      <c r="I97" s="119"/>
      <c r="J97" s="119" t="str">
        <f>IFERROR(__xludf.DUMMYFUNCTION("""COMPUTED_VALUE"""),"ABIGAIL")</f>
        <v>ABIGAIL</v>
      </c>
      <c r="K97" s="119"/>
      <c r="L97" s="119" t="str">
        <f>IFERROR(__xludf.DUMMYFUNCTION("""COMPUTED_VALUE"""),"AVAILABLE IN AGENCY")</f>
        <v>AVAILABLE IN AGENCY</v>
      </c>
      <c r="M97" s="119" t="str">
        <f>IFERROR(__xludf.DUMMYFUNCTION("""COMPUTED_VALUE"""),"AVAILABLE")</f>
        <v>AVAILABLE</v>
      </c>
      <c r="N97" s="158" t="str">
        <f>IFERROR(__xludf.DUMMYFUNCTION("""COMPUTED_VALUE"""),"-")</f>
        <v>-</v>
      </c>
      <c r="O97" s="119"/>
      <c r="P97" s="119"/>
    </row>
    <row r="98">
      <c r="B98" s="163">
        <f>IFERROR(__xludf.DUMMYFUNCTION("""COMPUTED_VALUE"""),46083.0)</f>
        <v>46083</v>
      </c>
      <c r="C98" s="119"/>
      <c r="D98" s="119" t="str">
        <f>IFERROR(__xludf.DUMMYFUNCTION("""COMPUTED_VALUE"""),"BUDS")</f>
        <v>BUDS</v>
      </c>
      <c r="E98" s="159"/>
      <c r="F98" s="160" t="str">
        <f>IFERROR(__xludf.DUMMYFUNCTION("""COMPUTED_VALUE"""),"G-BUDS4-PRO BLACK (2026)")</f>
        <v>G-BUDS4-PRO BLACK (2026)</v>
      </c>
      <c r="G98" s="119" t="str">
        <f>IFERROR(__xludf.DUMMYFUNCTION("""COMPUTED_VALUE"""),"UNRETURN")</f>
        <v>UNRETURN</v>
      </c>
      <c r="H98" s="164"/>
      <c r="I98" s="119"/>
      <c r="J98" s="119" t="str">
        <f>IFERROR(__xludf.DUMMYFUNCTION("""COMPUTED_VALUE"""),"ABIGAIL")</f>
        <v>ABIGAIL</v>
      </c>
      <c r="K98" s="119"/>
      <c r="L98" s="119" t="str">
        <f>IFERROR(__xludf.DUMMYFUNCTION("""COMPUTED_VALUE"""),"AVAILABLE IN AGENCY")</f>
        <v>AVAILABLE IN AGENCY</v>
      </c>
      <c r="M98" s="119" t="str">
        <f>IFERROR(__xludf.DUMMYFUNCTION("""COMPUTED_VALUE"""),"AVAILABLE")</f>
        <v>AVAILABLE</v>
      </c>
      <c r="N98" s="158" t="str">
        <f>IFERROR(__xludf.DUMMYFUNCTION("""COMPUTED_VALUE"""),"-")</f>
        <v>-</v>
      </c>
      <c r="O98" s="119"/>
      <c r="P98" s="119"/>
    </row>
    <row r="99">
      <c r="B99" s="163">
        <f>IFERROR(__xludf.DUMMYFUNCTION("""COMPUTED_VALUE"""),46083.0)</f>
        <v>46083</v>
      </c>
      <c r="C99" s="119"/>
      <c r="D99" s="119" t="str">
        <f>IFERROR(__xludf.DUMMYFUNCTION("""COMPUTED_VALUE"""),"BUDS")</f>
        <v>BUDS</v>
      </c>
      <c r="E99" s="159"/>
      <c r="F99" s="160" t="str">
        <f>IFERROR(__xludf.DUMMYFUNCTION("""COMPUTED_VALUE"""),"G-BUDS4-PRO BLACK (2026)")</f>
        <v>G-BUDS4-PRO BLACK (2026)</v>
      </c>
      <c r="G99" s="119" t="str">
        <f>IFERROR(__xludf.DUMMYFUNCTION("""COMPUTED_VALUE"""),"UNRETURN")</f>
        <v>UNRETURN</v>
      </c>
      <c r="H99" s="164"/>
      <c r="I99" s="119"/>
      <c r="J99" s="119" t="str">
        <f>IFERROR(__xludf.DUMMYFUNCTION("""COMPUTED_VALUE"""),"ABIGAIL")</f>
        <v>ABIGAIL</v>
      </c>
      <c r="K99" s="119"/>
      <c r="L99" s="119" t="str">
        <f>IFERROR(__xludf.DUMMYFUNCTION("""COMPUTED_VALUE"""),"AVAILABLE IN AGENCY")</f>
        <v>AVAILABLE IN AGENCY</v>
      </c>
      <c r="M99" s="119" t="str">
        <f>IFERROR(__xludf.DUMMYFUNCTION("""COMPUTED_VALUE"""),"LOANED / ON KOL")</f>
        <v>LOANED / ON KOL</v>
      </c>
      <c r="N99" s="158" t="str">
        <f>IFERROR(__xludf.DUMMYFUNCTION("""COMPUTED_VALUE"""),"Jerome/Jehian")</f>
        <v>Jerome/Jehian</v>
      </c>
      <c r="O99" s="119"/>
      <c r="P99" s="119"/>
    </row>
    <row r="100">
      <c r="B100" s="163">
        <f>IFERROR(__xludf.DUMMYFUNCTION("""COMPUTED_VALUE"""),46083.0)</f>
        <v>46083</v>
      </c>
      <c r="C100" s="119"/>
      <c r="D100" s="119" t="str">
        <f>IFERROR(__xludf.DUMMYFUNCTION("""COMPUTED_VALUE"""),"BUDS")</f>
        <v>BUDS</v>
      </c>
      <c r="E100" s="159"/>
      <c r="F100" s="160" t="str">
        <f>IFERROR(__xludf.DUMMYFUNCTION("""COMPUTED_VALUE"""),"G-BUDS4-PRO BLACK (2026)")</f>
        <v>G-BUDS4-PRO BLACK (2026)</v>
      </c>
      <c r="G100" s="119" t="str">
        <f>IFERROR(__xludf.DUMMYFUNCTION("""COMPUTED_VALUE"""),"UNRETURN")</f>
        <v>UNRETURN</v>
      </c>
      <c r="H100" s="164"/>
      <c r="I100" s="119"/>
      <c r="J100" s="119" t="str">
        <f>IFERROR(__xludf.DUMMYFUNCTION("""COMPUTED_VALUE"""),"ABIGAIL")</f>
        <v>ABIGAIL</v>
      </c>
      <c r="K100" s="119"/>
      <c r="L100" s="119" t="str">
        <f>IFERROR(__xludf.DUMMYFUNCTION("""COMPUTED_VALUE"""),"AVAILABLE IN AGENCY")</f>
        <v>AVAILABLE IN AGENCY</v>
      </c>
      <c r="M100" s="119" t="str">
        <f>IFERROR(__xludf.DUMMYFUNCTION("""COMPUTED_VALUE"""),"AVAILABLE")</f>
        <v>AVAILABLE</v>
      </c>
      <c r="N100" s="158" t="str">
        <f>IFERROR(__xludf.DUMMYFUNCTION("""COMPUTED_VALUE"""),"-")</f>
        <v>-</v>
      </c>
      <c r="O100" s="119"/>
      <c r="P100" s="119"/>
    </row>
    <row r="101">
      <c r="B101" s="163">
        <f>IFERROR(__xludf.DUMMYFUNCTION("""COMPUTED_VALUE"""),46083.0)</f>
        <v>46083</v>
      </c>
      <c r="C101" s="119"/>
      <c r="D101" s="119" t="str">
        <f>IFERROR(__xludf.DUMMYFUNCTION("""COMPUTED_VALUE"""),"BUDS")</f>
        <v>BUDS</v>
      </c>
      <c r="E101" s="159"/>
      <c r="F101" s="160" t="str">
        <f>IFERROR(__xludf.DUMMYFUNCTION("""COMPUTED_VALUE"""),"G-BUDS4-PRO BLACK (2026)")</f>
        <v>G-BUDS4-PRO BLACK (2026)</v>
      </c>
      <c r="G101" s="119" t="str">
        <f>IFERROR(__xludf.DUMMYFUNCTION("""COMPUTED_VALUE"""),"UNRETURN")</f>
        <v>UNRETURN</v>
      </c>
      <c r="H101" s="164"/>
      <c r="I101" s="119"/>
      <c r="J101" s="119" t="str">
        <f>IFERROR(__xludf.DUMMYFUNCTION("""COMPUTED_VALUE"""),"ABIGAIL")</f>
        <v>ABIGAIL</v>
      </c>
      <c r="K101" s="119"/>
      <c r="L101" s="119" t="str">
        <f>IFERROR(__xludf.DUMMYFUNCTION("""COMPUTED_VALUE"""),"AVAILABLE IN AGENCY")</f>
        <v>AVAILABLE IN AGENCY</v>
      </c>
      <c r="M101" s="119" t="str">
        <f>IFERROR(__xludf.DUMMYFUNCTION("""COMPUTED_VALUE"""),"AVAILABLE")</f>
        <v>AVAILABLE</v>
      </c>
      <c r="N101" s="158" t="str">
        <f>IFERROR(__xludf.DUMMYFUNCTION("""COMPUTED_VALUE"""),"-")</f>
        <v>-</v>
      </c>
      <c r="O101" s="119"/>
      <c r="P101" s="119"/>
    </row>
    <row r="102">
      <c r="B102" s="163">
        <f>IFERROR(__xludf.DUMMYFUNCTION("""COMPUTED_VALUE"""),46085.0)</f>
        <v>46085</v>
      </c>
      <c r="C102" s="119"/>
      <c r="D102" s="119" t="str">
        <f>IFERROR(__xludf.DUMMYFUNCTION("""COMPUTED_VALUE"""),"TAB")</f>
        <v>TAB</v>
      </c>
      <c r="E102" s="159">
        <f>IFERROR(__xludf.DUMMYFUNCTION("""COMPUTED_VALUE"""),3.52673730001722E14)</f>
        <v>352673730001722</v>
      </c>
      <c r="F102" s="160" t="str">
        <f>IFERROR(__xludf.DUMMYFUNCTION("""COMPUTED_VALUE"""),"G-TAB-A11-PLUS")</f>
        <v>G-TAB-A11-PLUS</v>
      </c>
      <c r="G102" s="119" t="str">
        <f>IFERROR(__xludf.DUMMYFUNCTION("""COMPUTED_VALUE"""),"UNRETURN")</f>
        <v>UNRETURN</v>
      </c>
      <c r="H102" s="164"/>
      <c r="I102" s="119"/>
      <c r="J102" s="119" t="str">
        <f>IFERROR(__xludf.DUMMYFUNCTION("""COMPUTED_VALUE"""),"ABIGAIL")</f>
        <v>ABIGAIL</v>
      </c>
      <c r="K102" s="119"/>
      <c r="L102" s="119" t="str">
        <f>IFERROR(__xludf.DUMMYFUNCTION("""COMPUTED_VALUE"""),"AVAILABLE IN AGENCY")</f>
        <v>AVAILABLE IN AGENCY</v>
      </c>
      <c r="M102" s="119" t="str">
        <f>IFERROR(__xludf.DUMMYFUNCTION("""COMPUTED_VALUE"""),"LOANED / ON KOL")</f>
        <v>LOANED / ON KOL</v>
      </c>
      <c r="N102" s="158" t="str">
        <f>IFERROR(__xludf.DUMMYFUNCTION("""COMPUTED_VALUE"""),"Zahral Antika")</f>
        <v>Zahral Antika</v>
      </c>
      <c r="O102" s="119"/>
      <c r="P102" s="119"/>
    </row>
    <row r="103">
      <c r="B103" s="163">
        <f>IFERROR(__xludf.DUMMYFUNCTION("""COMPUTED_VALUE"""),46087.0)</f>
        <v>46087</v>
      </c>
      <c r="C103" s="119"/>
      <c r="D103" s="119" t="str">
        <f>IFERROR(__xludf.DUMMYFUNCTION("""COMPUTED_VALUE"""),"BUDS")</f>
        <v>BUDS</v>
      </c>
      <c r="E103" s="159"/>
      <c r="F103" s="160" t="str">
        <f>IFERROR(__xludf.DUMMYFUNCTION("""COMPUTED_VALUE"""),"G-BUDS4-PRO GOLD (2026)")</f>
        <v>G-BUDS4-PRO GOLD (2026)</v>
      </c>
      <c r="G103" s="119" t="str">
        <f>IFERROR(__xludf.DUMMYFUNCTION("""COMPUTED_VALUE"""),"UNRETURN")</f>
        <v>UNRETURN</v>
      </c>
      <c r="H103" s="164"/>
      <c r="I103" s="119"/>
      <c r="J103" s="119" t="str">
        <f>IFERROR(__xludf.DUMMYFUNCTION("""COMPUTED_VALUE"""),"ABIGAIL")</f>
        <v>ABIGAIL</v>
      </c>
      <c r="K103" s="119"/>
      <c r="L103" s="119" t="str">
        <f>IFERROR(__xludf.DUMMYFUNCTION("""COMPUTED_VALUE"""),"AVAILABLE IN AGENCY")</f>
        <v>AVAILABLE IN AGENCY</v>
      </c>
      <c r="M103" s="119" t="str">
        <f>IFERROR(__xludf.DUMMYFUNCTION("""COMPUTED_VALUE"""),"AVAILABLE")</f>
        <v>AVAILABLE</v>
      </c>
      <c r="N103" s="158" t="str">
        <f>IFERROR(__xludf.DUMMYFUNCTION("""COMPUTED_VALUE"""),"-")</f>
        <v>-</v>
      </c>
      <c r="O103" s="119"/>
      <c r="P103" s="119"/>
    </row>
    <row r="104">
      <c r="B104" s="163">
        <f>IFERROR(__xludf.DUMMYFUNCTION("""COMPUTED_VALUE"""),46087.0)</f>
        <v>46087</v>
      </c>
      <c r="C104" s="119"/>
      <c r="D104" s="119" t="str">
        <f>IFERROR(__xludf.DUMMYFUNCTION("""COMPUTED_VALUE"""),"BUDS")</f>
        <v>BUDS</v>
      </c>
      <c r="E104" s="159"/>
      <c r="F104" s="160" t="str">
        <f>IFERROR(__xludf.DUMMYFUNCTION("""COMPUTED_VALUE"""),"G-BUDS4-PRO GOLD (2026)")</f>
        <v>G-BUDS4-PRO GOLD (2026)</v>
      </c>
      <c r="G104" s="119" t="str">
        <f>IFERROR(__xludf.DUMMYFUNCTION("""COMPUTED_VALUE"""),"UNRETURN")</f>
        <v>UNRETURN</v>
      </c>
      <c r="H104" s="164"/>
      <c r="I104" s="119"/>
      <c r="J104" s="119" t="str">
        <f>IFERROR(__xludf.DUMMYFUNCTION("""COMPUTED_VALUE"""),"ABIGAIL")</f>
        <v>ABIGAIL</v>
      </c>
      <c r="K104" s="119"/>
      <c r="L104" s="119" t="str">
        <f>IFERROR(__xludf.DUMMYFUNCTION("""COMPUTED_VALUE"""),"AVAILABLE IN AGENCY")</f>
        <v>AVAILABLE IN AGENCY</v>
      </c>
      <c r="M104" s="119" t="str">
        <f>IFERROR(__xludf.DUMMYFUNCTION("""COMPUTED_VALUE"""),"LOANED / ON KOL")</f>
        <v>LOANED / ON KOL</v>
      </c>
      <c r="N104" s="158" t="str">
        <f>IFERROR(__xludf.DUMMYFUNCTION("""COMPUTED_VALUE"""),"Naykilla")</f>
        <v>Naykilla</v>
      </c>
      <c r="O104" s="119"/>
      <c r="P104" s="119"/>
    </row>
    <row r="105">
      <c r="B105" s="163">
        <f>IFERROR(__xludf.DUMMYFUNCTION("""COMPUTED_VALUE"""),46087.0)</f>
        <v>46087</v>
      </c>
      <c r="C105" s="119"/>
      <c r="D105" s="119" t="str">
        <f>IFERROR(__xludf.DUMMYFUNCTION("""COMPUTED_VALUE"""),"BUDS")</f>
        <v>BUDS</v>
      </c>
      <c r="E105" s="159"/>
      <c r="F105" s="160" t="str">
        <f>IFERROR(__xludf.DUMMYFUNCTION("""COMPUTED_VALUE"""),"G-BUDS4-PRO GOLD (2026)")</f>
        <v>G-BUDS4-PRO GOLD (2026)</v>
      </c>
      <c r="G105" s="119" t="str">
        <f>IFERROR(__xludf.DUMMYFUNCTION("""COMPUTED_VALUE"""),"UNRETURN")</f>
        <v>UNRETURN</v>
      </c>
      <c r="H105" s="164"/>
      <c r="I105" s="119"/>
      <c r="J105" s="119" t="str">
        <f>IFERROR(__xludf.DUMMYFUNCTION("""COMPUTED_VALUE"""),"ABIGAIL")</f>
        <v>ABIGAIL</v>
      </c>
      <c r="K105" s="119"/>
      <c r="L105" s="119" t="str">
        <f>IFERROR(__xludf.DUMMYFUNCTION("""COMPUTED_VALUE"""),"AVAILABLE IN AGENCY")</f>
        <v>AVAILABLE IN AGENCY</v>
      </c>
      <c r="M105" s="119" t="str">
        <f>IFERROR(__xludf.DUMMYFUNCTION("""COMPUTED_VALUE"""),"AVAILABLE")</f>
        <v>AVAILABLE</v>
      </c>
      <c r="N105" s="158" t="str">
        <f>IFERROR(__xludf.DUMMYFUNCTION("""COMPUTED_VALUE"""),"-")</f>
        <v>-</v>
      </c>
      <c r="O105" s="119"/>
      <c r="P105" s="119"/>
    </row>
    <row r="106">
      <c r="B106" s="163">
        <f>IFERROR(__xludf.DUMMYFUNCTION("""COMPUTED_VALUE"""),46087.0)</f>
        <v>46087</v>
      </c>
      <c r="C106" s="119"/>
      <c r="D106" s="119" t="str">
        <f>IFERROR(__xludf.DUMMYFUNCTION("""COMPUTED_VALUE"""),"BUDS")</f>
        <v>BUDS</v>
      </c>
      <c r="E106" s="159"/>
      <c r="F106" s="160" t="str">
        <f>IFERROR(__xludf.DUMMYFUNCTION("""COMPUTED_VALUE"""),"G-BUDS4 WHITE (2026)")</f>
        <v>G-BUDS4 WHITE (2026)</v>
      </c>
      <c r="G106" s="119" t="str">
        <f>IFERROR(__xludf.DUMMYFUNCTION("""COMPUTED_VALUE"""),"UNRETURN")</f>
        <v>UNRETURN</v>
      </c>
      <c r="H106" s="164"/>
      <c r="I106" s="119"/>
      <c r="J106" s="119" t="str">
        <f>IFERROR(__xludf.DUMMYFUNCTION("""COMPUTED_VALUE"""),"ABIGAIL")</f>
        <v>ABIGAIL</v>
      </c>
      <c r="K106" s="119"/>
      <c r="L106" s="119" t="str">
        <f>IFERROR(__xludf.DUMMYFUNCTION("""COMPUTED_VALUE"""),"AVAILABLE IN AGENCY")</f>
        <v>AVAILABLE IN AGENCY</v>
      </c>
      <c r="M106" s="119" t="str">
        <f>IFERROR(__xludf.DUMMYFUNCTION("""COMPUTED_VALUE"""),"AVAILABLE")</f>
        <v>AVAILABLE</v>
      </c>
      <c r="N106" s="158" t="str">
        <f>IFERROR(__xludf.DUMMYFUNCTION("""COMPUTED_VALUE"""),"-")</f>
        <v>-</v>
      </c>
      <c r="O106" s="119"/>
      <c r="P106" s="119"/>
    </row>
    <row r="107">
      <c r="B107" s="163">
        <f>IFERROR(__xludf.DUMMYFUNCTION("""COMPUTED_VALUE"""),46087.0)</f>
        <v>46087</v>
      </c>
      <c r="C107" s="119"/>
      <c r="D107" s="119" t="str">
        <f>IFERROR(__xludf.DUMMYFUNCTION("""COMPUTED_VALUE"""),"BUDS")</f>
        <v>BUDS</v>
      </c>
      <c r="E107" s="159"/>
      <c r="F107" s="160" t="str">
        <f>IFERROR(__xludf.DUMMYFUNCTION("""COMPUTED_VALUE"""),"G-BUDS4 WHITE (2026)")</f>
        <v>G-BUDS4 WHITE (2026)</v>
      </c>
      <c r="G107" s="119" t="str">
        <f>IFERROR(__xludf.DUMMYFUNCTION("""COMPUTED_VALUE"""),"UNRETURN")</f>
        <v>UNRETURN</v>
      </c>
      <c r="H107" s="164"/>
      <c r="I107" s="119"/>
      <c r="J107" s="119" t="str">
        <f>IFERROR(__xludf.DUMMYFUNCTION("""COMPUTED_VALUE"""),"ABIGAIL")</f>
        <v>ABIGAIL</v>
      </c>
      <c r="K107" s="119"/>
      <c r="L107" s="119" t="str">
        <f>IFERROR(__xludf.DUMMYFUNCTION("""COMPUTED_VALUE"""),"AVAILABLE IN AGENCY")</f>
        <v>AVAILABLE IN AGENCY</v>
      </c>
      <c r="M107" s="119" t="str">
        <f>IFERROR(__xludf.DUMMYFUNCTION("""COMPUTED_VALUE"""),"LOANED / ON KOL")</f>
        <v>LOANED / ON KOL</v>
      </c>
      <c r="N107" s="158" t="str">
        <f>IFERROR(__xludf.DUMMYFUNCTION("""COMPUTED_VALUE"""),"Arghie Hanafi")</f>
        <v>Arghie Hanafi</v>
      </c>
      <c r="O107" s="119"/>
      <c r="P107" s="119"/>
    </row>
    <row r="108">
      <c r="B108" s="163">
        <f>IFERROR(__xludf.DUMMYFUNCTION("""COMPUTED_VALUE"""),46087.0)</f>
        <v>46087</v>
      </c>
      <c r="C108" s="119"/>
      <c r="D108" s="119" t="str">
        <f>IFERROR(__xludf.DUMMYFUNCTION("""COMPUTED_VALUE"""),"BUDS")</f>
        <v>BUDS</v>
      </c>
      <c r="E108" s="159"/>
      <c r="F108" s="160" t="str">
        <f>IFERROR(__xludf.DUMMYFUNCTION("""COMPUTED_VALUE"""),"G-BUDS4 BLACK(2026)")</f>
        <v>G-BUDS4 BLACK(2026)</v>
      </c>
      <c r="G108" s="119" t="str">
        <f>IFERROR(__xludf.DUMMYFUNCTION("""COMPUTED_VALUE"""),"UNRETURN")</f>
        <v>UNRETURN</v>
      </c>
      <c r="H108" s="164"/>
      <c r="I108" s="119"/>
      <c r="J108" s="119" t="str">
        <f>IFERROR(__xludf.DUMMYFUNCTION("""COMPUTED_VALUE"""),"ABIGAIL")</f>
        <v>ABIGAIL</v>
      </c>
      <c r="K108" s="119"/>
      <c r="L108" s="119" t="str">
        <f>IFERROR(__xludf.DUMMYFUNCTION("""COMPUTED_VALUE"""),"AVAILABLE IN AGENCY")</f>
        <v>AVAILABLE IN AGENCY</v>
      </c>
      <c r="M108" s="119" t="str">
        <f>IFERROR(__xludf.DUMMYFUNCTION("""COMPUTED_VALUE"""),"AVAILABLE")</f>
        <v>AVAILABLE</v>
      </c>
      <c r="N108" s="158" t="str">
        <f>IFERROR(__xludf.DUMMYFUNCTION("""COMPUTED_VALUE"""),"-")</f>
        <v>-</v>
      </c>
      <c r="O108" s="119"/>
      <c r="P108" s="119"/>
    </row>
    <row r="109">
      <c r="B109" s="163">
        <f>IFERROR(__xludf.DUMMYFUNCTION("""COMPUTED_VALUE"""),46087.0)</f>
        <v>46087</v>
      </c>
      <c r="C109" s="119"/>
      <c r="D109" s="119" t="str">
        <f>IFERROR(__xludf.DUMMYFUNCTION("""COMPUTED_VALUE"""),"BUDS")</f>
        <v>BUDS</v>
      </c>
      <c r="E109" s="159"/>
      <c r="F109" s="160" t="str">
        <f>IFERROR(__xludf.DUMMYFUNCTION("""COMPUTED_VALUE"""),"G-BUDS4 BLACK(2026)")</f>
        <v>G-BUDS4 BLACK(2026)</v>
      </c>
      <c r="G109" s="119" t="str">
        <f>IFERROR(__xludf.DUMMYFUNCTION("""COMPUTED_VALUE"""),"UNRETURN")</f>
        <v>UNRETURN</v>
      </c>
      <c r="H109" s="164"/>
      <c r="I109" s="119"/>
      <c r="J109" s="119" t="str">
        <f>IFERROR(__xludf.DUMMYFUNCTION("""COMPUTED_VALUE"""),"ABIGAIL")</f>
        <v>ABIGAIL</v>
      </c>
      <c r="K109" s="119"/>
      <c r="L109" s="119" t="str">
        <f>IFERROR(__xludf.DUMMYFUNCTION("""COMPUTED_VALUE"""),"AVAILABLE IN AGENCY")</f>
        <v>AVAILABLE IN AGENCY</v>
      </c>
      <c r="M109" s="119" t="str">
        <f>IFERROR(__xludf.DUMMYFUNCTION("""COMPUTED_VALUE"""),"AVAILABLE")</f>
        <v>AVAILABLE</v>
      </c>
      <c r="N109" s="158" t="str">
        <f>IFERROR(__xludf.DUMMYFUNCTION("""COMPUTED_VALUE"""),"-")</f>
        <v>-</v>
      </c>
      <c r="O109" s="119"/>
      <c r="P109" s="119"/>
    </row>
    <row r="110">
      <c r="B110" s="163">
        <f>IFERROR(__xludf.DUMMYFUNCTION("""COMPUTED_VALUE"""),46090.0)</f>
        <v>46090</v>
      </c>
      <c r="C110" s="119"/>
      <c r="D110" s="119" t="str">
        <f>IFERROR(__xludf.DUMMYFUNCTION("""COMPUTED_VALUE"""),"BUDS")</f>
        <v>BUDS</v>
      </c>
      <c r="E110" s="159"/>
      <c r="F110" s="160" t="str">
        <f>IFERROR(__xludf.DUMMYFUNCTION("""COMPUTED_VALUE"""),"G-BUDS4-PRO WHITE (2026)")</f>
        <v>G-BUDS4-PRO WHITE (2026)</v>
      </c>
      <c r="G110" s="119" t="str">
        <f>IFERROR(__xludf.DUMMYFUNCTION("""COMPUTED_VALUE"""),"UNRETURN")</f>
        <v>UNRETURN</v>
      </c>
      <c r="H110" s="164"/>
      <c r="I110" s="119"/>
      <c r="J110" s="119" t="str">
        <f>IFERROR(__xludf.DUMMYFUNCTION("""COMPUTED_VALUE"""),"ABIGAIL")</f>
        <v>ABIGAIL</v>
      </c>
      <c r="K110" s="119"/>
      <c r="L110" s="119" t="str">
        <f>IFERROR(__xludf.DUMMYFUNCTION("""COMPUTED_VALUE"""),"AVAILABLE IN AGENCY")</f>
        <v>AVAILABLE IN AGENCY</v>
      </c>
      <c r="M110" s="119" t="str">
        <f>IFERROR(__xludf.DUMMYFUNCTION("""COMPUTED_VALUE"""),"LOANED / ON KOL")</f>
        <v>LOANED / ON KOL</v>
      </c>
      <c r="N110" s="158" t="str">
        <f>IFERROR(__xludf.DUMMYFUNCTION("""COMPUTED_VALUE"""),"Michael Achel")</f>
        <v>Michael Achel</v>
      </c>
      <c r="O110" s="119"/>
      <c r="P110" s="119"/>
    </row>
    <row r="111">
      <c r="B111" s="163">
        <f>IFERROR(__xludf.DUMMYFUNCTION("""COMPUTED_VALUE"""),46090.0)</f>
        <v>46090</v>
      </c>
      <c r="C111" s="119"/>
      <c r="D111" s="119" t="str">
        <f>IFERROR(__xludf.DUMMYFUNCTION("""COMPUTED_VALUE"""),"BUDS")</f>
        <v>BUDS</v>
      </c>
      <c r="E111" s="159"/>
      <c r="F111" s="160" t="str">
        <f>IFERROR(__xludf.DUMMYFUNCTION("""COMPUTED_VALUE"""),"G-BUDS4-PRO WHITE (2026)")</f>
        <v>G-BUDS4-PRO WHITE (2026)</v>
      </c>
      <c r="G111" s="119" t="str">
        <f>IFERROR(__xludf.DUMMYFUNCTION("""COMPUTED_VALUE"""),"UNRETURN")</f>
        <v>UNRETURN</v>
      </c>
      <c r="H111" s="164"/>
      <c r="I111" s="119"/>
      <c r="J111" s="119" t="str">
        <f>IFERROR(__xludf.DUMMYFUNCTION("""COMPUTED_VALUE"""),"ABIGAIL")</f>
        <v>ABIGAIL</v>
      </c>
      <c r="K111" s="119"/>
      <c r="L111" s="119" t="str">
        <f>IFERROR(__xludf.DUMMYFUNCTION("""COMPUTED_VALUE"""),"AVAILABLE IN AGENCY")</f>
        <v>AVAILABLE IN AGENCY</v>
      </c>
      <c r="M111" s="119" t="str">
        <f>IFERROR(__xludf.DUMMYFUNCTION("""COMPUTED_VALUE"""),"AVAILABLE")</f>
        <v>AVAILABLE</v>
      </c>
      <c r="N111" s="158" t="str">
        <f>IFERROR(__xludf.DUMMYFUNCTION("""COMPUTED_VALUE"""),"-")</f>
        <v>-</v>
      </c>
      <c r="O111" s="119"/>
      <c r="P111" s="119"/>
    </row>
    <row r="112">
      <c r="B112" s="163">
        <f>IFERROR(__xludf.DUMMYFUNCTION("""COMPUTED_VALUE"""),46090.0)</f>
        <v>46090</v>
      </c>
      <c r="C112" s="119"/>
      <c r="D112" s="119" t="str">
        <f>IFERROR(__xludf.DUMMYFUNCTION("""COMPUTED_VALUE"""),"BUDS")</f>
        <v>BUDS</v>
      </c>
      <c r="E112" s="159"/>
      <c r="F112" s="160" t="str">
        <f>IFERROR(__xludf.DUMMYFUNCTION("""COMPUTED_VALUE"""),"G-BUDS4-PRO WHITE (2026)")</f>
        <v>G-BUDS4-PRO WHITE (2026)</v>
      </c>
      <c r="G112" s="119" t="str">
        <f>IFERROR(__xludf.DUMMYFUNCTION("""COMPUTED_VALUE"""),"UNRETURN")</f>
        <v>UNRETURN</v>
      </c>
      <c r="H112" s="164"/>
      <c r="I112" s="119"/>
      <c r="J112" s="119" t="str">
        <f>IFERROR(__xludf.DUMMYFUNCTION("""COMPUTED_VALUE"""),"ABIGAIL")</f>
        <v>ABIGAIL</v>
      </c>
      <c r="K112" s="119"/>
      <c r="L112" s="119" t="str">
        <f>IFERROR(__xludf.DUMMYFUNCTION("""COMPUTED_VALUE"""),"AVAILABLE IN AGENCY")</f>
        <v>AVAILABLE IN AGENCY</v>
      </c>
      <c r="M112" s="119" t="str">
        <f>IFERROR(__xludf.DUMMYFUNCTION("""COMPUTED_VALUE"""),"AVAILABLE")</f>
        <v>AVAILABLE</v>
      </c>
      <c r="N112" s="158" t="str">
        <f>IFERROR(__xludf.DUMMYFUNCTION("""COMPUTED_VALUE"""),"-")</f>
        <v>-</v>
      </c>
      <c r="O112" s="119"/>
      <c r="P112" s="119"/>
    </row>
    <row r="113">
      <c r="B113" s="163">
        <f>IFERROR(__xludf.DUMMYFUNCTION("""COMPUTED_VALUE"""),46090.0)</f>
        <v>46090</v>
      </c>
      <c r="C113" s="119"/>
      <c r="D113" s="119" t="str">
        <f>IFERROR(__xludf.DUMMYFUNCTION("""COMPUTED_VALUE"""),"BUDS")</f>
        <v>BUDS</v>
      </c>
      <c r="E113" s="159"/>
      <c r="F113" s="160" t="str">
        <f>IFERROR(__xludf.DUMMYFUNCTION("""COMPUTED_VALUE"""),"G-BUDS4-PRO WHITE (2026)")</f>
        <v>G-BUDS4-PRO WHITE (2026)</v>
      </c>
      <c r="G113" s="119" t="str">
        <f>IFERROR(__xludf.DUMMYFUNCTION("""COMPUTED_VALUE"""),"UNRETURN")</f>
        <v>UNRETURN</v>
      </c>
      <c r="H113" s="164"/>
      <c r="I113" s="119"/>
      <c r="J113" s="119" t="str">
        <f>IFERROR(__xludf.DUMMYFUNCTION("""COMPUTED_VALUE"""),"ABIGAIL")</f>
        <v>ABIGAIL</v>
      </c>
      <c r="K113" s="119"/>
      <c r="L113" s="119" t="str">
        <f>IFERROR(__xludf.DUMMYFUNCTION("""COMPUTED_VALUE"""),"AVAILABLE IN AGENCY")</f>
        <v>AVAILABLE IN AGENCY</v>
      </c>
      <c r="M113" s="119" t="str">
        <f>IFERROR(__xludf.DUMMYFUNCTION("""COMPUTED_VALUE"""),"AVAILABLE")</f>
        <v>AVAILABLE</v>
      </c>
      <c r="N113" s="158" t="str">
        <f>IFERROR(__xludf.DUMMYFUNCTION("""COMPUTED_VALUE"""),"-")</f>
        <v>-</v>
      </c>
      <c r="O113" s="119"/>
      <c r="P113" s="119"/>
    </row>
    <row r="114">
      <c r="B114" s="163">
        <f>IFERROR(__xludf.DUMMYFUNCTION("""COMPUTED_VALUE"""),46090.0)</f>
        <v>46090</v>
      </c>
      <c r="C114" s="119"/>
      <c r="D114" s="119" t="str">
        <f>IFERROR(__xludf.DUMMYFUNCTION("""COMPUTED_VALUE"""),"BUDS")</f>
        <v>BUDS</v>
      </c>
      <c r="E114" s="159"/>
      <c r="F114" s="160" t="str">
        <f>IFERROR(__xludf.DUMMYFUNCTION("""COMPUTED_VALUE"""),"G-BUDS4-PRO WHITE (2026)")</f>
        <v>G-BUDS4-PRO WHITE (2026)</v>
      </c>
      <c r="G114" s="119" t="str">
        <f>IFERROR(__xludf.DUMMYFUNCTION("""COMPUTED_VALUE"""),"UNRETURN")</f>
        <v>UNRETURN</v>
      </c>
      <c r="H114" s="164"/>
      <c r="I114" s="119"/>
      <c r="J114" s="119" t="str">
        <f>IFERROR(__xludf.DUMMYFUNCTION("""COMPUTED_VALUE"""),"ABIGAIL")</f>
        <v>ABIGAIL</v>
      </c>
      <c r="K114" s="119"/>
      <c r="L114" s="119" t="str">
        <f>IFERROR(__xludf.DUMMYFUNCTION("""COMPUTED_VALUE"""),"AVAILABLE IN AGENCY")</f>
        <v>AVAILABLE IN AGENCY</v>
      </c>
      <c r="M114" s="119" t="str">
        <f>IFERROR(__xludf.DUMMYFUNCTION("""COMPUTED_VALUE"""),"AVAILABLE")</f>
        <v>AVAILABLE</v>
      </c>
      <c r="N114" s="158" t="str">
        <f>IFERROR(__xludf.DUMMYFUNCTION("""COMPUTED_VALUE"""),"-")</f>
        <v>-</v>
      </c>
      <c r="O114" s="119"/>
      <c r="P114" s="119"/>
    </row>
    <row r="115">
      <c r="B115" s="163">
        <f>IFERROR(__xludf.DUMMYFUNCTION("""COMPUTED_VALUE"""),46090.0)</f>
        <v>46090</v>
      </c>
      <c r="C115" s="119"/>
      <c r="D115" s="119" t="str">
        <f>IFERROR(__xludf.DUMMYFUNCTION("""COMPUTED_VALUE"""),"BUDS")</f>
        <v>BUDS</v>
      </c>
      <c r="E115" s="159"/>
      <c r="F115" s="160" t="str">
        <f>IFERROR(__xludf.DUMMYFUNCTION("""COMPUTED_VALUE"""),"G-BUDS4-PRO WHITE (2026)")</f>
        <v>G-BUDS4-PRO WHITE (2026)</v>
      </c>
      <c r="G115" s="119" t="str">
        <f>IFERROR(__xludf.DUMMYFUNCTION("""COMPUTED_VALUE"""),"UNRETURN")</f>
        <v>UNRETURN</v>
      </c>
      <c r="H115" s="164"/>
      <c r="I115" s="119"/>
      <c r="J115" s="119" t="str">
        <f>IFERROR(__xludf.DUMMYFUNCTION("""COMPUTED_VALUE"""),"ABIGAIL")</f>
        <v>ABIGAIL</v>
      </c>
      <c r="K115" s="119"/>
      <c r="L115" s="119" t="str">
        <f>IFERROR(__xludf.DUMMYFUNCTION("""COMPUTED_VALUE"""),"AVAILABLE IN AGENCY")</f>
        <v>AVAILABLE IN AGENCY</v>
      </c>
      <c r="M115" s="119" t="str">
        <f>IFERROR(__xludf.DUMMYFUNCTION("""COMPUTED_VALUE"""),"AVAILABLE")</f>
        <v>AVAILABLE</v>
      </c>
      <c r="N115" s="158" t="str">
        <f>IFERROR(__xludf.DUMMYFUNCTION("""COMPUTED_VALUE"""),"-")</f>
        <v>-</v>
      </c>
      <c r="O115" s="119"/>
      <c r="P115" s="119"/>
    </row>
    <row r="116">
      <c r="B116" s="163">
        <f>IFERROR(__xludf.DUMMYFUNCTION("""COMPUTED_VALUE"""),46092.0)</f>
        <v>46092</v>
      </c>
      <c r="C116" s="119"/>
      <c r="D116" s="119" t="str">
        <f>IFERROR(__xludf.DUMMYFUNCTION("""COMPUTED_VALUE"""),"HANDPHONE")</f>
        <v>HANDPHONE</v>
      </c>
      <c r="E116" s="159">
        <f>IFERROR(__xludf.DUMMYFUNCTION("""COMPUTED_VALUE"""),3.52425615101238E14)</f>
        <v>352425615101238</v>
      </c>
      <c r="F116" s="160" t="str">
        <f>IFERROR(__xludf.DUMMYFUNCTION("""COMPUTED_VALUE"""),"G-S26-ULTRA 512GB SKY BLUE")</f>
        <v>G-S26-ULTRA 512GB SKY BLUE</v>
      </c>
      <c r="G116" s="119" t="str">
        <f>IFERROR(__xludf.DUMMYFUNCTION("""COMPUTED_VALUE"""),"UNRETURN")</f>
        <v>UNRETURN</v>
      </c>
      <c r="H116" s="164"/>
      <c r="I116" s="119"/>
      <c r="J116" s="119" t="str">
        <f>IFERROR(__xludf.DUMMYFUNCTION("""COMPUTED_VALUE"""),"ALIYA")</f>
        <v>ALIYA</v>
      </c>
      <c r="K116" s="119" t="str">
        <f>IFERROR(__xludf.DUMMYFUNCTION("""COMPUTED_VALUE"""),"Miracle")</f>
        <v>Miracle</v>
      </c>
      <c r="L116" s="119" t="str">
        <f>IFERROR(__xludf.DUMMYFUNCTION("""COMPUTED_VALUE"""),"GIFT TO KOL")</f>
        <v>GIFT TO KOL</v>
      </c>
      <c r="M116" s="119" t="str">
        <f>IFERROR(__xludf.DUMMYFUNCTION("""COMPUTED_VALUE"""),"AVAILABLE")</f>
        <v>AVAILABLE</v>
      </c>
      <c r="N116" s="158" t="str">
        <f>IFERROR(__xludf.DUMMYFUNCTION("""COMPUTED_VALUE"""),"-")</f>
        <v>-</v>
      </c>
      <c r="O116" s="119"/>
      <c r="P116" s="119"/>
    </row>
    <row r="117">
      <c r="B117" s="163">
        <f>IFERROR(__xludf.DUMMYFUNCTION("""COMPUTED_VALUE"""),46092.0)</f>
        <v>46092</v>
      </c>
      <c r="C117" s="119"/>
      <c r="D117" s="119" t="str">
        <f>IFERROR(__xludf.DUMMYFUNCTION("""COMPUTED_VALUE"""),"HANDPHONE")</f>
        <v>HANDPHONE</v>
      </c>
      <c r="E117" s="159">
        <f>IFERROR(__xludf.DUMMYFUNCTION("""COMPUTED_VALUE"""),3.52425615004523E14)</f>
        <v>352425615004523</v>
      </c>
      <c r="F117" s="160" t="str">
        <f>IFERROR(__xludf.DUMMYFUNCTION("""COMPUTED_VALUE"""),"G-S26-ULTRA 512GB COBALT VIOLET")</f>
        <v>G-S26-ULTRA 512GB COBALT VIOLET</v>
      </c>
      <c r="G117" s="119" t="str">
        <f>IFERROR(__xludf.DUMMYFUNCTION("""COMPUTED_VALUE"""),"UNRETURN")</f>
        <v>UNRETURN</v>
      </c>
      <c r="H117" s="164"/>
      <c r="I117" s="119"/>
      <c r="J117" s="119" t="str">
        <f>IFERROR(__xludf.DUMMYFUNCTION("""COMPUTED_VALUE"""),"ALIYA")</f>
        <v>ALIYA</v>
      </c>
      <c r="K117" s="119" t="str">
        <f>IFERROR(__xludf.DUMMYFUNCTION("""COMPUTED_VALUE"""),"Miracle")</f>
        <v>Miracle</v>
      </c>
      <c r="L117" s="119" t="str">
        <f>IFERROR(__xludf.DUMMYFUNCTION("""COMPUTED_VALUE"""),"GIFT TO KOL")</f>
        <v>GIFT TO KOL</v>
      </c>
      <c r="M117" s="119" t="str">
        <f>IFERROR(__xludf.DUMMYFUNCTION("""COMPUTED_VALUE"""),"AVAILABLE")</f>
        <v>AVAILABLE</v>
      </c>
      <c r="N117" s="158" t="str">
        <f>IFERROR(__xludf.DUMMYFUNCTION("""COMPUTED_VALUE"""),"-")</f>
        <v>-</v>
      </c>
      <c r="O117" s="119"/>
      <c r="P117" s="119"/>
    </row>
    <row r="118">
      <c r="E118" s="158"/>
      <c r="F118" s="160"/>
      <c r="N118" s="158"/>
    </row>
    <row r="119">
      <c r="E119" s="158"/>
      <c r="F119" s="160"/>
      <c r="N119" s="158"/>
    </row>
    <row r="120">
      <c r="E120" s="158"/>
      <c r="F120" s="160"/>
      <c r="N120" s="158"/>
    </row>
    <row r="121">
      <c r="E121" s="158"/>
      <c r="F121" s="160"/>
      <c r="N121" s="158"/>
    </row>
    <row r="122">
      <c r="E122" s="158"/>
      <c r="F122" s="160"/>
      <c r="N122" s="158"/>
    </row>
    <row r="123">
      <c r="E123" s="158"/>
      <c r="F123" s="160"/>
      <c r="N123" s="158"/>
    </row>
    <row r="124">
      <c r="E124" s="158"/>
      <c r="F124" s="160"/>
      <c r="N124" s="158"/>
    </row>
    <row r="125">
      <c r="E125" s="158"/>
      <c r="F125" s="160"/>
      <c r="N125" s="158"/>
    </row>
    <row r="126">
      <c r="E126" s="158"/>
      <c r="F126" s="160"/>
      <c r="N126" s="158"/>
    </row>
    <row r="127">
      <c r="E127" s="158"/>
      <c r="F127" s="160"/>
      <c r="N127" s="158"/>
    </row>
    <row r="128">
      <c r="E128" s="158"/>
      <c r="F128" s="160"/>
      <c r="N128" s="158"/>
    </row>
    <row r="129">
      <c r="E129" s="158"/>
      <c r="F129" s="160"/>
      <c r="N129" s="158"/>
    </row>
    <row r="130">
      <c r="E130" s="158"/>
      <c r="F130" s="160"/>
      <c r="N130" s="158"/>
    </row>
    <row r="131">
      <c r="E131" s="158"/>
      <c r="F131" s="160"/>
      <c r="N131" s="158"/>
    </row>
    <row r="132">
      <c r="E132" s="158"/>
      <c r="F132" s="160"/>
      <c r="N132" s="158"/>
    </row>
    <row r="133">
      <c r="E133" s="158"/>
      <c r="F133" s="160"/>
      <c r="N133" s="158"/>
    </row>
    <row r="134">
      <c r="E134" s="158"/>
      <c r="F134" s="160"/>
      <c r="N134" s="158"/>
    </row>
    <row r="135">
      <c r="E135" s="158"/>
      <c r="F135" s="160"/>
      <c r="N135" s="158"/>
    </row>
    <row r="136">
      <c r="E136" s="158"/>
      <c r="F136" s="160"/>
      <c r="N136" s="158"/>
    </row>
    <row r="137">
      <c r="E137" s="158"/>
      <c r="F137" s="160"/>
      <c r="N137" s="158"/>
    </row>
    <row r="138">
      <c r="E138" s="158"/>
      <c r="F138" s="160"/>
      <c r="N138" s="158"/>
    </row>
    <row r="139">
      <c r="E139" s="158"/>
      <c r="F139" s="160"/>
      <c r="N139" s="158"/>
    </row>
    <row r="140">
      <c r="E140" s="158"/>
      <c r="F140" s="160"/>
      <c r="N140" s="158"/>
    </row>
    <row r="141">
      <c r="E141" s="158"/>
      <c r="F141" s="160"/>
      <c r="N141" s="158"/>
    </row>
    <row r="142">
      <c r="E142" s="158"/>
      <c r="F142" s="160"/>
      <c r="N142" s="158"/>
    </row>
    <row r="143">
      <c r="E143" s="158"/>
      <c r="F143" s="160"/>
      <c r="N143" s="158"/>
    </row>
    <row r="144">
      <c r="E144" s="158"/>
      <c r="F144" s="160"/>
      <c r="N144" s="158"/>
    </row>
    <row r="145">
      <c r="E145" s="158"/>
      <c r="F145" s="160"/>
      <c r="N145" s="158"/>
    </row>
    <row r="146">
      <c r="E146" s="158"/>
      <c r="F146" s="160"/>
      <c r="N146" s="158"/>
    </row>
    <row r="147">
      <c r="E147" s="158"/>
      <c r="F147" s="160"/>
      <c r="N147" s="158"/>
    </row>
    <row r="148">
      <c r="E148" s="158"/>
      <c r="F148" s="160"/>
      <c r="N148" s="158"/>
    </row>
    <row r="149">
      <c r="E149" s="158"/>
      <c r="F149" s="160"/>
      <c r="N149" s="158"/>
    </row>
    <row r="150">
      <c r="E150" s="158"/>
      <c r="F150" s="160"/>
      <c r="N150" s="158"/>
    </row>
    <row r="151">
      <c r="E151" s="158"/>
      <c r="F151" s="160"/>
      <c r="N151" s="158"/>
    </row>
    <row r="152">
      <c r="E152" s="158"/>
      <c r="F152" s="160"/>
      <c r="N152" s="158"/>
    </row>
    <row r="153">
      <c r="E153" s="158"/>
      <c r="F153" s="160"/>
      <c r="N153" s="158"/>
    </row>
    <row r="154">
      <c r="E154" s="158"/>
      <c r="F154" s="160"/>
      <c r="N154" s="158"/>
    </row>
    <row r="155">
      <c r="E155" s="158"/>
      <c r="F155" s="160"/>
      <c r="N155" s="158"/>
    </row>
    <row r="156">
      <c r="E156" s="158"/>
      <c r="F156" s="160"/>
      <c r="N156" s="158"/>
    </row>
    <row r="157">
      <c r="E157" s="158"/>
      <c r="F157" s="160"/>
      <c r="N157" s="158"/>
    </row>
    <row r="158">
      <c r="E158" s="158"/>
      <c r="F158" s="160"/>
      <c r="N158" s="158"/>
    </row>
    <row r="159">
      <c r="E159" s="158"/>
      <c r="F159" s="160"/>
      <c r="N159" s="158"/>
    </row>
    <row r="160">
      <c r="E160" s="158"/>
      <c r="F160" s="160"/>
      <c r="N160" s="158"/>
    </row>
    <row r="161">
      <c r="E161" s="158"/>
      <c r="F161" s="160"/>
      <c r="N161" s="158"/>
    </row>
    <row r="162">
      <c r="E162" s="158"/>
      <c r="F162" s="160"/>
      <c r="N162" s="158"/>
    </row>
    <row r="163">
      <c r="E163" s="158"/>
      <c r="F163" s="160"/>
      <c r="N163" s="158"/>
    </row>
    <row r="164">
      <c r="E164" s="158"/>
      <c r="F164" s="160"/>
      <c r="N164" s="158"/>
    </row>
    <row r="165">
      <c r="E165" s="158"/>
      <c r="F165" s="160"/>
      <c r="N165" s="158"/>
    </row>
    <row r="166">
      <c r="E166" s="158"/>
      <c r="F166" s="160"/>
      <c r="N166" s="158"/>
    </row>
    <row r="167">
      <c r="E167" s="158"/>
      <c r="F167" s="160"/>
      <c r="N167" s="158"/>
    </row>
    <row r="168">
      <c r="E168" s="158"/>
      <c r="F168" s="160"/>
      <c r="N168" s="158"/>
    </row>
    <row r="169">
      <c r="E169" s="158"/>
      <c r="F169" s="160"/>
      <c r="N169" s="158"/>
    </row>
    <row r="170">
      <c r="E170" s="158"/>
      <c r="F170" s="160"/>
      <c r="N170" s="158"/>
    </row>
    <row r="171">
      <c r="E171" s="158"/>
      <c r="F171" s="160"/>
      <c r="N171" s="158"/>
    </row>
    <row r="172">
      <c r="E172" s="158"/>
      <c r="F172" s="160"/>
      <c r="N172" s="158"/>
    </row>
    <row r="173">
      <c r="E173" s="158"/>
      <c r="F173" s="160"/>
      <c r="N173" s="158"/>
    </row>
    <row r="174">
      <c r="E174" s="158"/>
      <c r="F174" s="160"/>
      <c r="N174" s="158"/>
    </row>
    <row r="175">
      <c r="E175" s="158"/>
      <c r="F175" s="160"/>
      <c r="N175" s="158"/>
    </row>
    <row r="176">
      <c r="E176" s="158"/>
      <c r="F176" s="160"/>
      <c r="N176" s="158"/>
    </row>
    <row r="177">
      <c r="E177" s="158"/>
      <c r="F177" s="160"/>
      <c r="N177" s="158"/>
    </row>
    <row r="178">
      <c r="E178" s="158"/>
      <c r="F178" s="160"/>
      <c r="N178" s="158"/>
    </row>
    <row r="179">
      <c r="E179" s="158"/>
      <c r="F179" s="160"/>
      <c r="N179" s="158"/>
    </row>
    <row r="180">
      <c r="E180" s="158"/>
      <c r="F180" s="160"/>
      <c r="N180" s="158"/>
    </row>
    <row r="181">
      <c r="E181" s="158"/>
      <c r="F181" s="160"/>
      <c r="N181" s="158"/>
    </row>
    <row r="182">
      <c r="E182" s="158"/>
      <c r="F182" s="160"/>
      <c r="N182" s="158"/>
    </row>
    <row r="183">
      <c r="E183" s="158"/>
      <c r="F183" s="160"/>
      <c r="N183" s="158"/>
    </row>
    <row r="184">
      <c r="E184" s="158"/>
      <c r="F184" s="160"/>
      <c r="N184" s="158"/>
    </row>
    <row r="185">
      <c r="E185" s="158"/>
      <c r="F185" s="160"/>
      <c r="N185" s="158"/>
    </row>
    <row r="186">
      <c r="E186" s="158"/>
      <c r="F186" s="160"/>
      <c r="N186" s="158"/>
    </row>
    <row r="187">
      <c r="E187" s="158"/>
      <c r="F187" s="160"/>
      <c r="N187" s="158"/>
    </row>
    <row r="188">
      <c r="E188" s="158"/>
      <c r="F188" s="160"/>
      <c r="N188" s="158"/>
    </row>
    <row r="189">
      <c r="E189" s="158"/>
      <c r="F189" s="160"/>
      <c r="N189" s="158"/>
    </row>
    <row r="190">
      <c r="E190" s="158"/>
      <c r="F190" s="160"/>
      <c r="N190" s="158"/>
    </row>
    <row r="191">
      <c r="E191" s="158"/>
      <c r="F191" s="160"/>
      <c r="N191" s="158"/>
    </row>
    <row r="192">
      <c r="E192" s="158"/>
      <c r="F192" s="160"/>
      <c r="N192" s="158"/>
    </row>
    <row r="193">
      <c r="E193" s="158"/>
      <c r="F193" s="160"/>
      <c r="N193" s="158"/>
    </row>
    <row r="194">
      <c r="E194" s="158"/>
      <c r="F194" s="160"/>
      <c r="N194" s="158"/>
    </row>
    <row r="195">
      <c r="E195" s="158"/>
      <c r="F195" s="160"/>
      <c r="N195" s="158"/>
    </row>
    <row r="196">
      <c r="E196" s="158"/>
      <c r="F196" s="160"/>
      <c r="N196" s="158"/>
    </row>
    <row r="197">
      <c r="E197" s="158"/>
      <c r="F197" s="160"/>
      <c r="N197" s="158"/>
    </row>
    <row r="198">
      <c r="E198" s="158"/>
      <c r="F198" s="160"/>
      <c r="N198" s="158"/>
    </row>
    <row r="199">
      <c r="E199" s="158"/>
      <c r="F199" s="160"/>
      <c r="N199" s="158"/>
    </row>
    <row r="200">
      <c r="E200" s="158"/>
      <c r="F200" s="160"/>
      <c r="N200" s="158"/>
    </row>
    <row r="201">
      <c r="E201" s="158"/>
      <c r="F201" s="160"/>
      <c r="N201" s="158"/>
    </row>
    <row r="202">
      <c r="E202" s="158"/>
      <c r="F202" s="160"/>
      <c r="N202" s="158"/>
    </row>
    <row r="203">
      <c r="E203" s="158"/>
      <c r="F203" s="160"/>
      <c r="N203" s="158"/>
    </row>
    <row r="204">
      <c r="E204" s="158"/>
      <c r="F204" s="160"/>
      <c r="N204" s="158"/>
    </row>
    <row r="205">
      <c r="E205" s="158"/>
      <c r="F205" s="160"/>
      <c r="N205" s="158"/>
    </row>
    <row r="206">
      <c r="E206" s="158"/>
      <c r="F206" s="160"/>
      <c r="N206" s="158"/>
    </row>
    <row r="207">
      <c r="E207" s="158"/>
      <c r="F207" s="160"/>
      <c r="N207" s="158"/>
    </row>
    <row r="208">
      <c r="E208" s="158"/>
      <c r="F208" s="160"/>
      <c r="N208" s="158"/>
    </row>
    <row r="209">
      <c r="E209" s="158"/>
      <c r="F209" s="160"/>
      <c r="N209" s="158"/>
    </row>
    <row r="210">
      <c r="E210" s="158"/>
      <c r="F210" s="160"/>
      <c r="N210" s="158"/>
    </row>
    <row r="211">
      <c r="E211" s="158"/>
      <c r="F211" s="160"/>
      <c r="N211" s="158"/>
    </row>
    <row r="212">
      <c r="E212" s="158"/>
      <c r="F212" s="160"/>
      <c r="N212" s="158"/>
    </row>
    <row r="213">
      <c r="E213" s="158"/>
      <c r="F213" s="160"/>
      <c r="N213" s="158"/>
    </row>
    <row r="214">
      <c r="E214" s="158"/>
      <c r="F214" s="160"/>
      <c r="N214" s="158"/>
    </row>
    <row r="215">
      <c r="E215" s="158"/>
      <c r="F215" s="160"/>
      <c r="N215" s="158"/>
    </row>
    <row r="216">
      <c r="E216" s="158"/>
      <c r="F216" s="160"/>
      <c r="N216" s="158"/>
    </row>
    <row r="217">
      <c r="E217" s="158"/>
      <c r="F217" s="160"/>
      <c r="N217" s="158"/>
    </row>
    <row r="218">
      <c r="E218" s="158"/>
      <c r="F218" s="160"/>
      <c r="N218" s="158"/>
    </row>
    <row r="219">
      <c r="E219" s="158"/>
      <c r="F219" s="160"/>
      <c r="N219" s="158"/>
    </row>
    <row r="220">
      <c r="E220" s="158"/>
      <c r="F220" s="160"/>
      <c r="N220" s="158"/>
    </row>
    <row r="221">
      <c r="E221" s="158"/>
      <c r="F221" s="160"/>
      <c r="N221" s="158"/>
    </row>
    <row r="222">
      <c r="E222" s="158"/>
      <c r="F222" s="160"/>
      <c r="N222" s="158"/>
    </row>
    <row r="223">
      <c r="E223" s="158"/>
      <c r="F223" s="160"/>
      <c r="N223" s="158"/>
    </row>
    <row r="224">
      <c r="E224" s="158"/>
      <c r="F224" s="160"/>
      <c r="N224" s="158"/>
    </row>
    <row r="225">
      <c r="E225" s="158"/>
      <c r="F225" s="160"/>
      <c r="N225" s="158"/>
    </row>
    <row r="226">
      <c r="E226" s="158"/>
      <c r="F226" s="160"/>
      <c r="N226" s="158"/>
    </row>
    <row r="227">
      <c r="E227" s="158"/>
      <c r="F227" s="160"/>
      <c r="N227" s="158"/>
    </row>
    <row r="228">
      <c r="E228" s="158"/>
      <c r="F228" s="160"/>
      <c r="N228" s="158"/>
    </row>
    <row r="229">
      <c r="E229" s="158"/>
      <c r="F229" s="160"/>
      <c r="N229" s="158"/>
    </row>
    <row r="230">
      <c r="E230" s="158"/>
      <c r="F230" s="160"/>
      <c r="N230" s="158"/>
    </row>
    <row r="231">
      <c r="E231" s="158"/>
      <c r="F231" s="160"/>
      <c r="N231" s="158"/>
    </row>
    <row r="232">
      <c r="E232" s="158"/>
      <c r="F232" s="160"/>
      <c r="N232" s="158"/>
    </row>
    <row r="233">
      <c r="E233" s="158"/>
      <c r="F233" s="160"/>
      <c r="N233" s="158"/>
    </row>
    <row r="234">
      <c r="E234" s="158"/>
      <c r="F234" s="160"/>
      <c r="N234" s="158"/>
    </row>
    <row r="235">
      <c r="E235" s="158"/>
      <c r="F235" s="160"/>
      <c r="N235" s="158"/>
    </row>
    <row r="236">
      <c r="E236" s="158"/>
      <c r="F236" s="160"/>
      <c r="N236" s="158"/>
    </row>
    <row r="237">
      <c r="E237" s="158"/>
      <c r="F237" s="160"/>
      <c r="N237" s="158"/>
    </row>
    <row r="238">
      <c r="E238" s="158"/>
      <c r="F238" s="160"/>
      <c r="N238" s="158"/>
    </row>
    <row r="239">
      <c r="E239" s="158"/>
      <c r="F239" s="160"/>
      <c r="N239" s="158"/>
    </row>
    <row r="240">
      <c r="E240" s="158"/>
      <c r="F240" s="160"/>
      <c r="N240" s="158"/>
    </row>
    <row r="241">
      <c r="E241" s="158"/>
      <c r="F241" s="160"/>
      <c r="N241" s="158"/>
    </row>
    <row r="242">
      <c r="E242" s="158"/>
      <c r="F242" s="160"/>
      <c r="N242" s="158"/>
    </row>
    <row r="243">
      <c r="E243" s="158"/>
      <c r="F243" s="160"/>
      <c r="N243" s="158"/>
    </row>
    <row r="244">
      <c r="E244" s="158"/>
      <c r="F244" s="160"/>
      <c r="N244" s="158"/>
    </row>
    <row r="245">
      <c r="E245" s="158"/>
      <c r="F245" s="160"/>
      <c r="N245" s="158"/>
    </row>
    <row r="246">
      <c r="E246" s="158"/>
      <c r="F246" s="160"/>
      <c r="N246" s="158"/>
    </row>
    <row r="247">
      <c r="E247" s="158"/>
      <c r="F247" s="160"/>
      <c r="N247" s="158"/>
    </row>
    <row r="248">
      <c r="E248" s="158"/>
      <c r="F248" s="160"/>
      <c r="N248" s="158"/>
    </row>
    <row r="249">
      <c r="E249" s="158"/>
      <c r="F249" s="160"/>
      <c r="N249" s="158"/>
    </row>
    <row r="250">
      <c r="E250" s="158"/>
      <c r="F250" s="160"/>
      <c r="N250" s="158"/>
    </row>
    <row r="251">
      <c r="E251" s="158"/>
      <c r="F251" s="160"/>
      <c r="N251" s="158"/>
    </row>
    <row r="252">
      <c r="E252" s="158"/>
      <c r="F252" s="160"/>
      <c r="N252" s="158"/>
    </row>
    <row r="253">
      <c r="E253" s="158"/>
      <c r="F253" s="160"/>
      <c r="N253" s="158"/>
    </row>
    <row r="254">
      <c r="E254" s="158"/>
      <c r="F254" s="160"/>
      <c r="N254" s="158"/>
    </row>
    <row r="255">
      <c r="E255" s="158"/>
      <c r="F255" s="160"/>
      <c r="N255" s="158"/>
    </row>
    <row r="256">
      <c r="E256" s="158"/>
      <c r="F256" s="160"/>
      <c r="N256" s="158"/>
    </row>
    <row r="257">
      <c r="E257" s="158"/>
      <c r="F257" s="160"/>
      <c r="N257" s="158"/>
    </row>
    <row r="258">
      <c r="E258" s="158"/>
      <c r="F258" s="160"/>
      <c r="N258" s="158"/>
    </row>
    <row r="259">
      <c r="E259" s="158"/>
      <c r="F259" s="160"/>
      <c r="N259" s="158"/>
    </row>
    <row r="260">
      <c r="E260" s="158"/>
      <c r="F260" s="160"/>
      <c r="N260" s="158"/>
    </row>
    <row r="261">
      <c r="E261" s="158"/>
      <c r="F261" s="160"/>
      <c r="N261" s="158"/>
    </row>
    <row r="262">
      <c r="E262" s="158"/>
      <c r="F262" s="160"/>
      <c r="N262" s="158"/>
    </row>
    <row r="263">
      <c r="E263" s="158"/>
      <c r="F263" s="160"/>
      <c r="N263" s="158"/>
    </row>
    <row r="264">
      <c r="E264" s="158"/>
      <c r="F264" s="160"/>
      <c r="N264" s="158"/>
    </row>
    <row r="265">
      <c r="E265" s="158"/>
      <c r="F265" s="160"/>
      <c r="N265" s="158"/>
    </row>
    <row r="266">
      <c r="E266" s="158"/>
      <c r="F266" s="160"/>
      <c r="N266" s="158"/>
    </row>
    <row r="267">
      <c r="E267" s="158"/>
      <c r="F267" s="160"/>
      <c r="N267" s="158"/>
    </row>
    <row r="268">
      <c r="E268" s="158"/>
      <c r="F268" s="160"/>
      <c r="N268" s="158"/>
    </row>
    <row r="269">
      <c r="E269" s="158"/>
      <c r="F269" s="160"/>
      <c r="N269" s="158"/>
    </row>
    <row r="270">
      <c r="E270" s="158"/>
      <c r="F270" s="160"/>
      <c r="N270" s="158"/>
    </row>
    <row r="271">
      <c r="E271" s="158"/>
      <c r="F271" s="160"/>
      <c r="N271" s="158"/>
    </row>
    <row r="272">
      <c r="E272" s="158"/>
      <c r="F272" s="160"/>
      <c r="N272" s="158"/>
    </row>
    <row r="273">
      <c r="E273" s="158"/>
      <c r="F273" s="160"/>
      <c r="N273" s="158"/>
    </row>
    <row r="274">
      <c r="E274" s="158"/>
      <c r="F274" s="160"/>
      <c r="N274" s="158"/>
    </row>
    <row r="275">
      <c r="E275" s="158"/>
      <c r="F275" s="160"/>
      <c r="N275" s="158"/>
    </row>
    <row r="276">
      <c r="E276" s="158"/>
      <c r="F276" s="160"/>
      <c r="N276" s="158"/>
    </row>
    <row r="277">
      <c r="E277" s="158"/>
      <c r="F277" s="160"/>
      <c r="N277" s="158"/>
    </row>
    <row r="278">
      <c r="E278" s="158"/>
      <c r="F278" s="160"/>
      <c r="N278" s="158"/>
    </row>
    <row r="279">
      <c r="E279" s="158"/>
      <c r="F279" s="160"/>
      <c r="N279" s="158"/>
    </row>
    <row r="280">
      <c r="E280" s="158"/>
      <c r="F280" s="160"/>
      <c r="N280" s="158"/>
    </row>
    <row r="281">
      <c r="E281" s="158"/>
      <c r="F281" s="160"/>
      <c r="N281" s="158"/>
    </row>
    <row r="282">
      <c r="E282" s="158"/>
      <c r="F282" s="160"/>
      <c r="N282" s="158"/>
    </row>
    <row r="283">
      <c r="E283" s="158"/>
      <c r="F283" s="160"/>
      <c r="N283" s="158"/>
    </row>
    <row r="284">
      <c r="E284" s="158"/>
      <c r="F284" s="160"/>
      <c r="N284" s="158"/>
    </row>
    <row r="285">
      <c r="E285" s="158"/>
      <c r="F285" s="160"/>
      <c r="N285" s="158"/>
    </row>
    <row r="286">
      <c r="E286" s="158"/>
      <c r="F286" s="160"/>
      <c r="N286" s="158"/>
    </row>
    <row r="287">
      <c r="E287" s="158"/>
      <c r="F287" s="160"/>
      <c r="N287" s="158"/>
    </row>
    <row r="288">
      <c r="E288" s="158"/>
      <c r="F288" s="160"/>
      <c r="N288" s="158"/>
    </row>
    <row r="289">
      <c r="E289" s="158"/>
      <c r="F289" s="160"/>
      <c r="N289" s="158"/>
    </row>
    <row r="290">
      <c r="E290" s="158"/>
      <c r="F290" s="160"/>
      <c r="N290" s="158"/>
    </row>
    <row r="291">
      <c r="E291" s="158"/>
      <c r="F291" s="160"/>
      <c r="N291" s="158"/>
    </row>
    <row r="292">
      <c r="E292" s="158"/>
      <c r="F292" s="160"/>
      <c r="N292" s="158"/>
    </row>
    <row r="293">
      <c r="E293" s="158"/>
      <c r="F293" s="160"/>
      <c r="N293" s="158"/>
    </row>
    <row r="294">
      <c r="E294" s="158"/>
      <c r="F294" s="160"/>
      <c r="N294" s="158"/>
    </row>
    <row r="295">
      <c r="E295" s="158"/>
      <c r="F295" s="160"/>
      <c r="N295" s="158"/>
    </row>
    <row r="296">
      <c r="E296" s="158"/>
      <c r="F296" s="160"/>
      <c r="N296" s="158"/>
    </row>
    <row r="297">
      <c r="E297" s="158"/>
      <c r="F297" s="160"/>
      <c r="N297" s="158"/>
    </row>
    <row r="298">
      <c r="E298" s="158"/>
      <c r="F298" s="160"/>
      <c r="N298" s="158"/>
    </row>
    <row r="299">
      <c r="E299" s="158"/>
      <c r="F299" s="160"/>
      <c r="N299" s="158"/>
    </row>
    <row r="300">
      <c r="E300" s="158"/>
      <c r="F300" s="160"/>
      <c r="N300" s="158"/>
    </row>
    <row r="301">
      <c r="E301" s="158"/>
      <c r="F301" s="160"/>
      <c r="N301" s="158"/>
    </row>
    <row r="302">
      <c r="E302" s="158"/>
      <c r="F302" s="160"/>
      <c r="N302" s="158"/>
    </row>
    <row r="303">
      <c r="E303" s="158"/>
      <c r="F303" s="160"/>
      <c r="N303" s="158"/>
    </row>
    <row r="304">
      <c r="E304" s="158"/>
      <c r="F304" s="160"/>
      <c r="N304" s="158"/>
    </row>
    <row r="305">
      <c r="E305" s="158"/>
      <c r="F305" s="160"/>
      <c r="N305" s="158"/>
    </row>
    <row r="306">
      <c r="E306" s="158"/>
      <c r="F306" s="160"/>
      <c r="N306" s="158"/>
    </row>
    <row r="307">
      <c r="E307" s="158"/>
      <c r="F307" s="160"/>
      <c r="N307" s="158"/>
    </row>
    <row r="308">
      <c r="E308" s="158"/>
      <c r="F308" s="160"/>
      <c r="N308" s="158"/>
    </row>
    <row r="309">
      <c r="E309" s="158"/>
      <c r="F309" s="160"/>
      <c r="N309" s="158"/>
    </row>
    <row r="310">
      <c r="E310" s="158"/>
      <c r="F310" s="160"/>
      <c r="N310" s="158"/>
    </row>
    <row r="311">
      <c r="E311" s="158"/>
      <c r="F311" s="160"/>
      <c r="N311" s="158"/>
    </row>
    <row r="312">
      <c r="E312" s="158"/>
      <c r="F312" s="160"/>
      <c r="N312" s="158"/>
    </row>
    <row r="313">
      <c r="E313" s="158"/>
      <c r="F313" s="160"/>
      <c r="N313" s="158"/>
    </row>
    <row r="314">
      <c r="E314" s="158"/>
      <c r="F314" s="160"/>
      <c r="N314" s="158"/>
    </row>
    <row r="315">
      <c r="E315" s="158"/>
      <c r="F315" s="160"/>
      <c r="N315" s="158"/>
    </row>
    <row r="316">
      <c r="E316" s="158"/>
      <c r="F316" s="160"/>
      <c r="N316" s="158"/>
    </row>
    <row r="317">
      <c r="E317" s="158"/>
      <c r="F317" s="160"/>
      <c r="N317" s="158"/>
    </row>
    <row r="318">
      <c r="E318" s="158"/>
      <c r="F318" s="160"/>
      <c r="N318" s="158"/>
    </row>
    <row r="319">
      <c r="E319" s="158"/>
      <c r="F319" s="160"/>
      <c r="N319" s="158"/>
    </row>
    <row r="320">
      <c r="E320" s="158"/>
      <c r="F320" s="160"/>
      <c r="N320" s="158"/>
    </row>
    <row r="321">
      <c r="E321" s="158"/>
      <c r="F321" s="160"/>
      <c r="N321" s="158"/>
    </row>
    <row r="322">
      <c r="E322" s="158"/>
      <c r="F322" s="160"/>
      <c r="N322" s="158"/>
    </row>
    <row r="323">
      <c r="E323" s="158"/>
      <c r="F323" s="160"/>
      <c r="N323" s="158"/>
    </row>
    <row r="324">
      <c r="E324" s="158"/>
      <c r="F324" s="160"/>
      <c r="N324" s="158"/>
    </row>
    <row r="325">
      <c r="E325" s="158"/>
      <c r="F325" s="160"/>
      <c r="N325" s="158"/>
    </row>
    <row r="326">
      <c r="E326" s="158"/>
      <c r="F326" s="160"/>
      <c r="N326" s="158"/>
    </row>
    <row r="327">
      <c r="E327" s="158"/>
      <c r="F327" s="160"/>
      <c r="N327" s="158"/>
    </row>
    <row r="328">
      <c r="E328" s="158"/>
      <c r="F328" s="160"/>
      <c r="N328" s="158"/>
    </row>
    <row r="329">
      <c r="E329" s="158"/>
      <c r="F329" s="160"/>
      <c r="N329" s="158"/>
    </row>
    <row r="330">
      <c r="E330" s="158"/>
      <c r="F330" s="160"/>
      <c r="N330" s="158"/>
    </row>
    <row r="331">
      <c r="E331" s="158"/>
      <c r="F331" s="160"/>
      <c r="N331" s="158"/>
    </row>
    <row r="332">
      <c r="E332" s="158"/>
      <c r="F332" s="160"/>
      <c r="N332" s="158"/>
    </row>
    <row r="333">
      <c r="E333" s="158"/>
      <c r="F333" s="160"/>
      <c r="N333" s="158"/>
    </row>
    <row r="334">
      <c r="E334" s="158"/>
      <c r="F334" s="160"/>
      <c r="N334" s="158"/>
    </row>
    <row r="335">
      <c r="E335" s="158"/>
      <c r="F335" s="160"/>
      <c r="N335" s="158"/>
    </row>
    <row r="336">
      <c r="E336" s="158"/>
      <c r="F336" s="160"/>
      <c r="N336" s="158"/>
    </row>
    <row r="337">
      <c r="E337" s="158"/>
      <c r="F337" s="160"/>
      <c r="N337" s="158"/>
    </row>
    <row r="338">
      <c r="E338" s="158"/>
      <c r="F338" s="160"/>
      <c r="N338" s="158"/>
    </row>
    <row r="339">
      <c r="E339" s="158"/>
      <c r="F339" s="160"/>
      <c r="N339" s="158"/>
    </row>
    <row r="340">
      <c r="E340" s="158"/>
      <c r="F340" s="160"/>
      <c r="N340" s="158"/>
    </row>
    <row r="341">
      <c r="E341" s="158"/>
      <c r="F341" s="160"/>
      <c r="N341" s="158"/>
    </row>
    <row r="342">
      <c r="E342" s="158"/>
      <c r="F342" s="160"/>
      <c r="N342" s="158"/>
    </row>
    <row r="343">
      <c r="E343" s="158"/>
      <c r="F343" s="160"/>
      <c r="N343" s="158"/>
    </row>
    <row r="344">
      <c r="E344" s="158"/>
      <c r="F344" s="160"/>
      <c r="N344" s="158"/>
    </row>
    <row r="345">
      <c r="E345" s="158"/>
      <c r="F345" s="160"/>
      <c r="N345" s="158"/>
    </row>
    <row r="346">
      <c r="E346" s="158"/>
      <c r="F346" s="160"/>
      <c r="N346" s="158"/>
    </row>
    <row r="347">
      <c r="E347" s="158"/>
      <c r="F347" s="160"/>
      <c r="N347" s="158"/>
    </row>
    <row r="348">
      <c r="E348" s="158"/>
      <c r="F348" s="160"/>
      <c r="N348" s="158"/>
    </row>
    <row r="349">
      <c r="E349" s="158"/>
      <c r="F349" s="160"/>
      <c r="N349" s="158"/>
    </row>
    <row r="350">
      <c r="E350" s="158"/>
      <c r="F350" s="160"/>
      <c r="N350" s="158"/>
    </row>
    <row r="351">
      <c r="E351" s="158"/>
      <c r="F351" s="160"/>
      <c r="N351" s="158"/>
    </row>
    <row r="352">
      <c r="E352" s="158"/>
      <c r="F352" s="160"/>
      <c r="N352" s="158"/>
    </row>
    <row r="353">
      <c r="E353" s="158"/>
      <c r="F353" s="160"/>
      <c r="N353" s="158"/>
    </row>
    <row r="354">
      <c r="E354" s="158"/>
      <c r="F354" s="160"/>
      <c r="N354" s="158"/>
    </row>
    <row r="355">
      <c r="E355" s="158"/>
      <c r="F355" s="160"/>
      <c r="N355" s="158"/>
    </row>
    <row r="356">
      <c r="E356" s="158"/>
      <c r="F356" s="160"/>
      <c r="N356" s="158"/>
    </row>
    <row r="357">
      <c r="E357" s="158"/>
      <c r="F357" s="160"/>
      <c r="N357" s="158"/>
    </row>
    <row r="358">
      <c r="E358" s="158"/>
      <c r="F358" s="160"/>
      <c r="N358" s="158"/>
    </row>
    <row r="359">
      <c r="E359" s="158"/>
      <c r="F359" s="160"/>
      <c r="N359" s="158"/>
    </row>
    <row r="360">
      <c r="E360" s="158"/>
      <c r="F360" s="160"/>
      <c r="N360" s="158"/>
    </row>
    <row r="361">
      <c r="E361" s="158"/>
      <c r="F361" s="160"/>
      <c r="N361" s="158"/>
    </row>
    <row r="362">
      <c r="E362" s="158"/>
      <c r="F362" s="160"/>
      <c r="N362" s="158"/>
    </row>
    <row r="363">
      <c r="E363" s="158"/>
      <c r="F363" s="160"/>
      <c r="N363" s="158"/>
    </row>
    <row r="364">
      <c r="E364" s="158"/>
      <c r="F364" s="160"/>
      <c r="N364" s="158"/>
    </row>
    <row r="365">
      <c r="E365" s="158"/>
      <c r="F365" s="160"/>
      <c r="N365" s="158"/>
    </row>
    <row r="366">
      <c r="E366" s="158"/>
      <c r="F366" s="160"/>
      <c r="N366" s="158"/>
    </row>
    <row r="367">
      <c r="E367" s="158"/>
      <c r="F367" s="160"/>
      <c r="N367" s="158"/>
    </row>
    <row r="368">
      <c r="E368" s="158"/>
      <c r="F368" s="160"/>
      <c r="N368" s="158"/>
    </row>
    <row r="369">
      <c r="E369" s="158"/>
      <c r="F369" s="160"/>
      <c r="N369" s="158"/>
    </row>
    <row r="370">
      <c r="E370" s="158"/>
      <c r="F370" s="160"/>
      <c r="N370" s="158"/>
    </row>
    <row r="371">
      <c r="E371" s="158"/>
      <c r="F371" s="160"/>
      <c r="N371" s="158"/>
    </row>
    <row r="372">
      <c r="E372" s="158"/>
      <c r="F372" s="160"/>
      <c r="N372" s="158"/>
    </row>
    <row r="373">
      <c r="E373" s="158"/>
      <c r="F373" s="160"/>
      <c r="N373" s="158"/>
    </row>
    <row r="374">
      <c r="E374" s="158"/>
      <c r="F374" s="160"/>
      <c r="N374" s="158"/>
    </row>
    <row r="375">
      <c r="E375" s="158"/>
      <c r="F375" s="160"/>
      <c r="N375" s="158"/>
    </row>
    <row r="376">
      <c r="E376" s="158"/>
      <c r="F376" s="160"/>
      <c r="N376" s="158"/>
    </row>
    <row r="377">
      <c r="E377" s="158"/>
      <c r="F377" s="160"/>
      <c r="N377" s="158"/>
    </row>
    <row r="378">
      <c r="E378" s="158"/>
      <c r="F378" s="160"/>
      <c r="N378" s="158"/>
    </row>
    <row r="379">
      <c r="E379" s="158"/>
      <c r="F379" s="160"/>
      <c r="N379" s="158"/>
    </row>
    <row r="380">
      <c r="E380" s="158"/>
      <c r="F380" s="160"/>
      <c r="N380" s="158"/>
    </row>
    <row r="381">
      <c r="E381" s="158"/>
      <c r="F381" s="160"/>
      <c r="N381" s="158"/>
    </row>
    <row r="382">
      <c r="E382" s="158"/>
      <c r="F382" s="160"/>
      <c r="N382" s="158"/>
    </row>
    <row r="383">
      <c r="E383" s="158"/>
      <c r="F383" s="160"/>
      <c r="N383" s="158"/>
    </row>
    <row r="384">
      <c r="E384" s="158"/>
      <c r="F384" s="160"/>
      <c r="N384" s="158"/>
    </row>
    <row r="385">
      <c r="E385" s="158"/>
      <c r="F385" s="160"/>
      <c r="N385" s="158"/>
    </row>
    <row r="386">
      <c r="E386" s="158"/>
      <c r="F386" s="160"/>
      <c r="N386" s="158"/>
    </row>
    <row r="387">
      <c r="E387" s="158"/>
      <c r="F387" s="160"/>
      <c r="N387" s="158"/>
    </row>
    <row r="388">
      <c r="E388" s="158"/>
      <c r="F388" s="160"/>
      <c r="N388" s="158"/>
    </row>
    <row r="389">
      <c r="E389" s="158"/>
      <c r="F389" s="160"/>
      <c r="N389" s="158"/>
    </row>
    <row r="390">
      <c r="E390" s="158"/>
      <c r="F390" s="160"/>
      <c r="N390" s="158"/>
    </row>
    <row r="391">
      <c r="E391" s="158"/>
      <c r="F391" s="160"/>
      <c r="N391" s="158"/>
    </row>
    <row r="392">
      <c r="E392" s="158"/>
      <c r="F392" s="160"/>
      <c r="N392" s="158"/>
    </row>
    <row r="393">
      <c r="E393" s="158"/>
      <c r="F393" s="160"/>
      <c r="N393" s="158"/>
    </row>
    <row r="394">
      <c r="E394" s="158"/>
      <c r="F394" s="160"/>
      <c r="N394" s="158"/>
    </row>
    <row r="395">
      <c r="E395" s="158"/>
      <c r="F395" s="160"/>
      <c r="N395" s="158"/>
    </row>
    <row r="396">
      <c r="E396" s="158"/>
      <c r="F396" s="160"/>
      <c r="N396" s="158"/>
    </row>
    <row r="397">
      <c r="E397" s="158"/>
      <c r="F397" s="160"/>
      <c r="N397" s="158"/>
    </row>
    <row r="398">
      <c r="E398" s="158"/>
      <c r="F398" s="160"/>
      <c r="N398" s="158"/>
    </row>
    <row r="399">
      <c r="E399" s="158"/>
      <c r="F399" s="160"/>
      <c r="N399" s="158"/>
    </row>
    <row r="400">
      <c r="E400" s="158"/>
      <c r="F400" s="160"/>
      <c r="N400" s="158"/>
    </row>
    <row r="401">
      <c r="E401" s="158"/>
      <c r="F401" s="160"/>
      <c r="N401" s="158"/>
    </row>
    <row r="402">
      <c r="E402" s="158"/>
      <c r="F402" s="160"/>
      <c r="N402" s="158"/>
    </row>
    <row r="403">
      <c r="E403" s="158"/>
      <c r="F403" s="160"/>
      <c r="N403" s="158"/>
    </row>
    <row r="404">
      <c r="E404" s="158"/>
      <c r="F404" s="160"/>
      <c r="N404" s="158"/>
    </row>
    <row r="405">
      <c r="E405" s="158"/>
      <c r="F405" s="160"/>
      <c r="N405" s="158"/>
    </row>
    <row r="406">
      <c r="E406" s="158"/>
      <c r="F406" s="160"/>
      <c r="N406" s="158"/>
    </row>
    <row r="407">
      <c r="E407" s="158"/>
      <c r="F407" s="160"/>
      <c r="N407" s="158"/>
    </row>
    <row r="408">
      <c r="E408" s="158"/>
      <c r="F408" s="160"/>
      <c r="N408" s="158"/>
    </row>
    <row r="409">
      <c r="E409" s="158"/>
      <c r="F409" s="160"/>
      <c r="N409" s="158"/>
    </row>
    <row r="410">
      <c r="E410" s="158"/>
      <c r="F410" s="160"/>
      <c r="N410" s="158"/>
    </row>
    <row r="411">
      <c r="E411" s="158"/>
      <c r="F411" s="160"/>
      <c r="N411" s="158"/>
    </row>
    <row r="412">
      <c r="E412" s="158"/>
      <c r="F412" s="160"/>
      <c r="N412" s="158"/>
    </row>
    <row r="413">
      <c r="E413" s="158"/>
      <c r="F413" s="160"/>
      <c r="N413" s="158"/>
    </row>
    <row r="414">
      <c r="E414" s="158"/>
      <c r="F414" s="160"/>
      <c r="N414" s="158"/>
    </row>
    <row r="415">
      <c r="E415" s="158"/>
      <c r="F415" s="160"/>
      <c r="N415" s="158"/>
    </row>
    <row r="416">
      <c r="E416" s="158"/>
      <c r="F416" s="160"/>
      <c r="N416" s="158"/>
    </row>
    <row r="417">
      <c r="E417" s="158"/>
      <c r="F417" s="160"/>
      <c r="N417" s="158"/>
    </row>
    <row r="418">
      <c r="E418" s="158"/>
      <c r="F418" s="160"/>
      <c r="N418" s="158"/>
    </row>
    <row r="419">
      <c r="E419" s="158"/>
      <c r="F419" s="160"/>
      <c r="N419" s="158"/>
    </row>
    <row r="420">
      <c r="E420" s="158"/>
      <c r="F420" s="160"/>
      <c r="N420" s="158"/>
    </row>
    <row r="421">
      <c r="E421" s="158"/>
      <c r="F421" s="160"/>
      <c r="N421" s="158"/>
    </row>
    <row r="422">
      <c r="E422" s="158"/>
      <c r="F422" s="160"/>
      <c r="N422" s="158"/>
    </row>
    <row r="423">
      <c r="E423" s="158"/>
      <c r="F423" s="160"/>
      <c r="N423" s="158"/>
    </row>
    <row r="424">
      <c r="E424" s="158"/>
      <c r="F424" s="160"/>
      <c r="N424" s="158"/>
    </row>
    <row r="425">
      <c r="E425" s="158"/>
      <c r="F425" s="160"/>
      <c r="N425" s="158"/>
    </row>
    <row r="426">
      <c r="E426" s="158"/>
      <c r="F426" s="160"/>
      <c r="N426" s="158"/>
    </row>
    <row r="427">
      <c r="E427" s="158"/>
      <c r="F427" s="160"/>
      <c r="N427" s="158"/>
    </row>
    <row r="428">
      <c r="E428" s="158"/>
      <c r="F428" s="160"/>
      <c r="N428" s="158"/>
    </row>
    <row r="429">
      <c r="E429" s="158"/>
      <c r="F429" s="160"/>
      <c r="N429" s="158"/>
    </row>
    <row r="430">
      <c r="E430" s="158"/>
      <c r="F430" s="160"/>
      <c r="N430" s="158"/>
    </row>
    <row r="431">
      <c r="E431" s="158"/>
      <c r="F431" s="160"/>
      <c r="N431" s="158"/>
    </row>
    <row r="432">
      <c r="E432" s="158"/>
      <c r="F432" s="160"/>
      <c r="N432" s="158"/>
    </row>
    <row r="433">
      <c r="E433" s="158"/>
      <c r="F433" s="160"/>
      <c r="N433" s="158"/>
    </row>
    <row r="434">
      <c r="E434" s="158"/>
      <c r="F434" s="160"/>
      <c r="N434" s="158"/>
    </row>
    <row r="435">
      <c r="E435" s="158"/>
      <c r="F435" s="160"/>
      <c r="N435" s="158"/>
    </row>
    <row r="436">
      <c r="E436" s="158"/>
      <c r="F436" s="160"/>
      <c r="N436" s="158"/>
    </row>
    <row r="437">
      <c r="E437" s="158"/>
      <c r="F437" s="160"/>
      <c r="N437" s="158"/>
    </row>
    <row r="438">
      <c r="E438" s="158"/>
      <c r="F438" s="160"/>
      <c r="N438" s="158"/>
    </row>
    <row r="439">
      <c r="E439" s="158"/>
      <c r="F439" s="160"/>
      <c r="N439" s="158"/>
    </row>
    <row r="440">
      <c r="E440" s="158"/>
      <c r="F440" s="160"/>
      <c r="N440" s="158"/>
    </row>
    <row r="441">
      <c r="E441" s="158"/>
      <c r="F441" s="160"/>
      <c r="N441" s="158"/>
    </row>
    <row r="442">
      <c r="E442" s="158"/>
      <c r="F442" s="160"/>
      <c r="N442" s="158"/>
    </row>
    <row r="443">
      <c r="E443" s="158"/>
      <c r="F443" s="160"/>
      <c r="N443" s="158"/>
    </row>
    <row r="444">
      <c r="E444" s="158"/>
      <c r="F444" s="160"/>
      <c r="N444" s="158"/>
    </row>
    <row r="445">
      <c r="E445" s="158"/>
      <c r="F445" s="160"/>
      <c r="N445" s="158"/>
    </row>
    <row r="446">
      <c r="E446" s="158"/>
      <c r="F446" s="160"/>
      <c r="N446" s="158"/>
    </row>
    <row r="447">
      <c r="E447" s="158"/>
      <c r="F447" s="160"/>
      <c r="N447" s="158"/>
    </row>
    <row r="448">
      <c r="E448" s="158"/>
      <c r="F448" s="160"/>
      <c r="N448" s="158"/>
    </row>
    <row r="449">
      <c r="E449" s="158"/>
      <c r="F449" s="160"/>
      <c r="N449" s="158"/>
    </row>
    <row r="450">
      <c r="E450" s="158"/>
      <c r="F450" s="160"/>
      <c r="N450" s="158"/>
    </row>
    <row r="451">
      <c r="E451" s="158"/>
      <c r="F451" s="160"/>
      <c r="N451" s="158"/>
    </row>
    <row r="452">
      <c r="E452" s="158"/>
      <c r="F452" s="160"/>
      <c r="N452" s="158"/>
    </row>
    <row r="453">
      <c r="E453" s="158"/>
      <c r="F453" s="160"/>
      <c r="N453" s="158"/>
    </row>
    <row r="454">
      <c r="E454" s="158"/>
      <c r="F454" s="160"/>
      <c r="N454" s="158"/>
    </row>
    <row r="455">
      <c r="E455" s="158"/>
      <c r="F455" s="160"/>
      <c r="N455" s="158"/>
    </row>
    <row r="456">
      <c r="E456" s="158"/>
      <c r="F456" s="160"/>
      <c r="N456" s="158"/>
    </row>
    <row r="457">
      <c r="E457" s="158"/>
      <c r="F457" s="160"/>
      <c r="N457" s="158"/>
    </row>
    <row r="458">
      <c r="E458" s="158"/>
      <c r="F458" s="160"/>
      <c r="N458" s="158"/>
    </row>
    <row r="459">
      <c r="E459" s="158"/>
      <c r="F459" s="160"/>
      <c r="N459" s="158"/>
    </row>
    <row r="460">
      <c r="E460" s="158"/>
      <c r="F460" s="160"/>
      <c r="N460" s="158"/>
    </row>
    <row r="461">
      <c r="E461" s="158"/>
      <c r="F461" s="160"/>
      <c r="N461" s="158"/>
    </row>
    <row r="462">
      <c r="E462" s="158"/>
      <c r="F462" s="160"/>
      <c r="N462" s="158"/>
    </row>
    <row r="463">
      <c r="E463" s="158"/>
      <c r="F463" s="160"/>
      <c r="N463" s="158"/>
    </row>
    <row r="464">
      <c r="E464" s="158"/>
      <c r="F464" s="160"/>
      <c r="N464" s="158"/>
    </row>
    <row r="465">
      <c r="E465" s="158"/>
      <c r="F465" s="160"/>
      <c r="N465" s="158"/>
    </row>
    <row r="466">
      <c r="E466" s="158"/>
      <c r="F466" s="160"/>
      <c r="N466" s="158"/>
    </row>
    <row r="467">
      <c r="E467" s="158"/>
      <c r="F467" s="160"/>
      <c r="N467" s="158"/>
    </row>
    <row r="468">
      <c r="E468" s="158"/>
      <c r="F468" s="160"/>
      <c r="N468" s="158"/>
    </row>
    <row r="469">
      <c r="E469" s="158"/>
      <c r="F469" s="160"/>
      <c r="N469" s="158"/>
    </row>
    <row r="470">
      <c r="E470" s="158"/>
      <c r="F470" s="160"/>
      <c r="N470" s="158"/>
    </row>
    <row r="471">
      <c r="E471" s="158"/>
      <c r="F471" s="160"/>
      <c r="N471" s="158"/>
    </row>
    <row r="472">
      <c r="E472" s="158"/>
      <c r="F472" s="160"/>
      <c r="N472" s="158"/>
    </row>
    <row r="473">
      <c r="E473" s="158"/>
      <c r="F473" s="160"/>
      <c r="N473" s="158"/>
    </row>
    <row r="474">
      <c r="E474" s="158"/>
      <c r="F474" s="160"/>
      <c r="N474" s="158"/>
    </row>
    <row r="475">
      <c r="E475" s="158"/>
      <c r="F475" s="160"/>
      <c r="N475" s="158"/>
    </row>
    <row r="476">
      <c r="E476" s="158"/>
      <c r="F476" s="160"/>
      <c r="N476" s="158"/>
    </row>
    <row r="477">
      <c r="E477" s="158"/>
      <c r="F477" s="160"/>
      <c r="N477" s="158"/>
    </row>
    <row r="478">
      <c r="E478" s="158"/>
      <c r="F478" s="160"/>
      <c r="N478" s="158"/>
    </row>
    <row r="479">
      <c r="E479" s="158"/>
      <c r="F479" s="160"/>
      <c r="N479" s="158"/>
    </row>
    <row r="480">
      <c r="E480" s="158"/>
      <c r="F480" s="160"/>
      <c r="N480" s="158"/>
    </row>
    <row r="481">
      <c r="E481" s="158"/>
      <c r="F481" s="160"/>
      <c r="N481" s="158"/>
    </row>
    <row r="482">
      <c r="E482" s="158"/>
      <c r="F482" s="160"/>
      <c r="N482" s="158"/>
    </row>
    <row r="483">
      <c r="E483" s="158"/>
      <c r="F483" s="160"/>
      <c r="N483" s="158"/>
    </row>
    <row r="484">
      <c r="E484" s="158"/>
      <c r="F484" s="160"/>
      <c r="N484" s="158"/>
    </row>
    <row r="485">
      <c r="E485" s="158"/>
      <c r="F485" s="160"/>
      <c r="N485" s="158"/>
    </row>
    <row r="486">
      <c r="E486" s="158"/>
      <c r="F486" s="160"/>
      <c r="N486" s="158"/>
    </row>
    <row r="487">
      <c r="E487" s="158"/>
      <c r="F487" s="160"/>
      <c r="N487" s="158"/>
    </row>
    <row r="488">
      <c r="E488" s="158"/>
      <c r="F488" s="160"/>
      <c r="N488" s="158"/>
    </row>
    <row r="489">
      <c r="E489" s="158"/>
      <c r="F489" s="160"/>
      <c r="N489" s="158"/>
    </row>
    <row r="490">
      <c r="E490" s="158"/>
      <c r="F490" s="160"/>
      <c r="N490" s="158"/>
    </row>
    <row r="491">
      <c r="E491" s="158"/>
      <c r="F491" s="160"/>
      <c r="N491" s="158"/>
    </row>
    <row r="492">
      <c r="E492" s="158"/>
      <c r="F492" s="160"/>
      <c r="N492" s="158"/>
    </row>
    <row r="493">
      <c r="E493" s="158"/>
      <c r="F493" s="160"/>
      <c r="N493" s="158"/>
    </row>
    <row r="494">
      <c r="E494" s="158"/>
      <c r="F494" s="160"/>
      <c r="N494" s="158"/>
    </row>
    <row r="495">
      <c r="E495" s="158"/>
      <c r="F495" s="160"/>
      <c r="N495" s="158"/>
    </row>
    <row r="496">
      <c r="E496" s="158"/>
      <c r="F496" s="160"/>
      <c r="N496" s="158"/>
    </row>
    <row r="497">
      <c r="E497" s="158"/>
      <c r="F497" s="160"/>
      <c r="N497" s="158"/>
    </row>
    <row r="498">
      <c r="E498" s="158"/>
      <c r="F498" s="160"/>
      <c r="N498" s="158"/>
    </row>
    <row r="499">
      <c r="E499" s="158"/>
      <c r="F499" s="160"/>
      <c r="N499" s="158"/>
    </row>
    <row r="500">
      <c r="E500" s="158"/>
      <c r="F500" s="160"/>
      <c r="N500" s="158"/>
    </row>
    <row r="501">
      <c r="E501" s="158"/>
      <c r="F501" s="160"/>
      <c r="N501" s="158"/>
    </row>
    <row r="502">
      <c r="E502" s="158"/>
      <c r="F502" s="160"/>
      <c r="N502" s="158"/>
    </row>
    <row r="503">
      <c r="E503" s="158"/>
      <c r="F503" s="160"/>
      <c r="N503" s="158"/>
    </row>
    <row r="504">
      <c r="E504" s="158"/>
      <c r="F504" s="160"/>
      <c r="N504" s="158"/>
    </row>
    <row r="505">
      <c r="E505" s="158"/>
      <c r="F505" s="160"/>
      <c r="N505" s="158"/>
    </row>
    <row r="506">
      <c r="E506" s="158"/>
      <c r="F506" s="160"/>
      <c r="N506" s="158"/>
    </row>
    <row r="507">
      <c r="E507" s="158"/>
      <c r="F507" s="160"/>
      <c r="N507" s="158"/>
    </row>
    <row r="508">
      <c r="E508" s="158"/>
      <c r="F508" s="160"/>
      <c r="N508" s="158"/>
    </row>
    <row r="509">
      <c r="E509" s="158"/>
      <c r="F509" s="160"/>
      <c r="N509" s="158"/>
    </row>
    <row r="510">
      <c r="E510" s="158"/>
      <c r="F510" s="160"/>
      <c r="N510" s="158"/>
    </row>
    <row r="511">
      <c r="E511" s="158"/>
      <c r="F511" s="160"/>
      <c r="N511" s="158"/>
    </row>
    <row r="512">
      <c r="E512" s="158"/>
      <c r="F512" s="160"/>
      <c r="N512" s="158"/>
    </row>
    <row r="513">
      <c r="E513" s="158"/>
      <c r="F513" s="160"/>
      <c r="N513" s="158"/>
    </row>
    <row r="514">
      <c r="E514" s="158"/>
      <c r="F514" s="160"/>
      <c r="N514" s="158"/>
    </row>
    <row r="515">
      <c r="E515" s="158"/>
      <c r="F515" s="160"/>
      <c r="N515" s="158"/>
    </row>
    <row r="516">
      <c r="E516" s="158"/>
      <c r="F516" s="160"/>
      <c r="N516" s="158"/>
    </row>
    <row r="517">
      <c r="E517" s="158"/>
      <c r="F517" s="160"/>
      <c r="N517" s="158"/>
    </row>
    <row r="518">
      <c r="E518" s="158"/>
      <c r="F518" s="160"/>
      <c r="N518" s="158"/>
    </row>
    <row r="519">
      <c r="E519" s="158"/>
      <c r="F519" s="160"/>
      <c r="N519" s="158"/>
    </row>
    <row r="520">
      <c r="E520" s="158"/>
      <c r="F520" s="160"/>
      <c r="N520" s="158"/>
    </row>
    <row r="521">
      <c r="E521" s="158"/>
      <c r="F521" s="160"/>
      <c r="N521" s="158"/>
    </row>
    <row r="522">
      <c r="E522" s="158"/>
      <c r="F522" s="160"/>
      <c r="N522" s="158"/>
    </row>
    <row r="523">
      <c r="E523" s="158"/>
      <c r="F523" s="160"/>
      <c r="N523" s="158"/>
    </row>
    <row r="524">
      <c r="E524" s="158"/>
      <c r="F524" s="160"/>
      <c r="N524" s="158"/>
    </row>
    <row r="525">
      <c r="E525" s="158"/>
      <c r="F525" s="160"/>
      <c r="N525" s="158"/>
    </row>
    <row r="526">
      <c r="E526" s="158"/>
      <c r="F526" s="160"/>
      <c r="N526" s="158"/>
    </row>
    <row r="527">
      <c r="E527" s="158"/>
      <c r="F527" s="160"/>
      <c r="N527" s="158"/>
    </row>
    <row r="528">
      <c r="E528" s="158"/>
      <c r="F528" s="160"/>
      <c r="N528" s="158"/>
    </row>
    <row r="529">
      <c r="E529" s="158"/>
      <c r="F529" s="160"/>
      <c r="N529" s="158"/>
    </row>
    <row r="530">
      <c r="E530" s="158"/>
      <c r="F530" s="160"/>
      <c r="N530" s="158"/>
    </row>
    <row r="531">
      <c r="E531" s="158"/>
      <c r="F531" s="160"/>
      <c r="N531" s="158"/>
    </row>
    <row r="532">
      <c r="E532" s="158"/>
      <c r="F532" s="160"/>
      <c r="N532" s="158"/>
    </row>
    <row r="533">
      <c r="E533" s="158"/>
      <c r="F533" s="160"/>
      <c r="N533" s="158"/>
    </row>
    <row r="534">
      <c r="E534" s="158"/>
      <c r="F534" s="160"/>
      <c r="N534" s="158"/>
    </row>
    <row r="535">
      <c r="E535" s="158"/>
      <c r="F535" s="160"/>
      <c r="N535" s="158"/>
    </row>
    <row r="536">
      <c r="E536" s="158"/>
      <c r="F536" s="160"/>
      <c r="N536" s="158"/>
    </row>
    <row r="537">
      <c r="E537" s="158"/>
      <c r="F537" s="160"/>
      <c r="N537" s="158"/>
    </row>
    <row r="538">
      <c r="E538" s="158"/>
      <c r="F538" s="160"/>
      <c r="N538" s="158"/>
    </row>
    <row r="539">
      <c r="E539" s="158"/>
      <c r="F539" s="160"/>
      <c r="N539" s="158"/>
    </row>
    <row r="540">
      <c r="E540" s="158"/>
      <c r="F540" s="160"/>
      <c r="N540" s="158"/>
    </row>
    <row r="541">
      <c r="E541" s="158"/>
      <c r="F541" s="160"/>
      <c r="N541" s="158"/>
    </row>
    <row r="542">
      <c r="E542" s="158"/>
      <c r="F542" s="160"/>
      <c r="N542" s="158"/>
    </row>
    <row r="543">
      <c r="E543" s="158"/>
      <c r="F543" s="160"/>
      <c r="N543" s="158"/>
    </row>
    <row r="544">
      <c r="E544" s="158"/>
      <c r="F544" s="160"/>
      <c r="N544" s="158"/>
    </row>
    <row r="545">
      <c r="E545" s="158"/>
      <c r="F545" s="160"/>
      <c r="N545" s="158"/>
    </row>
    <row r="546">
      <c r="E546" s="158"/>
      <c r="F546" s="160"/>
      <c r="N546" s="158"/>
    </row>
    <row r="547">
      <c r="E547" s="158"/>
      <c r="F547" s="160"/>
      <c r="N547" s="158"/>
    </row>
    <row r="548">
      <c r="E548" s="158"/>
      <c r="F548" s="160"/>
      <c r="N548" s="158"/>
    </row>
    <row r="549">
      <c r="E549" s="158"/>
      <c r="F549" s="160"/>
      <c r="N549" s="158"/>
    </row>
    <row r="550">
      <c r="E550" s="158"/>
      <c r="F550" s="160"/>
      <c r="N550" s="158"/>
    </row>
    <row r="551">
      <c r="E551" s="158"/>
      <c r="F551" s="160"/>
      <c r="N551" s="158"/>
    </row>
    <row r="552">
      <c r="E552" s="158"/>
      <c r="F552" s="160"/>
      <c r="N552" s="158"/>
    </row>
    <row r="553">
      <c r="E553" s="158"/>
      <c r="F553" s="160"/>
      <c r="N553" s="158"/>
    </row>
    <row r="554">
      <c r="E554" s="158"/>
      <c r="F554" s="160"/>
      <c r="N554" s="158"/>
    </row>
    <row r="555">
      <c r="E555" s="158"/>
      <c r="F555" s="160"/>
      <c r="N555" s="158"/>
    </row>
    <row r="556">
      <c r="E556" s="158"/>
      <c r="F556" s="160"/>
      <c r="N556" s="158"/>
    </row>
    <row r="557">
      <c r="E557" s="158"/>
      <c r="F557" s="160"/>
      <c r="N557" s="158"/>
    </row>
    <row r="558">
      <c r="E558" s="158"/>
      <c r="F558" s="160"/>
      <c r="N558" s="158"/>
    </row>
    <row r="559">
      <c r="E559" s="158"/>
      <c r="F559" s="160"/>
      <c r="N559" s="158"/>
    </row>
    <row r="560">
      <c r="E560" s="158"/>
      <c r="F560" s="160"/>
      <c r="N560" s="158"/>
    </row>
    <row r="561">
      <c r="E561" s="158"/>
      <c r="F561" s="160"/>
      <c r="N561" s="158"/>
    </row>
    <row r="562">
      <c r="E562" s="158"/>
      <c r="F562" s="160"/>
      <c r="N562" s="158"/>
    </row>
    <row r="563">
      <c r="E563" s="158"/>
      <c r="F563" s="160"/>
      <c r="N563" s="158"/>
    </row>
    <row r="564">
      <c r="E564" s="158"/>
      <c r="F564" s="160"/>
      <c r="N564" s="158"/>
    </row>
    <row r="565">
      <c r="E565" s="158"/>
      <c r="F565" s="160"/>
      <c r="N565" s="158"/>
    </row>
    <row r="566">
      <c r="E566" s="158"/>
      <c r="F566" s="160"/>
      <c r="N566" s="158"/>
    </row>
    <row r="567">
      <c r="E567" s="158"/>
      <c r="F567" s="160"/>
      <c r="N567" s="158"/>
    </row>
    <row r="568">
      <c r="E568" s="158"/>
      <c r="F568" s="160"/>
      <c r="N568" s="158"/>
    </row>
    <row r="569">
      <c r="E569" s="158"/>
      <c r="F569" s="160"/>
      <c r="N569" s="158"/>
    </row>
    <row r="570">
      <c r="E570" s="158"/>
      <c r="F570" s="160"/>
      <c r="N570" s="158"/>
    </row>
    <row r="571">
      <c r="E571" s="158"/>
      <c r="F571" s="160"/>
      <c r="N571" s="158"/>
    </row>
    <row r="572">
      <c r="E572" s="158"/>
      <c r="F572" s="160"/>
      <c r="N572" s="158"/>
    </row>
    <row r="573">
      <c r="E573" s="158"/>
      <c r="F573" s="160"/>
      <c r="N573" s="158"/>
    </row>
    <row r="574">
      <c r="E574" s="158"/>
      <c r="F574" s="160"/>
      <c r="N574" s="158"/>
    </row>
    <row r="575">
      <c r="E575" s="158"/>
      <c r="F575" s="160"/>
      <c r="N575" s="158"/>
    </row>
    <row r="576">
      <c r="E576" s="158"/>
      <c r="F576" s="160"/>
      <c r="N576" s="158"/>
    </row>
    <row r="577">
      <c r="E577" s="158"/>
      <c r="F577" s="160"/>
      <c r="N577" s="158"/>
    </row>
    <row r="578">
      <c r="E578" s="158"/>
      <c r="F578" s="160"/>
      <c r="N578" s="158"/>
    </row>
    <row r="579">
      <c r="E579" s="158"/>
      <c r="F579" s="160"/>
      <c r="N579" s="158"/>
    </row>
    <row r="580">
      <c r="E580" s="158"/>
      <c r="F580" s="160"/>
      <c r="N580" s="158"/>
    </row>
    <row r="581">
      <c r="E581" s="158"/>
      <c r="F581" s="160"/>
      <c r="N581" s="158"/>
    </row>
    <row r="582">
      <c r="E582" s="158"/>
      <c r="F582" s="160"/>
      <c r="N582" s="158"/>
    </row>
    <row r="583">
      <c r="E583" s="158"/>
      <c r="F583" s="160"/>
      <c r="N583" s="158"/>
    </row>
    <row r="584">
      <c r="E584" s="158"/>
      <c r="F584" s="160"/>
      <c r="N584" s="158"/>
    </row>
    <row r="585">
      <c r="E585" s="158"/>
      <c r="F585" s="160"/>
      <c r="N585" s="158"/>
    </row>
    <row r="586">
      <c r="E586" s="158"/>
      <c r="F586" s="160"/>
      <c r="N586" s="158"/>
    </row>
    <row r="587">
      <c r="E587" s="158"/>
      <c r="F587" s="160"/>
      <c r="N587" s="158"/>
    </row>
    <row r="588">
      <c r="E588" s="158"/>
      <c r="F588" s="160"/>
      <c r="N588" s="158"/>
    </row>
    <row r="589">
      <c r="E589" s="158"/>
      <c r="F589" s="160"/>
      <c r="N589" s="158"/>
    </row>
    <row r="590">
      <c r="E590" s="158"/>
      <c r="F590" s="160"/>
      <c r="N590" s="158"/>
    </row>
    <row r="591">
      <c r="E591" s="158"/>
      <c r="F591" s="160"/>
      <c r="N591" s="158"/>
    </row>
    <row r="592">
      <c r="E592" s="158"/>
      <c r="F592" s="160"/>
      <c r="N592" s="158"/>
    </row>
    <row r="593">
      <c r="E593" s="158"/>
      <c r="F593" s="160"/>
      <c r="N593" s="158"/>
    </row>
    <row r="594">
      <c r="E594" s="158"/>
      <c r="F594" s="160"/>
      <c r="N594" s="158"/>
    </row>
    <row r="595">
      <c r="E595" s="158"/>
      <c r="F595" s="160"/>
      <c r="N595" s="158"/>
    </row>
    <row r="596">
      <c r="E596" s="158"/>
      <c r="F596" s="160"/>
      <c r="N596" s="158"/>
    </row>
    <row r="597">
      <c r="E597" s="158"/>
      <c r="F597" s="160"/>
      <c r="N597" s="158"/>
    </row>
    <row r="598">
      <c r="E598" s="158"/>
      <c r="F598" s="160"/>
      <c r="N598" s="158"/>
    </row>
    <row r="599">
      <c r="E599" s="158"/>
      <c r="F599" s="160"/>
      <c r="N599" s="158"/>
    </row>
    <row r="600">
      <c r="E600" s="158"/>
      <c r="F600" s="160"/>
      <c r="N600" s="158"/>
    </row>
    <row r="601">
      <c r="E601" s="158"/>
      <c r="F601" s="160"/>
      <c r="N601" s="158"/>
    </row>
    <row r="602">
      <c r="E602" s="158"/>
      <c r="F602" s="160"/>
      <c r="N602" s="158"/>
    </row>
    <row r="603">
      <c r="E603" s="158"/>
      <c r="F603" s="160"/>
      <c r="N603" s="158"/>
    </row>
    <row r="604">
      <c r="E604" s="158"/>
      <c r="F604" s="160"/>
      <c r="N604" s="158"/>
    </row>
    <row r="605">
      <c r="E605" s="158"/>
      <c r="F605" s="160"/>
      <c r="N605" s="158"/>
    </row>
    <row r="606">
      <c r="E606" s="158"/>
      <c r="F606" s="160"/>
      <c r="N606" s="158"/>
    </row>
    <row r="607">
      <c r="E607" s="158"/>
      <c r="F607" s="160"/>
      <c r="N607" s="158"/>
    </row>
    <row r="608">
      <c r="E608" s="158"/>
      <c r="F608" s="160"/>
      <c r="N608" s="158"/>
    </row>
    <row r="609">
      <c r="E609" s="158"/>
      <c r="F609" s="160"/>
      <c r="N609" s="158"/>
    </row>
    <row r="610">
      <c r="E610" s="158"/>
      <c r="F610" s="160"/>
      <c r="N610" s="158"/>
    </row>
    <row r="611">
      <c r="E611" s="158"/>
      <c r="F611" s="160"/>
      <c r="N611" s="158"/>
    </row>
    <row r="612">
      <c r="E612" s="158"/>
      <c r="F612" s="160"/>
      <c r="N612" s="158"/>
    </row>
    <row r="613">
      <c r="E613" s="158"/>
      <c r="F613" s="160"/>
      <c r="N613" s="158"/>
    </row>
    <row r="614">
      <c r="E614" s="158"/>
      <c r="F614" s="160"/>
      <c r="N614" s="158"/>
    </row>
    <row r="615">
      <c r="E615" s="158"/>
      <c r="F615" s="160"/>
      <c r="N615" s="158"/>
    </row>
    <row r="616">
      <c r="E616" s="158"/>
      <c r="F616" s="160"/>
      <c r="N616" s="158"/>
    </row>
    <row r="617">
      <c r="E617" s="158"/>
      <c r="F617" s="160"/>
      <c r="N617" s="158"/>
    </row>
    <row r="618">
      <c r="E618" s="158"/>
      <c r="F618" s="160"/>
      <c r="N618" s="158"/>
    </row>
    <row r="619">
      <c r="E619" s="158"/>
      <c r="F619" s="160"/>
      <c r="N619" s="158"/>
    </row>
    <row r="620">
      <c r="E620" s="158"/>
      <c r="F620" s="160"/>
      <c r="N620" s="158"/>
    </row>
    <row r="621">
      <c r="E621" s="158"/>
      <c r="F621" s="160"/>
      <c r="N621" s="158"/>
    </row>
    <row r="622">
      <c r="E622" s="158"/>
      <c r="F622" s="160"/>
      <c r="N622" s="158"/>
    </row>
    <row r="623">
      <c r="E623" s="158"/>
      <c r="F623" s="160"/>
      <c r="N623" s="158"/>
    </row>
    <row r="624">
      <c r="E624" s="158"/>
      <c r="F624" s="160"/>
      <c r="N624" s="158"/>
    </row>
    <row r="625">
      <c r="E625" s="158"/>
      <c r="F625" s="160"/>
      <c r="N625" s="158"/>
    </row>
    <row r="626">
      <c r="E626" s="158"/>
      <c r="F626" s="160"/>
      <c r="N626" s="158"/>
    </row>
    <row r="627">
      <c r="E627" s="158"/>
      <c r="F627" s="160"/>
      <c r="N627" s="158"/>
    </row>
    <row r="628">
      <c r="E628" s="158"/>
      <c r="F628" s="160"/>
      <c r="N628" s="158"/>
    </row>
    <row r="629">
      <c r="E629" s="158"/>
      <c r="F629" s="160"/>
      <c r="N629" s="158"/>
    </row>
    <row r="630">
      <c r="E630" s="158"/>
      <c r="F630" s="160"/>
      <c r="N630" s="158"/>
    </row>
    <row r="631">
      <c r="E631" s="158"/>
      <c r="F631" s="160"/>
      <c r="N631" s="158"/>
    </row>
    <row r="632">
      <c r="E632" s="158"/>
      <c r="F632" s="160"/>
      <c r="N632" s="158"/>
    </row>
    <row r="633">
      <c r="E633" s="158"/>
      <c r="F633" s="160"/>
      <c r="N633" s="158"/>
    </row>
    <row r="634">
      <c r="E634" s="158"/>
      <c r="F634" s="160"/>
      <c r="N634" s="158"/>
    </row>
    <row r="635">
      <c r="E635" s="158"/>
      <c r="F635" s="160"/>
      <c r="N635" s="158"/>
    </row>
    <row r="636">
      <c r="E636" s="158"/>
      <c r="F636" s="160"/>
      <c r="N636" s="158"/>
    </row>
    <row r="637">
      <c r="E637" s="158"/>
      <c r="F637" s="160"/>
      <c r="N637" s="158"/>
    </row>
    <row r="638">
      <c r="E638" s="158"/>
      <c r="F638" s="160"/>
      <c r="N638" s="158"/>
    </row>
    <row r="639">
      <c r="E639" s="158"/>
      <c r="F639" s="160"/>
      <c r="N639" s="158"/>
    </row>
    <row r="640">
      <c r="E640" s="158"/>
      <c r="F640" s="160"/>
      <c r="N640" s="158"/>
    </row>
    <row r="641">
      <c r="E641" s="158"/>
      <c r="F641" s="160"/>
      <c r="N641" s="158"/>
    </row>
    <row r="642">
      <c r="E642" s="158"/>
      <c r="F642" s="160"/>
      <c r="N642" s="158"/>
    </row>
    <row r="643">
      <c r="E643" s="158"/>
      <c r="F643" s="160"/>
      <c r="N643" s="158"/>
    </row>
    <row r="644">
      <c r="E644" s="158"/>
      <c r="F644" s="160"/>
      <c r="N644" s="158"/>
    </row>
    <row r="645">
      <c r="E645" s="158"/>
      <c r="F645" s="160"/>
      <c r="N645" s="158"/>
    </row>
    <row r="646">
      <c r="E646" s="158"/>
      <c r="F646" s="160"/>
      <c r="N646" s="158"/>
    </row>
    <row r="647">
      <c r="E647" s="158"/>
      <c r="F647" s="160"/>
      <c r="N647" s="158"/>
    </row>
    <row r="648">
      <c r="E648" s="158"/>
      <c r="F648" s="160"/>
      <c r="N648" s="158"/>
    </row>
    <row r="649">
      <c r="E649" s="158"/>
      <c r="F649" s="160"/>
      <c r="N649" s="158"/>
    </row>
    <row r="650">
      <c r="E650" s="158"/>
      <c r="F650" s="160"/>
      <c r="N650" s="158"/>
    </row>
    <row r="651">
      <c r="E651" s="158"/>
      <c r="F651" s="160"/>
      <c r="N651" s="158"/>
    </row>
    <row r="652">
      <c r="E652" s="158"/>
      <c r="F652" s="160"/>
      <c r="N652" s="158"/>
    </row>
    <row r="653">
      <c r="E653" s="158"/>
      <c r="F653" s="160"/>
      <c r="N653" s="158"/>
    </row>
    <row r="654">
      <c r="E654" s="158"/>
      <c r="F654" s="160"/>
      <c r="N654" s="158"/>
    </row>
    <row r="655">
      <c r="E655" s="158"/>
      <c r="F655" s="160"/>
      <c r="N655" s="158"/>
    </row>
    <row r="656">
      <c r="E656" s="158"/>
      <c r="F656" s="160"/>
      <c r="N656" s="158"/>
    </row>
    <row r="657">
      <c r="E657" s="158"/>
      <c r="F657" s="160"/>
      <c r="N657" s="158"/>
    </row>
    <row r="658">
      <c r="E658" s="158"/>
      <c r="F658" s="160"/>
      <c r="N658" s="158"/>
    </row>
    <row r="659">
      <c r="E659" s="158"/>
      <c r="F659" s="160"/>
      <c r="N659" s="158"/>
    </row>
    <row r="660">
      <c r="E660" s="158"/>
      <c r="F660" s="160"/>
      <c r="N660" s="158"/>
    </row>
    <row r="661">
      <c r="E661" s="158"/>
      <c r="F661" s="160"/>
      <c r="N661" s="158"/>
    </row>
    <row r="662">
      <c r="E662" s="158"/>
      <c r="F662" s="160"/>
      <c r="N662" s="158"/>
    </row>
    <row r="663">
      <c r="E663" s="158"/>
      <c r="F663" s="160"/>
      <c r="N663" s="158"/>
    </row>
    <row r="664">
      <c r="E664" s="158"/>
      <c r="F664" s="160"/>
      <c r="N664" s="158"/>
    </row>
    <row r="665">
      <c r="E665" s="158"/>
      <c r="F665" s="160"/>
      <c r="N665" s="158"/>
    </row>
    <row r="666">
      <c r="E666" s="158"/>
      <c r="F666" s="160"/>
      <c r="N666" s="158"/>
    </row>
    <row r="667">
      <c r="E667" s="158"/>
      <c r="F667" s="160"/>
      <c r="N667" s="158"/>
    </row>
    <row r="668">
      <c r="E668" s="158"/>
      <c r="F668" s="160"/>
      <c r="N668" s="158"/>
    </row>
    <row r="669">
      <c r="E669" s="158"/>
      <c r="F669" s="160"/>
      <c r="N669" s="158"/>
    </row>
    <row r="670">
      <c r="E670" s="158"/>
      <c r="F670" s="160"/>
      <c r="N670" s="158"/>
    </row>
    <row r="671">
      <c r="E671" s="158"/>
      <c r="F671" s="160"/>
      <c r="N671" s="158"/>
    </row>
    <row r="672">
      <c r="E672" s="158"/>
      <c r="F672" s="160"/>
      <c r="N672" s="158"/>
    </row>
    <row r="673">
      <c r="E673" s="158"/>
      <c r="F673" s="160"/>
      <c r="N673" s="158"/>
    </row>
    <row r="674">
      <c r="E674" s="158"/>
      <c r="F674" s="160"/>
      <c r="N674" s="158"/>
    </row>
    <row r="675">
      <c r="E675" s="158"/>
      <c r="F675" s="160"/>
      <c r="N675" s="158"/>
    </row>
    <row r="676">
      <c r="E676" s="158"/>
      <c r="F676" s="160"/>
      <c r="N676" s="158"/>
    </row>
    <row r="677">
      <c r="E677" s="158"/>
      <c r="F677" s="160"/>
      <c r="N677" s="158"/>
    </row>
    <row r="678">
      <c r="E678" s="158"/>
      <c r="F678" s="160"/>
      <c r="N678" s="158"/>
    </row>
    <row r="679">
      <c r="E679" s="158"/>
      <c r="F679" s="160"/>
      <c r="N679" s="158"/>
    </row>
    <row r="680">
      <c r="E680" s="158"/>
      <c r="F680" s="160"/>
      <c r="N680" s="158"/>
    </row>
    <row r="681">
      <c r="E681" s="158"/>
      <c r="F681" s="160"/>
      <c r="N681" s="158"/>
    </row>
    <row r="682">
      <c r="E682" s="158"/>
      <c r="F682" s="160"/>
      <c r="N682" s="158"/>
    </row>
    <row r="683">
      <c r="E683" s="158"/>
      <c r="F683" s="160"/>
      <c r="N683" s="158"/>
    </row>
    <row r="684">
      <c r="E684" s="158"/>
      <c r="F684" s="160"/>
      <c r="N684" s="158"/>
    </row>
    <row r="685">
      <c r="E685" s="158"/>
      <c r="F685" s="160"/>
      <c r="N685" s="158"/>
    </row>
    <row r="686">
      <c r="E686" s="158"/>
      <c r="F686" s="160"/>
      <c r="N686" s="158"/>
    </row>
    <row r="687">
      <c r="E687" s="158"/>
      <c r="F687" s="160"/>
      <c r="N687" s="158"/>
    </row>
    <row r="688">
      <c r="E688" s="158"/>
      <c r="F688" s="160"/>
      <c r="N688" s="158"/>
    </row>
    <row r="689">
      <c r="E689" s="158"/>
      <c r="F689" s="160"/>
      <c r="N689" s="158"/>
    </row>
    <row r="690">
      <c r="E690" s="158"/>
      <c r="F690" s="160"/>
      <c r="N690" s="158"/>
    </row>
    <row r="691">
      <c r="E691" s="158"/>
      <c r="F691" s="160"/>
      <c r="N691" s="158"/>
    </row>
    <row r="692">
      <c r="E692" s="158"/>
      <c r="F692" s="160"/>
      <c r="N692" s="158"/>
    </row>
    <row r="693">
      <c r="E693" s="158"/>
      <c r="F693" s="160"/>
      <c r="N693" s="158"/>
    </row>
    <row r="694">
      <c r="E694" s="158"/>
      <c r="F694" s="160"/>
      <c r="N694" s="158"/>
    </row>
    <row r="695">
      <c r="E695" s="158"/>
      <c r="F695" s="160"/>
      <c r="N695" s="158"/>
    </row>
    <row r="696">
      <c r="E696" s="158"/>
      <c r="F696" s="160"/>
      <c r="N696" s="158"/>
    </row>
    <row r="697">
      <c r="E697" s="158"/>
      <c r="F697" s="160"/>
      <c r="N697" s="158"/>
    </row>
    <row r="698">
      <c r="E698" s="158"/>
      <c r="F698" s="160"/>
      <c r="N698" s="158"/>
    </row>
    <row r="699">
      <c r="E699" s="158"/>
      <c r="F699" s="160"/>
      <c r="N699" s="158"/>
    </row>
    <row r="700">
      <c r="E700" s="158"/>
      <c r="F700" s="160"/>
      <c r="N700" s="158"/>
    </row>
    <row r="701">
      <c r="E701" s="158"/>
      <c r="F701" s="160"/>
      <c r="N701" s="158"/>
    </row>
    <row r="702">
      <c r="E702" s="158"/>
      <c r="F702" s="160"/>
      <c r="N702" s="158"/>
    </row>
    <row r="703">
      <c r="E703" s="158"/>
      <c r="F703" s="160"/>
      <c r="N703" s="158"/>
    </row>
    <row r="704">
      <c r="E704" s="158"/>
      <c r="F704" s="160"/>
      <c r="N704" s="158"/>
    </row>
    <row r="705">
      <c r="E705" s="158"/>
      <c r="F705" s="160"/>
      <c r="N705" s="158"/>
    </row>
    <row r="706">
      <c r="E706" s="158"/>
      <c r="F706" s="160"/>
      <c r="N706" s="158"/>
    </row>
    <row r="707">
      <c r="E707" s="158"/>
      <c r="F707" s="160"/>
      <c r="N707" s="158"/>
    </row>
    <row r="708">
      <c r="E708" s="158"/>
      <c r="F708" s="160"/>
      <c r="N708" s="158"/>
    </row>
    <row r="709">
      <c r="E709" s="158"/>
      <c r="F709" s="160"/>
      <c r="N709" s="158"/>
    </row>
    <row r="710">
      <c r="E710" s="158"/>
      <c r="F710" s="160"/>
      <c r="N710" s="158"/>
    </row>
    <row r="711">
      <c r="E711" s="158"/>
      <c r="F711" s="160"/>
      <c r="N711" s="158"/>
    </row>
    <row r="712">
      <c r="E712" s="158"/>
      <c r="F712" s="160"/>
      <c r="N712" s="158"/>
    </row>
    <row r="713">
      <c r="E713" s="158"/>
      <c r="F713" s="160"/>
      <c r="N713" s="158"/>
    </row>
    <row r="714">
      <c r="E714" s="158"/>
      <c r="F714" s="160"/>
      <c r="N714" s="158"/>
    </row>
    <row r="715">
      <c r="E715" s="158"/>
      <c r="F715" s="160"/>
      <c r="N715" s="158"/>
    </row>
    <row r="716">
      <c r="E716" s="158"/>
      <c r="F716" s="160"/>
      <c r="N716" s="158"/>
    </row>
    <row r="717">
      <c r="E717" s="158"/>
      <c r="F717" s="160"/>
      <c r="N717" s="158"/>
    </row>
    <row r="718">
      <c r="E718" s="158"/>
      <c r="F718" s="160"/>
      <c r="N718" s="158"/>
    </row>
    <row r="719">
      <c r="E719" s="158"/>
      <c r="F719" s="160"/>
      <c r="N719" s="158"/>
    </row>
    <row r="720">
      <c r="E720" s="158"/>
      <c r="F720" s="160"/>
      <c r="N720" s="158"/>
    </row>
    <row r="721">
      <c r="E721" s="158"/>
      <c r="F721" s="160"/>
      <c r="N721" s="158"/>
    </row>
    <row r="722">
      <c r="E722" s="158"/>
      <c r="F722" s="160"/>
      <c r="N722" s="158"/>
    </row>
    <row r="723">
      <c r="E723" s="158"/>
      <c r="F723" s="160"/>
      <c r="N723" s="158"/>
    </row>
    <row r="724">
      <c r="E724" s="158"/>
      <c r="F724" s="160"/>
      <c r="N724" s="158"/>
    </row>
    <row r="725">
      <c r="E725" s="158"/>
      <c r="F725" s="160"/>
      <c r="N725" s="158"/>
    </row>
    <row r="726">
      <c r="E726" s="158"/>
      <c r="F726" s="160"/>
      <c r="N726" s="158"/>
    </row>
    <row r="727">
      <c r="E727" s="158"/>
      <c r="F727" s="160"/>
      <c r="N727" s="158"/>
    </row>
    <row r="728">
      <c r="E728" s="158"/>
      <c r="F728" s="160"/>
      <c r="N728" s="158"/>
    </row>
    <row r="729">
      <c r="E729" s="158"/>
      <c r="F729" s="160"/>
      <c r="N729" s="158"/>
    </row>
    <row r="730">
      <c r="E730" s="158"/>
      <c r="F730" s="160"/>
      <c r="N730" s="158"/>
    </row>
    <row r="731">
      <c r="E731" s="158"/>
      <c r="F731" s="160"/>
      <c r="N731" s="158"/>
    </row>
    <row r="732">
      <c r="E732" s="158"/>
      <c r="F732" s="160"/>
      <c r="N732" s="158"/>
    </row>
    <row r="733">
      <c r="E733" s="158"/>
      <c r="F733" s="160"/>
      <c r="N733" s="158"/>
    </row>
    <row r="734">
      <c r="E734" s="158"/>
      <c r="F734" s="160"/>
      <c r="N734" s="158"/>
    </row>
    <row r="735">
      <c r="E735" s="158"/>
      <c r="F735" s="160"/>
      <c r="N735" s="158"/>
    </row>
    <row r="736">
      <c r="E736" s="158"/>
      <c r="F736" s="160"/>
      <c r="N736" s="158"/>
    </row>
    <row r="737">
      <c r="E737" s="158"/>
      <c r="F737" s="160"/>
      <c r="N737" s="158"/>
    </row>
    <row r="738">
      <c r="E738" s="158"/>
      <c r="F738" s="160"/>
      <c r="N738" s="158"/>
    </row>
    <row r="739">
      <c r="E739" s="158"/>
      <c r="F739" s="160"/>
      <c r="N739" s="158"/>
    </row>
    <row r="740">
      <c r="E740" s="158"/>
      <c r="F740" s="160"/>
      <c r="N740" s="158"/>
    </row>
    <row r="741">
      <c r="E741" s="158"/>
      <c r="F741" s="160"/>
      <c r="N741" s="158"/>
    </row>
    <row r="742">
      <c r="E742" s="158"/>
      <c r="F742" s="160"/>
      <c r="N742" s="158"/>
    </row>
    <row r="743">
      <c r="E743" s="158"/>
      <c r="F743" s="160"/>
      <c r="N743" s="158"/>
    </row>
    <row r="744">
      <c r="E744" s="158"/>
      <c r="F744" s="160"/>
      <c r="N744" s="158"/>
    </row>
    <row r="745">
      <c r="E745" s="158"/>
      <c r="F745" s="160"/>
      <c r="N745" s="158"/>
    </row>
    <row r="746">
      <c r="E746" s="158"/>
      <c r="F746" s="160"/>
      <c r="N746" s="158"/>
    </row>
    <row r="747">
      <c r="E747" s="158"/>
      <c r="F747" s="160"/>
      <c r="N747" s="158"/>
    </row>
    <row r="748">
      <c r="E748" s="158"/>
      <c r="F748" s="160"/>
      <c r="N748" s="158"/>
    </row>
    <row r="749">
      <c r="E749" s="158"/>
      <c r="F749" s="160"/>
      <c r="N749" s="158"/>
    </row>
    <row r="750">
      <c r="E750" s="158"/>
      <c r="F750" s="160"/>
      <c r="N750" s="158"/>
    </row>
    <row r="751">
      <c r="E751" s="158"/>
      <c r="F751" s="160"/>
      <c r="N751" s="158"/>
    </row>
    <row r="752">
      <c r="E752" s="158"/>
      <c r="F752" s="160"/>
      <c r="N752" s="158"/>
    </row>
    <row r="753">
      <c r="E753" s="158"/>
      <c r="F753" s="160"/>
      <c r="N753" s="158"/>
    </row>
    <row r="754">
      <c r="E754" s="158"/>
      <c r="F754" s="160"/>
      <c r="N754" s="158"/>
    </row>
    <row r="755">
      <c r="E755" s="158"/>
      <c r="F755" s="160"/>
      <c r="N755" s="158"/>
    </row>
    <row r="756">
      <c r="E756" s="158"/>
      <c r="F756" s="160"/>
      <c r="N756" s="158"/>
    </row>
    <row r="757">
      <c r="E757" s="158"/>
      <c r="F757" s="160"/>
      <c r="N757" s="158"/>
    </row>
    <row r="758">
      <c r="E758" s="158"/>
      <c r="F758" s="160"/>
      <c r="N758" s="158"/>
    </row>
    <row r="759">
      <c r="E759" s="158"/>
      <c r="F759" s="160"/>
      <c r="N759" s="158"/>
    </row>
    <row r="760">
      <c r="E760" s="158"/>
      <c r="F760" s="160"/>
      <c r="N760" s="158"/>
    </row>
    <row r="761">
      <c r="E761" s="158"/>
      <c r="F761" s="160"/>
      <c r="N761" s="158"/>
    </row>
    <row r="762">
      <c r="E762" s="158"/>
      <c r="F762" s="160"/>
      <c r="N762" s="158"/>
    </row>
    <row r="763">
      <c r="E763" s="158"/>
      <c r="F763" s="160"/>
      <c r="N763" s="158"/>
    </row>
    <row r="764">
      <c r="E764" s="158"/>
      <c r="F764" s="160"/>
      <c r="N764" s="158"/>
    </row>
    <row r="765">
      <c r="E765" s="158"/>
      <c r="F765" s="160"/>
      <c r="N765" s="158"/>
    </row>
    <row r="766">
      <c r="E766" s="158"/>
      <c r="F766" s="160"/>
      <c r="N766" s="158"/>
    </row>
    <row r="767">
      <c r="E767" s="158"/>
      <c r="F767" s="160"/>
      <c r="N767" s="158"/>
    </row>
    <row r="768">
      <c r="E768" s="158"/>
      <c r="F768" s="160"/>
      <c r="N768" s="158"/>
    </row>
    <row r="769">
      <c r="E769" s="158"/>
      <c r="F769" s="160"/>
      <c r="N769" s="158"/>
    </row>
    <row r="770">
      <c r="E770" s="158"/>
      <c r="F770" s="160"/>
      <c r="N770" s="158"/>
    </row>
    <row r="771">
      <c r="E771" s="158"/>
      <c r="F771" s="160"/>
      <c r="N771" s="158"/>
    </row>
    <row r="772">
      <c r="E772" s="158"/>
      <c r="F772" s="160"/>
      <c r="N772" s="158"/>
    </row>
    <row r="773">
      <c r="E773" s="158"/>
      <c r="F773" s="160"/>
      <c r="N773" s="158"/>
    </row>
    <row r="774">
      <c r="E774" s="158"/>
      <c r="F774" s="160"/>
      <c r="N774" s="158"/>
    </row>
    <row r="775">
      <c r="E775" s="158"/>
      <c r="F775" s="160"/>
      <c r="N775" s="158"/>
    </row>
    <row r="776">
      <c r="E776" s="158"/>
      <c r="F776" s="160"/>
      <c r="N776" s="158"/>
    </row>
    <row r="777">
      <c r="E777" s="158"/>
      <c r="F777" s="160"/>
      <c r="N777" s="158"/>
    </row>
    <row r="778">
      <c r="E778" s="158"/>
      <c r="F778" s="160"/>
      <c r="N778" s="158"/>
    </row>
    <row r="779">
      <c r="E779" s="158"/>
      <c r="F779" s="160"/>
      <c r="N779" s="158"/>
    </row>
    <row r="780">
      <c r="E780" s="158"/>
      <c r="F780" s="160"/>
      <c r="N780" s="158"/>
    </row>
    <row r="781">
      <c r="E781" s="158"/>
      <c r="F781" s="160"/>
      <c r="N781" s="158"/>
    </row>
    <row r="782">
      <c r="E782" s="158"/>
      <c r="F782" s="160"/>
      <c r="N782" s="158"/>
    </row>
    <row r="783">
      <c r="E783" s="158"/>
      <c r="F783" s="160"/>
      <c r="N783" s="158"/>
    </row>
    <row r="784">
      <c r="E784" s="158"/>
      <c r="F784" s="160"/>
      <c r="N784" s="158"/>
    </row>
    <row r="785">
      <c r="E785" s="158"/>
      <c r="F785" s="160"/>
      <c r="N785" s="158"/>
    </row>
    <row r="786">
      <c r="E786" s="158"/>
      <c r="F786" s="160"/>
      <c r="N786" s="158"/>
    </row>
    <row r="787">
      <c r="E787" s="158"/>
      <c r="F787" s="160"/>
      <c r="N787" s="158"/>
    </row>
    <row r="788">
      <c r="E788" s="158"/>
      <c r="F788" s="160"/>
      <c r="N788" s="158"/>
    </row>
    <row r="789">
      <c r="E789" s="158"/>
      <c r="F789" s="160"/>
      <c r="N789" s="158"/>
    </row>
    <row r="790">
      <c r="E790" s="158"/>
      <c r="F790" s="160"/>
      <c r="N790" s="158"/>
    </row>
    <row r="791">
      <c r="E791" s="158"/>
      <c r="F791" s="160"/>
      <c r="N791" s="158"/>
    </row>
    <row r="792">
      <c r="E792" s="158"/>
      <c r="F792" s="160"/>
      <c r="N792" s="158"/>
    </row>
    <row r="793">
      <c r="E793" s="158"/>
      <c r="F793" s="160"/>
      <c r="N793" s="158"/>
    </row>
    <row r="794">
      <c r="E794" s="158"/>
      <c r="F794" s="160"/>
      <c r="N794" s="158"/>
    </row>
    <row r="795">
      <c r="E795" s="158"/>
      <c r="F795" s="160"/>
      <c r="N795" s="158"/>
    </row>
    <row r="796">
      <c r="E796" s="158"/>
      <c r="F796" s="160"/>
      <c r="N796" s="158"/>
    </row>
    <row r="797">
      <c r="E797" s="158"/>
      <c r="F797" s="160"/>
      <c r="N797" s="158"/>
    </row>
    <row r="798">
      <c r="E798" s="158"/>
      <c r="F798" s="160"/>
      <c r="N798" s="158"/>
    </row>
    <row r="799">
      <c r="E799" s="158"/>
      <c r="F799" s="160"/>
      <c r="N799" s="158"/>
    </row>
    <row r="800">
      <c r="E800" s="158"/>
      <c r="F800" s="160"/>
      <c r="N800" s="158"/>
    </row>
    <row r="801">
      <c r="E801" s="158"/>
      <c r="F801" s="160"/>
      <c r="N801" s="158"/>
    </row>
    <row r="802">
      <c r="E802" s="158"/>
      <c r="F802" s="160"/>
      <c r="N802" s="158"/>
    </row>
    <row r="803">
      <c r="E803" s="158"/>
      <c r="F803" s="160"/>
      <c r="N803" s="158"/>
    </row>
    <row r="804">
      <c r="E804" s="158"/>
      <c r="F804" s="160"/>
      <c r="N804" s="158"/>
    </row>
    <row r="805">
      <c r="E805" s="158"/>
      <c r="F805" s="160"/>
      <c r="N805" s="158"/>
    </row>
    <row r="806">
      <c r="E806" s="158"/>
      <c r="F806" s="160"/>
      <c r="N806" s="158"/>
    </row>
    <row r="807">
      <c r="E807" s="158"/>
      <c r="F807" s="160"/>
      <c r="N807" s="158"/>
    </row>
    <row r="808">
      <c r="E808" s="158"/>
      <c r="F808" s="160"/>
      <c r="N808" s="158"/>
    </row>
    <row r="809">
      <c r="E809" s="158"/>
      <c r="F809" s="160"/>
      <c r="N809" s="158"/>
    </row>
    <row r="810">
      <c r="E810" s="158"/>
      <c r="F810" s="160"/>
      <c r="N810" s="158"/>
    </row>
    <row r="811">
      <c r="E811" s="158"/>
      <c r="F811" s="160"/>
      <c r="N811" s="158"/>
    </row>
    <row r="812">
      <c r="E812" s="158"/>
      <c r="F812" s="160"/>
      <c r="N812" s="158"/>
    </row>
    <row r="813">
      <c r="E813" s="158"/>
      <c r="F813" s="160"/>
      <c r="N813" s="158"/>
    </row>
    <row r="814">
      <c r="E814" s="158"/>
      <c r="F814" s="160"/>
      <c r="N814" s="158"/>
    </row>
    <row r="815">
      <c r="E815" s="158"/>
      <c r="F815" s="160"/>
      <c r="N815" s="158"/>
    </row>
    <row r="816">
      <c r="E816" s="158"/>
      <c r="F816" s="160"/>
      <c r="N816" s="158"/>
    </row>
    <row r="817">
      <c r="E817" s="158"/>
      <c r="F817" s="160"/>
      <c r="N817" s="158"/>
    </row>
    <row r="818">
      <c r="E818" s="158"/>
      <c r="F818" s="160"/>
      <c r="N818" s="158"/>
    </row>
    <row r="819">
      <c r="E819" s="158"/>
      <c r="F819" s="160"/>
      <c r="N819" s="158"/>
    </row>
    <row r="820">
      <c r="E820" s="158"/>
      <c r="F820" s="160"/>
      <c r="N820" s="158"/>
    </row>
    <row r="821">
      <c r="E821" s="158"/>
      <c r="F821" s="160"/>
      <c r="N821" s="158"/>
    </row>
    <row r="822">
      <c r="E822" s="158"/>
      <c r="F822" s="160"/>
      <c r="N822" s="158"/>
    </row>
    <row r="823">
      <c r="E823" s="158"/>
      <c r="F823" s="160"/>
      <c r="N823" s="158"/>
    </row>
    <row r="824">
      <c r="E824" s="158"/>
      <c r="F824" s="160"/>
      <c r="N824" s="158"/>
    </row>
    <row r="825">
      <c r="E825" s="158"/>
      <c r="F825" s="160"/>
      <c r="N825" s="158"/>
    </row>
    <row r="826">
      <c r="E826" s="158"/>
      <c r="F826" s="160"/>
      <c r="N826" s="158"/>
    </row>
    <row r="827">
      <c r="E827" s="158"/>
      <c r="F827" s="160"/>
      <c r="N827" s="158"/>
    </row>
    <row r="828">
      <c r="E828" s="158"/>
      <c r="F828" s="160"/>
      <c r="N828" s="158"/>
    </row>
    <row r="829">
      <c r="E829" s="158"/>
      <c r="F829" s="160"/>
      <c r="N829" s="158"/>
    </row>
    <row r="830">
      <c r="E830" s="158"/>
      <c r="F830" s="160"/>
      <c r="N830" s="158"/>
    </row>
    <row r="831">
      <c r="E831" s="158"/>
      <c r="F831" s="160"/>
      <c r="N831" s="158"/>
    </row>
    <row r="832">
      <c r="E832" s="158"/>
      <c r="F832" s="160"/>
      <c r="N832" s="158"/>
    </row>
    <row r="833">
      <c r="E833" s="158"/>
      <c r="F833" s="160"/>
      <c r="N833" s="158"/>
    </row>
    <row r="834">
      <c r="E834" s="158"/>
      <c r="F834" s="160"/>
      <c r="N834" s="158"/>
    </row>
    <row r="835">
      <c r="E835" s="158"/>
      <c r="F835" s="160"/>
      <c r="N835" s="158"/>
    </row>
    <row r="836">
      <c r="E836" s="158"/>
      <c r="F836" s="160"/>
      <c r="N836" s="158"/>
    </row>
    <row r="837">
      <c r="E837" s="158"/>
      <c r="F837" s="160"/>
      <c r="N837" s="158"/>
    </row>
    <row r="838">
      <c r="E838" s="158"/>
      <c r="F838" s="160"/>
      <c r="N838" s="158"/>
    </row>
    <row r="839">
      <c r="E839" s="158"/>
      <c r="F839" s="160"/>
      <c r="N839" s="158"/>
    </row>
    <row r="840">
      <c r="E840" s="158"/>
      <c r="F840" s="160"/>
      <c r="N840" s="158"/>
    </row>
    <row r="841">
      <c r="E841" s="158"/>
      <c r="F841" s="160"/>
      <c r="N841" s="158"/>
    </row>
    <row r="842">
      <c r="E842" s="158"/>
      <c r="F842" s="160"/>
      <c r="N842" s="158"/>
    </row>
    <row r="843">
      <c r="E843" s="158"/>
      <c r="F843" s="160"/>
      <c r="N843" s="158"/>
    </row>
    <row r="844">
      <c r="E844" s="158"/>
      <c r="F844" s="160"/>
      <c r="N844" s="158"/>
    </row>
    <row r="845">
      <c r="E845" s="158"/>
      <c r="F845" s="160"/>
      <c r="N845" s="158"/>
    </row>
    <row r="846">
      <c r="E846" s="158"/>
      <c r="F846" s="160"/>
      <c r="N846" s="158"/>
    </row>
    <row r="847">
      <c r="E847" s="158"/>
      <c r="F847" s="160"/>
      <c r="N847" s="158"/>
    </row>
    <row r="848">
      <c r="E848" s="158"/>
      <c r="F848" s="160"/>
      <c r="N848" s="158"/>
    </row>
    <row r="849">
      <c r="E849" s="158"/>
      <c r="F849" s="160"/>
      <c r="N849" s="158"/>
    </row>
    <row r="850">
      <c r="E850" s="158"/>
      <c r="F850" s="160"/>
      <c r="N850" s="158"/>
    </row>
    <row r="851">
      <c r="E851" s="158"/>
      <c r="F851" s="160"/>
      <c r="N851" s="158"/>
    </row>
    <row r="852">
      <c r="E852" s="158"/>
      <c r="F852" s="160"/>
      <c r="N852" s="158"/>
    </row>
    <row r="853">
      <c r="E853" s="158"/>
      <c r="F853" s="160"/>
      <c r="N853" s="158"/>
    </row>
    <row r="854">
      <c r="E854" s="158"/>
      <c r="F854" s="160"/>
      <c r="N854" s="158"/>
    </row>
    <row r="855">
      <c r="E855" s="158"/>
      <c r="F855" s="160"/>
      <c r="N855" s="158"/>
    </row>
    <row r="856">
      <c r="E856" s="158"/>
      <c r="F856" s="160"/>
      <c r="N856" s="158"/>
    </row>
    <row r="857">
      <c r="E857" s="158"/>
      <c r="F857" s="160"/>
      <c r="N857" s="158"/>
    </row>
    <row r="858">
      <c r="E858" s="158"/>
      <c r="F858" s="160"/>
      <c r="N858" s="158"/>
    </row>
    <row r="859">
      <c r="E859" s="158"/>
      <c r="F859" s="160"/>
      <c r="N859" s="158"/>
    </row>
    <row r="860">
      <c r="E860" s="158"/>
      <c r="F860" s="160"/>
      <c r="N860" s="158"/>
    </row>
    <row r="861">
      <c r="E861" s="158"/>
      <c r="F861" s="160"/>
      <c r="N861" s="158"/>
    </row>
    <row r="862">
      <c r="E862" s="158"/>
      <c r="F862" s="160"/>
      <c r="N862" s="158"/>
    </row>
    <row r="863">
      <c r="E863" s="158"/>
      <c r="F863" s="160"/>
      <c r="N863" s="158"/>
    </row>
    <row r="864">
      <c r="E864" s="158"/>
      <c r="F864" s="160"/>
      <c r="N864" s="158"/>
    </row>
    <row r="865">
      <c r="E865" s="158"/>
      <c r="F865" s="160"/>
      <c r="N865" s="158"/>
    </row>
    <row r="866">
      <c r="E866" s="158"/>
      <c r="F866" s="160"/>
      <c r="N866" s="158"/>
    </row>
    <row r="867">
      <c r="E867" s="158"/>
      <c r="F867" s="160"/>
      <c r="N867" s="158"/>
    </row>
    <row r="868">
      <c r="E868" s="158"/>
      <c r="F868" s="160"/>
      <c r="N868" s="158"/>
    </row>
    <row r="869">
      <c r="E869" s="158"/>
      <c r="F869" s="160"/>
      <c r="N869" s="158"/>
    </row>
    <row r="870">
      <c r="E870" s="158"/>
      <c r="F870" s="160"/>
      <c r="N870" s="158"/>
    </row>
    <row r="871">
      <c r="E871" s="158"/>
      <c r="F871" s="160"/>
      <c r="N871" s="158"/>
    </row>
    <row r="872">
      <c r="E872" s="158"/>
      <c r="F872" s="160"/>
      <c r="N872" s="158"/>
    </row>
    <row r="873">
      <c r="E873" s="158"/>
      <c r="F873" s="160"/>
      <c r="N873" s="158"/>
    </row>
    <row r="874">
      <c r="E874" s="158"/>
      <c r="F874" s="160"/>
      <c r="N874" s="158"/>
    </row>
    <row r="875">
      <c r="E875" s="158"/>
      <c r="F875" s="160"/>
      <c r="N875" s="158"/>
    </row>
    <row r="876">
      <c r="E876" s="158"/>
      <c r="F876" s="160"/>
      <c r="N876" s="158"/>
    </row>
    <row r="877">
      <c r="E877" s="158"/>
      <c r="F877" s="160"/>
      <c r="N877" s="158"/>
    </row>
    <row r="878">
      <c r="E878" s="158"/>
      <c r="F878" s="160"/>
      <c r="N878" s="158"/>
    </row>
    <row r="879">
      <c r="E879" s="158"/>
      <c r="F879" s="160"/>
      <c r="N879" s="158"/>
    </row>
    <row r="880">
      <c r="E880" s="158"/>
      <c r="F880" s="160"/>
      <c r="N880" s="158"/>
    </row>
    <row r="881">
      <c r="E881" s="158"/>
      <c r="F881" s="160"/>
      <c r="N881" s="158"/>
    </row>
    <row r="882">
      <c r="E882" s="158"/>
      <c r="F882" s="160"/>
      <c r="N882" s="158"/>
    </row>
    <row r="883">
      <c r="E883" s="158"/>
      <c r="F883" s="160"/>
      <c r="N883" s="158"/>
    </row>
    <row r="884">
      <c r="E884" s="158"/>
      <c r="F884" s="160"/>
      <c r="N884" s="158"/>
    </row>
    <row r="885">
      <c r="E885" s="158"/>
      <c r="F885" s="160"/>
      <c r="N885" s="158"/>
    </row>
    <row r="886">
      <c r="E886" s="158"/>
      <c r="F886" s="160"/>
      <c r="N886" s="158"/>
    </row>
    <row r="887">
      <c r="E887" s="158"/>
      <c r="F887" s="160"/>
      <c r="N887" s="158"/>
    </row>
    <row r="888">
      <c r="E888" s="158"/>
      <c r="F888" s="160"/>
      <c r="N888" s="158"/>
    </row>
    <row r="889">
      <c r="E889" s="158"/>
      <c r="F889" s="160"/>
      <c r="N889" s="158"/>
    </row>
    <row r="890">
      <c r="E890" s="158"/>
      <c r="F890" s="160"/>
      <c r="N890" s="158"/>
    </row>
    <row r="891">
      <c r="E891" s="158"/>
      <c r="F891" s="160"/>
      <c r="N891" s="158"/>
    </row>
    <row r="892">
      <c r="E892" s="158"/>
      <c r="F892" s="160"/>
      <c r="N892" s="158"/>
    </row>
    <row r="893">
      <c r="E893" s="158"/>
      <c r="F893" s="160"/>
      <c r="N893" s="158"/>
    </row>
    <row r="894">
      <c r="E894" s="158"/>
      <c r="F894" s="160"/>
      <c r="N894" s="158"/>
    </row>
    <row r="895">
      <c r="E895" s="158"/>
      <c r="F895" s="160"/>
      <c r="N895" s="158"/>
    </row>
    <row r="896">
      <c r="E896" s="158"/>
      <c r="F896" s="160"/>
      <c r="N896" s="158"/>
    </row>
    <row r="897">
      <c r="E897" s="158"/>
      <c r="F897" s="160"/>
      <c r="N897" s="158"/>
    </row>
    <row r="898">
      <c r="E898" s="158"/>
      <c r="F898" s="160"/>
      <c r="N898" s="158"/>
    </row>
    <row r="899">
      <c r="E899" s="158"/>
      <c r="F899" s="160"/>
      <c r="N899" s="158"/>
    </row>
    <row r="900">
      <c r="E900" s="158"/>
      <c r="F900" s="160"/>
      <c r="N900" s="158"/>
    </row>
    <row r="901">
      <c r="E901" s="158"/>
      <c r="F901" s="160"/>
      <c r="N901" s="158"/>
    </row>
    <row r="902">
      <c r="E902" s="158"/>
      <c r="F902" s="160"/>
      <c r="N902" s="158"/>
    </row>
    <row r="903">
      <c r="E903" s="158"/>
      <c r="F903" s="160"/>
      <c r="N903" s="158"/>
    </row>
    <row r="904">
      <c r="E904" s="158"/>
      <c r="F904" s="160"/>
      <c r="N904" s="158"/>
    </row>
    <row r="905">
      <c r="E905" s="158"/>
      <c r="F905" s="160"/>
      <c r="N905" s="158"/>
    </row>
    <row r="906">
      <c r="E906" s="158"/>
      <c r="F906" s="160"/>
      <c r="N906" s="158"/>
    </row>
    <row r="907">
      <c r="E907" s="158"/>
      <c r="F907" s="160"/>
      <c r="N907" s="158"/>
    </row>
    <row r="908">
      <c r="E908" s="158"/>
      <c r="F908" s="160"/>
      <c r="N908" s="158"/>
    </row>
    <row r="909">
      <c r="E909" s="158"/>
      <c r="F909" s="160"/>
      <c r="N909" s="158"/>
    </row>
    <row r="910">
      <c r="E910" s="158"/>
      <c r="F910" s="160"/>
      <c r="N910" s="158"/>
    </row>
    <row r="911">
      <c r="E911" s="158"/>
      <c r="F911" s="160"/>
      <c r="N911" s="158"/>
    </row>
    <row r="912">
      <c r="E912" s="158"/>
      <c r="F912" s="160"/>
      <c r="N912" s="158"/>
    </row>
    <row r="913">
      <c r="E913" s="158"/>
      <c r="F913" s="160"/>
      <c r="N913" s="158"/>
    </row>
    <row r="914">
      <c r="E914" s="158"/>
      <c r="F914" s="160"/>
      <c r="N914" s="158"/>
    </row>
    <row r="915">
      <c r="E915" s="158"/>
      <c r="F915" s="160"/>
      <c r="N915" s="158"/>
    </row>
    <row r="916">
      <c r="E916" s="158"/>
      <c r="F916" s="160"/>
      <c r="N916" s="158"/>
    </row>
    <row r="917">
      <c r="E917" s="158"/>
      <c r="F917" s="160"/>
      <c r="N917" s="158"/>
    </row>
    <row r="918">
      <c r="E918" s="158"/>
      <c r="F918" s="160"/>
      <c r="N918" s="158"/>
    </row>
    <row r="919">
      <c r="E919" s="158"/>
      <c r="F919" s="160"/>
      <c r="N919" s="158"/>
    </row>
    <row r="920">
      <c r="E920" s="158"/>
      <c r="F920" s="160"/>
      <c r="N920" s="158"/>
    </row>
    <row r="921">
      <c r="E921" s="158"/>
      <c r="F921" s="160"/>
      <c r="N921" s="158"/>
    </row>
    <row r="922">
      <c r="E922" s="158"/>
      <c r="F922" s="160"/>
      <c r="N922" s="158"/>
    </row>
    <row r="923">
      <c r="E923" s="158"/>
      <c r="F923" s="160"/>
      <c r="N923" s="158"/>
    </row>
    <row r="924">
      <c r="E924" s="158"/>
      <c r="F924" s="160"/>
      <c r="N924" s="158"/>
    </row>
    <row r="925">
      <c r="E925" s="158"/>
      <c r="F925" s="160"/>
      <c r="N925" s="158"/>
    </row>
    <row r="926">
      <c r="E926" s="158"/>
      <c r="F926" s="160"/>
      <c r="N926" s="158"/>
    </row>
    <row r="927">
      <c r="E927" s="158"/>
      <c r="F927" s="160"/>
      <c r="N927" s="158"/>
    </row>
    <row r="928">
      <c r="E928" s="158"/>
      <c r="F928" s="160"/>
      <c r="N928" s="158"/>
    </row>
    <row r="929">
      <c r="E929" s="158"/>
      <c r="F929" s="160"/>
      <c r="N929" s="158"/>
    </row>
    <row r="930">
      <c r="E930" s="158"/>
      <c r="F930" s="160"/>
      <c r="N930" s="158"/>
    </row>
    <row r="931">
      <c r="E931" s="158"/>
      <c r="F931" s="160"/>
      <c r="N931" s="158"/>
    </row>
    <row r="932">
      <c r="E932" s="158"/>
      <c r="F932" s="160"/>
      <c r="N932" s="158"/>
    </row>
    <row r="933">
      <c r="E933" s="158"/>
      <c r="F933" s="160"/>
      <c r="N933" s="158"/>
    </row>
    <row r="934">
      <c r="E934" s="158"/>
      <c r="F934" s="160"/>
      <c r="N934" s="158"/>
    </row>
    <row r="935">
      <c r="E935" s="158"/>
      <c r="F935" s="160"/>
      <c r="N935" s="158"/>
    </row>
    <row r="936">
      <c r="E936" s="158"/>
      <c r="F936" s="160"/>
      <c r="N936" s="158"/>
    </row>
    <row r="937">
      <c r="E937" s="158"/>
      <c r="F937" s="160"/>
      <c r="N937" s="158"/>
    </row>
    <row r="938">
      <c r="E938" s="158"/>
      <c r="F938" s="160"/>
      <c r="N938" s="158"/>
    </row>
    <row r="939">
      <c r="E939" s="158"/>
      <c r="F939" s="160"/>
      <c r="N939" s="158"/>
    </row>
    <row r="940">
      <c r="E940" s="158"/>
      <c r="F940" s="160"/>
      <c r="N940" s="158"/>
    </row>
    <row r="941">
      <c r="E941" s="158"/>
      <c r="F941" s="160"/>
      <c r="N941" s="158"/>
    </row>
    <row r="942">
      <c r="E942" s="158"/>
      <c r="F942" s="160"/>
      <c r="N942" s="158"/>
    </row>
    <row r="943">
      <c r="E943" s="158"/>
      <c r="F943" s="160"/>
      <c r="N943" s="158"/>
    </row>
    <row r="944">
      <c r="E944" s="158"/>
      <c r="F944" s="160"/>
      <c r="N944" s="158"/>
    </row>
    <row r="945">
      <c r="E945" s="158"/>
      <c r="F945" s="160"/>
      <c r="N945" s="158"/>
    </row>
    <row r="946">
      <c r="E946" s="158"/>
      <c r="F946" s="160"/>
      <c r="N946" s="158"/>
    </row>
    <row r="947">
      <c r="E947" s="158"/>
      <c r="F947" s="160"/>
      <c r="N947" s="158"/>
    </row>
    <row r="948">
      <c r="E948" s="158"/>
      <c r="F948" s="160"/>
      <c r="N948" s="158"/>
    </row>
    <row r="949">
      <c r="E949" s="158"/>
      <c r="F949" s="160"/>
      <c r="N949" s="158"/>
    </row>
    <row r="950">
      <c r="E950" s="158"/>
      <c r="F950" s="160"/>
      <c r="N950" s="158"/>
    </row>
    <row r="951">
      <c r="E951" s="158"/>
      <c r="F951" s="160"/>
      <c r="N951" s="158"/>
    </row>
    <row r="952">
      <c r="E952" s="158"/>
      <c r="F952" s="160"/>
      <c r="N952" s="158"/>
    </row>
    <row r="953">
      <c r="E953" s="158"/>
      <c r="F953" s="160"/>
      <c r="N953" s="158"/>
    </row>
    <row r="954">
      <c r="E954" s="158"/>
      <c r="F954" s="160"/>
      <c r="N954" s="158"/>
    </row>
    <row r="955">
      <c r="E955" s="158"/>
      <c r="F955" s="160"/>
      <c r="N955" s="158"/>
    </row>
    <row r="956">
      <c r="E956" s="158"/>
      <c r="F956" s="160"/>
      <c r="N956" s="158"/>
    </row>
    <row r="957">
      <c r="E957" s="158"/>
      <c r="F957" s="160"/>
      <c r="N957" s="158"/>
    </row>
    <row r="958">
      <c r="E958" s="158"/>
      <c r="F958" s="160"/>
      <c r="N958" s="158"/>
    </row>
    <row r="959">
      <c r="E959" s="158"/>
      <c r="F959" s="160"/>
      <c r="N959" s="158"/>
    </row>
    <row r="960">
      <c r="E960" s="158"/>
      <c r="F960" s="160"/>
      <c r="N960" s="158"/>
    </row>
    <row r="961">
      <c r="E961" s="158"/>
      <c r="F961" s="160"/>
      <c r="N961" s="158"/>
    </row>
    <row r="962">
      <c r="E962" s="158"/>
      <c r="F962" s="160"/>
      <c r="N962" s="158"/>
    </row>
    <row r="963">
      <c r="E963" s="158"/>
      <c r="F963" s="160"/>
      <c r="N963" s="158"/>
    </row>
    <row r="964">
      <c r="E964" s="158"/>
      <c r="F964" s="160"/>
      <c r="N964" s="158"/>
    </row>
    <row r="965">
      <c r="E965" s="158"/>
      <c r="F965" s="160"/>
      <c r="N965" s="158"/>
    </row>
    <row r="966">
      <c r="E966" s="158"/>
      <c r="F966" s="160"/>
      <c r="N966" s="158"/>
    </row>
    <row r="967">
      <c r="E967" s="158"/>
      <c r="F967" s="160"/>
      <c r="N967" s="158"/>
    </row>
    <row r="968">
      <c r="E968" s="158"/>
      <c r="F968" s="160"/>
      <c r="N968" s="158"/>
    </row>
    <row r="969">
      <c r="E969" s="158"/>
      <c r="F969" s="160"/>
      <c r="N969" s="158"/>
    </row>
    <row r="970">
      <c r="E970" s="158"/>
      <c r="F970" s="160"/>
      <c r="N970" s="158"/>
    </row>
    <row r="971">
      <c r="E971" s="158"/>
      <c r="F971" s="160"/>
      <c r="N971" s="158"/>
    </row>
    <row r="972">
      <c r="E972" s="158"/>
      <c r="F972" s="160"/>
      <c r="N972" s="158"/>
    </row>
    <row r="973">
      <c r="E973" s="158"/>
      <c r="F973" s="160"/>
      <c r="N973" s="158"/>
    </row>
    <row r="974">
      <c r="E974" s="158"/>
      <c r="F974" s="160"/>
      <c r="N974" s="158"/>
    </row>
    <row r="975">
      <c r="E975" s="158"/>
      <c r="F975" s="160"/>
      <c r="N975" s="158"/>
    </row>
    <row r="976">
      <c r="E976" s="158"/>
      <c r="F976" s="160"/>
      <c r="N976" s="158"/>
    </row>
    <row r="977">
      <c r="E977" s="158"/>
      <c r="F977" s="160"/>
      <c r="N977" s="158"/>
    </row>
    <row r="978">
      <c r="E978" s="158"/>
      <c r="F978" s="160"/>
      <c r="N978" s="158"/>
    </row>
    <row r="979">
      <c r="E979" s="158"/>
      <c r="F979" s="160"/>
      <c r="N979" s="158"/>
    </row>
    <row r="980">
      <c r="E980" s="158"/>
      <c r="F980" s="160"/>
      <c r="N980" s="158"/>
    </row>
    <row r="981">
      <c r="E981" s="158"/>
      <c r="F981" s="160"/>
      <c r="N981" s="158"/>
    </row>
    <row r="982">
      <c r="E982" s="158"/>
      <c r="F982" s="160"/>
      <c r="N982" s="158"/>
    </row>
    <row r="983">
      <c r="E983" s="158"/>
      <c r="F983" s="160"/>
      <c r="N983" s="158"/>
    </row>
    <row r="984">
      <c r="E984" s="158"/>
      <c r="F984" s="160"/>
      <c r="N984" s="158"/>
    </row>
    <row r="985">
      <c r="E985" s="158"/>
      <c r="F985" s="160"/>
      <c r="N985" s="158"/>
    </row>
    <row r="986">
      <c r="E986" s="158"/>
      <c r="F986" s="160"/>
      <c r="N986" s="158"/>
    </row>
    <row r="987">
      <c r="E987" s="158"/>
      <c r="F987" s="160"/>
      <c r="N987" s="158"/>
    </row>
    <row r="988">
      <c r="E988" s="158"/>
      <c r="F988" s="160"/>
      <c r="N988" s="158"/>
    </row>
    <row r="989">
      <c r="E989" s="158"/>
      <c r="F989" s="160"/>
      <c r="N989" s="158"/>
    </row>
    <row r="990">
      <c r="E990" s="158"/>
      <c r="F990" s="160"/>
      <c r="N990" s="158"/>
    </row>
    <row r="991">
      <c r="E991" s="158"/>
      <c r="F991" s="160"/>
      <c r="N991" s="158"/>
    </row>
    <row r="992">
      <c r="E992" s="158"/>
      <c r="F992" s="160"/>
      <c r="N992" s="158"/>
    </row>
    <row r="993">
      <c r="E993" s="158"/>
      <c r="F993" s="160"/>
      <c r="N993" s="158"/>
    </row>
    <row r="994">
      <c r="E994" s="158"/>
      <c r="F994" s="160"/>
      <c r="N994" s="158"/>
    </row>
    <row r="995">
      <c r="E995" s="158"/>
      <c r="F995" s="160"/>
      <c r="N995" s="158"/>
    </row>
    <row r="996">
      <c r="E996" s="158"/>
      <c r="F996" s="160"/>
      <c r="N996" s="158"/>
    </row>
    <row r="997">
      <c r="E997" s="158"/>
      <c r="F997" s="160"/>
      <c r="N997" s="158"/>
    </row>
    <row r="998">
      <c r="E998" s="158"/>
      <c r="F998" s="160"/>
      <c r="N998" s="158"/>
    </row>
    <row r="999">
      <c r="E999" s="158"/>
      <c r="F999" s="160"/>
      <c r="N999" s="158"/>
    </row>
    <row r="1000">
      <c r="E1000" s="158"/>
      <c r="F1000" s="160"/>
      <c r="N1000" s="15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0"/>
    <col customWidth="1" min="3" max="3" width="12.38"/>
    <col customWidth="1" min="4" max="4" width="18.88"/>
    <col customWidth="1" min="5" max="5" width="32.25"/>
    <col customWidth="1" min="6" max="7" width="18.88"/>
    <col customWidth="1" min="8" max="8" width="19.63"/>
    <col customWidth="1" min="9" max="12" width="18.88"/>
    <col customWidth="1" min="13" max="13" width="13.75"/>
    <col customWidth="1" min="14" max="18" width="18.88"/>
  </cols>
  <sheetData>
    <row r="1" ht="27.0" customHeight="1">
      <c r="A1" s="165" t="s">
        <v>1362</v>
      </c>
      <c r="B1" s="165" t="s">
        <v>1363</v>
      </c>
      <c r="C1" s="165" t="s">
        <v>1364</v>
      </c>
      <c r="D1" s="166" t="s">
        <v>1365</v>
      </c>
      <c r="E1" s="165" t="s">
        <v>1366</v>
      </c>
      <c r="F1" s="167" t="s">
        <v>1367</v>
      </c>
      <c r="G1" s="166" t="s">
        <v>1368</v>
      </c>
      <c r="H1" s="165" t="s">
        <v>1369</v>
      </c>
      <c r="I1" s="165" t="s">
        <v>1370</v>
      </c>
      <c r="J1" s="166" t="s">
        <v>1371</v>
      </c>
      <c r="K1" s="165" t="s">
        <v>1372</v>
      </c>
      <c r="L1" s="165" t="s">
        <v>1373</v>
      </c>
      <c r="M1" s="167" t="s">
        <v>1374</v>
      </c>
      <c r="N1" s="168"/>
      <c r="O1" s="168"/>
      <c r="P1" s="168"/>
      <c r="Q1" s="168"/>
      <c r="R1" s="168"/>
    </row>
    <row r="2" ht="22.5" customHeight="1">
      <c r="A2" s="169">
        <v>46066.588570520835</v>
      </c>
      <c r="B2" s="170" t="s">
        <v>1375</v>
      </c>
      <c r="C2" s="171" t="s">
        <v>1376</v>
      </c>
      <c r="D2" s="172"/>
      <c r="E2" s="171" t="s">
        <v>709</v>
      </c>
      <c r="F2" s="170">
        <v>3.58410185002861E14</v>
      </c>
      <c r="G2" s="171" t="s">
        <v>1377</v>
      </c>
      <c r="H2" s="171" t="s">
        <v>1378</v>
      </c>
      <c r="I2" s="171" t="s">
        <v>1379</v>
      </c>
      <c r="J2" s="173">
        <v>46066.0</v>
      </c>
      <c r="K2" s="171" t="s">
        <v>1380</v>
      </c>
      <c r="L2" s="171" t="s">
        <v>31</v>
      </c>
      <c r="M2" s="170" t="b">
        <v>1</v>
      </c>
      <c r="N2" s="158"/>
      <c r="O2" s="158"/>
      <c r="P2" s="158"/>
      <c r="Q2" s="158"/>
      <c r="R2" s="158"/>
    </row>
    <row r="3" ht="22.5" customHeight="1">
      <c r="A3" s="174">
        <v>46071.714543344904</v>
      </c>
      <c r="B3" s="175" t="s">
        <v>1381</v>
      </c>
      <c r="C3" s="175" t="s">
        <v>1382</v>
      </c>
      <c r="D3" s="175" t="s">
        <v>1383</v>
      </c>
      <c r="E3" s="175" t="s">
        <v>1384</v>
      </c>
      <c r="F3" s="176">
        <v>3.52650610019099E14</v>
      </c>
      <c r="G3" s="175" t="s">
        <v>350</v>
      </c>
      <c r="H3" s="175" t="s">
        <v>1385</v>
      </c>
      <c r="I3" s="175" t="s">
        <v>1386</v>
      </c>
      <c r="J3" s="177">
        <v>46071.0</v>
      </c>
      <c r="K3" s="175" t="s">
        <v>1387</v>
      </c>
      <c r="L3" s="175" t="s">
        <v>42</v>
      </c>
      <c r="M3" s="176" t="b">
        <v>1</v>
      </c>
    </row>
    <row r="4" ht="22.5" customHeight="1">
      <c r="A4" s="174">
        <v>46072.51266822917</v>
      </c>
      <c r="B4" s="175" t="s">
        <v>1388</v>
      </c>
      <c r="C4" s="175" t="s">
        <v>1389</v>
      </c>
      <c r="D4" s="175" t="s">
        <v>1390</v>
      </c>
      <c r="E4" s="175" t="s">
        <v>1028</v>
      </c>
      <c r="F4" s="176">
        <v>3.55649780289687E14</v>
      </c>
      <c r="G4" s="175" t="s">
        <v>1391</v>
      </c>
      <c r="H4" s="178" t="s">
        <v>1392</v>
      </c>
      <c r="I4" s="175" t="s">
        <v>1393</v>
      </c>
      <c r="J4" s="177">
        <v>46073.0</v>
      </c>
      <c r="K4" s="175" t="s">
        <v>1380</v>
      </c>
      <c r="L4" s="175" t="s">
        <v>31</v>
      </c>
      <c r="M4" s="176" t="b">
        <v>1</v>
      </c>
    </row>
    <row r="5" ht="22.5" customHeight="1">
      <c r="A5" s="174">
        <v>46072.60221028935</v>
      </c>
      <c r="B5" s="175" t="s">
        <v>1388</v>
      </c>
      <c r="C5" s="175" t="s">
        <v>1389</v>
      </c>
      <c r="D5" s="175" t="s">
        <v>1394</v>
      </c>
      <c r="E5" s="175" t="s">
        <v>1395</v>
      </c>
      <c r="F5" s="176">
        <v>3.51225503087627E14</v>
      </c>
      <c r="G5" s="175" t="s">
        <v>1396</v>
      </c>
      <c r="H5" s="175" t="s">
        <v>1397</v>
      </c>
      <c r="I5" s="175" t="s">
        <v>1398</v>
      </c>
      <c r="J5" s="177">
        <v>46073.0</v>
      </c>
      <c r="K5" s="175" t="s">
        <v>1387</v>
      </c>
      <c r="L5" s="175" t="s">
        <v>31</v>
      </c>
      <c r="M5" s="176" t="b">
        <v>1</v>
      </c>
    </row>
    <row r="6" ht="22.5" customHeight="1">
      <c r="A6" s="174">
        <v>46073.454070231484</v>
      </c>
      <c r="B6" s="175" t="s">
        <v>1388</v>
      </c>
      <c r="C6" s="175" t="s">
        <v>1389</v>
      </c>
      <c r="D6" s="175" t="s">
        <v>1399</v>
      </c>
      <c r="E6" s="175" t="s">
        <v>1400</v>
      </c>
      <c r="F6" s="176">
        <v>3.55500722565579E14</v>
      </c>
      <c r="G6" s="175" t="s">
        <v>1401</v>
      </c>
      <c r="H6" s="175" t="s">
        <v>1402</v>
      </c>
      <c r="I6" s="175" t="s">
        <v>1403</v>
      </c>
      <c r="J6" s="177">
        <v>46073.0</v>
      </c>
      <c r="K6" s="175" t="s">
        <v>1387</v>
      </c>
      <c r="L6" s="175" t="s">
        <v>31</v>
      </c>
      <c r="M6" s="176" t="b">
        <v>1</v>
      </c>
    </row>
    <row r="7" ht="22.5" customHeight="1">
      <c r="A7" s="174">
        <v>46073.61445957176</v>
      </c>
      <c r="B7" s="175" t="s">
        <v>1404</v>
      </c>
      <c r="C7" s="175" t="s">
        <v>1405</v>
      </c>
      <c r="D7" s="175" t="s">
        <v>1406</v>
      </c>
      <c r="E7" s="175" t="s">
        <v>1407</v>
      </c>
      <c r="F7" s="176">
        <v>3.51298320096238E14</v>
      </c>
      <c r="G7" s="175" t="s">
        <v>772</v>
      </c>
      <c r="H7" s="178" t="s">
        <v>1408</v>
      </c>
      <c r="I7" s="175" t="s">
        <v>1409</v>
      </c>
      <c r="J7" s="177">
        <v>46073.0</v>
      </c>
      <c r="K7" s="175" t="s">
        <v>1387</v>
      </c>
      <c r="L7" s="175" t="s">
        <v>31</v>
      </c>
      <c r="M7" s="176" t="b">
        <v>1</v>
      </c>
    </row>
    <row r="8" ht="22.5" customHeight="1">
      <c r="A8" s="174">
        <v>46073.68598015046</v>
      </c>
      <c r="B8" s="175" t="s">
        <v>1381</v>
      </c>
      <c r="C8" s="175" t="s">
        <v>1382</v>
      </c>
      <c r="D8" s="175" t="s">
        <v>1410</v>
      </c>
      <c r="E8" s="175" t="s">
        <v>1411</v>
      </c>
      <c r="F8" s="176" t="s">
        <v>1163</v>
      </c>
      <c r="G8" s="175" t="s">
        <v>1412</v>
      </c>
      <c r="H8" s="175" t="s">
        <v>1413</v>
      </c>
      <c r="I8" s="175" t="s">
        <v>1107</v>
      </c>
      <c r="J8" s="177">
        <v>46073.0</v>
      </c>
      <c r="K8" s="175" t="s">
        <v>1380</v>
      </c>
      <c r="L8" s="175" t="s">
        <v>25</v>
      </c>
      <c r="M8" s="176" t="b">
        <v>1</v>
      </c>
    </row>
    <row r="9" ht="22.5" customHeight="1">
      <c r="A9" s="174">
        <v>46073.68688699074</v>
      </c>
      <c r="B9" s="175" t="s">
        <v>1381</v>
      </c>
      <c r="C9" s="175" t="s">
        <v>1382</v>
      </c>
      <c r="D9" s="175" t="s">
        <v>1410</v>
      </c>
      <c r="E9" s="175" t="s">
        <v>1414</v>
      </c>
      <c r="F9" s="176" t="s">
        <v>1166</v>
      </c>
      <c r="G9" s="175" t="s">
        <v>1415</v>
      </c>
      <c r="H9" s="175" t="s">
        <v>1416</v>
      </c>
      <c r="I9" s="175" t="s">
        <v>1417</v>
      </c>
      <c r="J9" s="177">
        <v>46073.0</v>
      </c>
      <c r="K9" s="175" t="s">
        <v>1380</v>
      </c>
      <c r="L9" s="175" t="s">
        <v>25</v>
      </c>
      <c r="M9" s="176" t="b">
        <v>1</v>
      </c>
    </row>
    <row r="10" ht="22.5" customHeight="1">
      <c r="A10" s="174">
        <v>46076.529255636575</v>
      </c>
      <c r="B10" s="175" t="s">
        <v>1418</v>
      </c>
      <c r="C10" s="175" t="s">
        <v>1419</v>
      </c>
      <c r="D10" s="175" t="s">
        <v>1420</v>
      </c>
      <c r="E10" s="175" t="s">
        <v>1421</v>
      </c>
      <c r="F10" s="176">
        <v>3.55649780288663E14</v>
      </c>
      <c r="G10" s="175" t="s">
        <v>1422</v>
      </c>
      <c r="H10" s="175" t="s">
        <v>1423</v>
      </c>
      <c r="I10" s="175" t="s">
        <v>1424</v>
      </c>
      <c r="J10" s="177">
        <v>46076.0</v>
      </c>
      <c r="K10" s="175" t="s">
        <v>1380</v>
      </c>
      <c r="L10" s="175" t="s">
        <v>31</v>
      </c>
      <c r="M10" s="176" t="b">
        <v>1</v>
      </c>
    </row>
    <row r="11" ht="22.5" customHeight="1">
      <c r="A11" s="174">
        <v>46077.74783017361</v>
      </c>
      <c r="B11" s="175" t="s">
        <v>1388</v>
      </c>
      <c r="C11" s="175" t="s">
        <v>1389</v>
      </c>
      <c r="D11" s="175" t="s">
        <v>1425</v>
      </c>
      <c r="E11" s="175" t="s">
        <v>1425</v>
      </c>
      <c r="F11" s="176">
        <v>3.55500722520517E14</v>
      </c>
      <c r="G11" s="175" t="s">
        <v>1426</v>
      </c>
      <c r="H11" s="175" t="s">
        <v>1427</v>
      </c>
      <c r="I11" s="175" t="s">
        <v>1428</v>
      </c>
      <c r="J11" s="177">
        <v>46078.0</v>
      </c>
      <c r="K11" s="175" t="s">
        <v>1387</v>
      </c>
      <c r="L11" s="175" t="s">
        <v>31</v>
      </c>
      <c r="M11" s="176" t="b">
        <v>1</v>
      </c>
    </row>
    <row r="12" ht="22.5" customHeight="1">
      <c r="A12" s="174">
        <v>46078.49273342593</v>
      </c>
      <c r="B12" s="175" t="s">
        <v>1429</v>
      </c>
      <c r="C12" s="175" t="s">
        <v>1430</v>
      </c>
      <c r="D12" s="175" t="s">
        <v>1431</v>
      </c>
      <c r="E12" s="175" t="s">
        <v>1432</v>
      </c>
      <c r="F12" s="176">
        <v>3.50798022214048E14</v>
      </c>
      <c r="G12" s="175" t="s">
        <v>1433</v>
      </c>
      <c r="H12" s="178" t="s">
        <v>1434</v>
      </c>
      <c r="I12" s="175" t="s">
        <v>1435</v>
      </c>
      <c r="J12" s="177">
        <v>46078.0</v>
      </c>
      <c r="K12" s="175" t="s">
        <v>1387</v>
      </c>
      <c r="L12" s="175" t="s">
        <v>31</v>
      </c>
      <c r="M12" s="176" t="b">
        <v>1</v>
      </c>
    </row>
    <row r="13" ht="22.5" customHeight="1">
      <c r="A13" s="174">
        <v>46078.51282347222</v>
      </c>
      <c r="B13" s="175" t="s">
        <v>1388</v>
      </c>
      <c r="C13" s="175" t="s">
        <v>1389</v>
      </c>
      <c r="D13" s="175" t="s">
        <v>1436</v>
      </c>
      <c r="E13" s="175" t="s">
        <v>1437</v>
      </c>
      <c r="F13" s="176">
        <v>3.55500722567443E14</v>
      </c>
      <c r="G13" s="175" t="s">
        <v>1438</v>
      </c>
      <c r="H13" s="175" t="s">
        <v>1439</v>
      </c>
      <c r="I13" s="175" t="s">
        <v>1440</v>
      </c>
      <c r="J13" s="177">
        <v>46078.0</v>
      </c>
      <c r="K13" s="175" t="s">
        <v>1387</v>
      </c>
      <c r="L13" s="175" t="s">
        <v>31</v>
      </c>
      <c r="M13" s="176" t="b">
        <v>1</v>
      </c>
    </row>
    <row r="14" ht="22.5" customHeight="1">
      <c r="A14" s="174">
        <v>46079.42256525463</v>
      </c>
      <c r="B14" s="175" t="s">
        <v>1381</v>
      </c>
      <c r="C14" s="175" t="s">
        <v>1382</v>
      </c>
      <c r="D14" s="175" t="s">
        <v>1441</v>
      </c>
      <c r="E14" s="175" t="s">
        <v>1441</v>
      </c>
      <c r="F14" s="176" t="s">
        <v>1000</v>
      </c>
      <c r="G14" s="175" t="s">
        <v>1442</v>
      </c>
      <c r="H14" s="175" t="s">
        <v>1443</v>
      </c>
      <c r="I14" s="175" t="s">
        <v>1444</v>
      </c>
      <c r="J14" s="177">
        <v>46079.0</v>
      </c>
      <c r="K14" s="175" t="s">
        <v>1380</v>
      </c>
      <c r="L14" s="175" t="s">
        <v>42</v>
      </c>
      <c r="M14" s="176" t="b">
        <v>1</v>
      </c>
    </row>
    <row r="15" ht="22.5" customHeight="1">
      <c r="A15" s="174">
        <v>46079.51255789352</v>
      </c>
      <c r="B15" s="175" t="s">
        <v>1445</v>
      </c>
      <c r="C15" s="175" t="s">
        <v>1446</v>
      </c>
      <c r="D15" s="175" t="s">
        <v>1258</v>
      </c>
      <c r="E15" s="175" t="s">
        <v>1447</v>
      </c>
      <c r="F15" s="176">
        <v>3.58780495000254E14</v>
      </c>
      <c r="G15" s="175" t="s">
        <v>1448</v>
      </c>
      <c r="H15" s="178" t="s">
        <v>1449</v>
      </c>
      <c r="I15" s="175" t="s">
        <v>1450</v>
      </c>
      <c r="J15" s="177">
        <v>46079.0</v>
      </c>
      <c r="K15" s="175" t="s">
        <v>1380</v>
      </c>
      <c r="L15" s="175" t="s">
        <v>31</v>
      </c>
      <c r="M15" s="176" t="b">
        <v>1</v>
      </c>
    </row>
    <row r="16" ht="22.5" customHeight="1">
      <c r="A16" s="174">
        <v>46079.51402729166</v>
      </c>
      <c r="B16" s="175" t="s">
        <v>1445</v>
      </c>
      <c r="C16" s="175" t="s">
        <v>1446</v>
      </c>
      <c r="D16" s="175" t="s">
        <v>1258</v>
      </c>
      <c r="E16" s="175" t="s">
        <v>1451</v>
      </c>
      <c r="F16" s="176">
        <v>3.50009210014939E14</v>
      </c>
      <c r="G16" s="175" t="s">
        <v>1452</v>
      </c>
      <c r="H16" s="175" t="s">
        <v>1453</v>
      </c>
      <c r="I16" s="175" t="s">
        <v>1454</v>
      </c>
      <c r="J16" s="177">
        <v>46079.0</v>
      </c>
      <c r="K16" s="175" t="s">
        <v>1380</v>
      </c>
      <c r="L16" s="175" t="s">
        <v>31</v>
      </c>
      <c r="M16" s="176" t="b">
        <v>1</v>
      </c>
    </row>
    <row r="17" ht="22.5" customHeight="1">
      <c r="A17" s="174">
        <v>46079.54516141204</v>
      </c>
      <c r="B17" s="175" t="s">
        <v>1455</v>
      </c>
      <c r="C17" s="175" t="s">
        <v>1456</v>
      </c>
      <c r="D17" s="175" t="s">
        <v>1457</v>
      </c>
      <c r="E17" s="175" t="s">
        <v>1458</v>
      </c>
      <c r="F17" s="176">
        <v>3.5585115031023E14</v>
      </c>
      <c r="G17" s="175" t="s">
        <v>1459</v>
      </c>
      <c r="H17" s="178" t="s">
        <v>1460</v>
      </c>
      <c r="I17" s="175" t="s">
        <v>1461</v>
      </c>
      <c r="J17" s="177">
        <v>46085.0</v>
      </c>
      <c r="K17" s="175" t="s">
        <v>1387</v>
      </c>
      <c r="L17" s="175" t="s">
        <v>31</v>
      </c>
      <c r="M17" s="176" t="b">
        <v>1</v>
      </c>
    </row>
    <row r="18" ht="22.5" customHeight="1">
      <c r="A18" s="174">
        <v>46079.5737762037</v>
      </c>
      <c r="B18" s="175" t="s">
        <v>1381</v>
      </c>
      <c r="C18" s="175" t="s">
        <v>1382</v>
      </c>
      <c r="D18" s="175" t="s">
        <v>1410</v>
      </c>
      <c r="E18" s="175" t="s">
        <v>1462</v>
      </c>
      <c r="F18" s="176" t="s">
        <v>1272</v>
      </c>
      <c r="G18" s="175" t="s">
        <v>1415</v>
      </c>
      <c r="H18" s="175" t="s">
        <v>1416</v>
      </c>
      <c r="I18" s="175" t="s">
        <v>1417</v>
      </c>
      <c r="J18" s="177">
        <v>46079.0</v>
      </c>
      <c r="K18" s="175" t="s">
        <v>1380</v>
      </c>
      <c r="L18" s="175" t="s">
        <v>25</v>
      </c>
      <c r="M18" s="176" t="b">
        <v>1</v>
      </c>
    </row>
    <row r="19" ht="22.5" customHeight="1">
      <c r="A19" s="174">
        <v>46079.57539196759</v>
      </c>
      <c r="B19" s="175" t="s">
        <v>1381</v>
      </c>
      <c r="C19" s="175" t="s">
        <v>1382</v>
      </c>
      <c r="D19" s="175" t="s">
        <v>1410</v>
      </c>
      <c r="E19" s="175" t="s">
        <v>1463</v>
      </c>
      <c r="F19" s="176" t="s">
        <v>1169</v>
      </c>
      <c r="G19" s="175" t="s">
        <v>1040</v>
      </c>
      <c r="H19" s="175" t="s">
        <v>1464</v>
      </c>
      <c r="I19" s="175" t="s">
        <v>1465</v>
      </c>
      <c r="J19" s="177">
        <v>46079.0</v>
      </c>
      <c r="K19" s="175" t="s">
        <v>1380</v>
      </c>
      <c r="L19" s="175" t="s">
        <v>25</v>
      </c>
      <c r="M19" s="176" t="b">
        <v>1</v>
      </c>
    </row>
    <row r="20" ht="22.5" customHeight="1">
      <c r="A20" s="174">
        <v>46079.57652164352</v>
      </c>
      <c r="B20" s="175" t="s">
        <v>1381</v>
      </c>
      <c r="C20" s="175" t="s">
        <v>1382</v>
      </c>
      <c r="D20" s="175" t="s">
        <v>1410</v>
      </c>
      <c r="E20" s="175" t="s">
        <v>1462</v>
      </c>
      <c r="F20" s="176" t="s">
        <v>1270</v>
      </c>
      <c r="G20" s="175" t="s">
        <v>1466</v>
      </c>
      <c r="H20" s="175" t="s">
        <v>1467</v>
      </c>
      <c r="I20" s="175" t="s">
        <v>1468</v>
      </c>
      <c r="J20" s="177">
        <v>46079.0</v>
      </c>
      <c r="K20" s="175" t="s">
        <v>1387</v>
      </c>
      <c r="L20" s="175" t="s">
        <v>25</v>
      </c>
      <c r="M20" s="176" t="b">
        <v>1</v>
      </c>
    </row>
    <row r="21" ht="22.5" customHeight="1">
      <c r="A21" s="174">
        <v>46079.61592834491</v>
      </c>
      <c r="B21" s="175" t="s">
        <v>1381</v>
      </c>
      <c r="C21" s="175" t="s">
        <v>1382</v>
      </c>
      <c r="D21" s="175" t="s">
        <v>1469</v>
      </c>
      <c r="E21" s="175" t="s">
        <v>1470</v>
      </c>
      <c r="F21" s="176" t="s">
        <v>1268</v>
      </c>
      <c r="G21" s="175" t="s">
        <v>1471</v>
      </c>
      <c r="H21" s="175" t="s">
        <v>1472</v>
      </c>
      <c r="I21" s="175" t="s">
        <v>1473</v>
      </c>
      <c r="J21" s="177">
        <v>46079.0</v>
      </c>
      <c r="K21" s="175" t="s">
        <v>1387</v>
      </c>
      <c r="L21" s="175" t="s">
        <v>25</v>
      </c>
      <c r="M21" s="176" t="b">
        <v>1</v>
      </c>
    </row>
    <row r="22" ht="22.5" customHeight="1">
      <c r="A22" s="174">
        <v>46079.74409195602</v>
      </c>
      <c r="B22" s="175" t="s">
        <v>1388</v>
      </c>
      <c r="C22" s="175" t="s">
        <v>1389</v>
      </c>
      <c r="D22" s="175" t="s">
        <v>1425</v>
      </c>
      <c r="E22" s="175" t="s">
        <v>1474</v>
      </c>
      <c r="F22" s="176">
        <v>3.51225503077255E14</v>
      </c>
      <c r="G22" s="175" t="s">
        <v>1475</v>
      </c>
      <c r="H22" s="178" t="s">
        <v>1476</v>
      </c>
      <c r="I22" s="175" t="s">
        <v>1477</v>
      </c>
      <c r="J22" s="177">
        <v>46079.0</v>
      </c>
      <c r="K22" s="175" t="s">
        <v>1387</v>
      </c>
      <c r="L22" s="175" t="s">
        <v>31</v>
      </c>
      <c r="M22" s="176" t="b">
        <v>1</v>
      </c>
    </row>
    <row r="23" ht="22.5" customHeight="1">
      <c r="A23" s="174">
        <v>46080.27437934028</v>
      </c>
      <c r="B23" s="175" t="s">
        <v>1388</v>
      </c>
      <c r="C23" s="175" t="s">
        <v>1389</v>
      </c>
      <c r="D23" s="175" t="s">
        <v>1478</v>
      </c>
      <c r="E23" s="175" t="s">
        <v>1479</v>
      </c>
      <c r="F23" s="176">
        <v>3.55649780289018E14</v>
      </c>
      <c r="G23" s="175" t="s">
        <v>1480</v>
      </c>
      <c r="H23" s="175" t="s">
        <v>1481</v>
      </c>
      <c r="I23" s="175" t="s">
        <v>1482</v>
      </c>
      <c r="J23" s="177">
        <v>46080.0</v>
      </c>
      <c r="K23" s="175" t="s">
        <v>1387</v>
      </c>
      <c r="L23" s="175" t="s">
        <v>31</v>
      </c>
      <c r="M23" s="176" t="b">
        <v>1</v>
      </c>
    </row>
    <row r="24" ht="22.5" customHeight="1">
      <c r="A24" s="174">
        <v>46080.551614247684</v>
      </c>
      <c r="B24" s="175" t="s">
        <v>1483</v>
      </c>
      <c r="C24" s="175" t="s">
        <v>1484</v>
      </c>
      <c r="D24" s="175" t="s">
        <v>1485</v>
      </c>
      <c r="E24" s="175" t="s">
        <v>1486</v>
      </c>
      <c r="F24" s="176">
        <v>3.58387120010078E14</v>
      </c>
      <c r="G24" s="175" t="s">
        <v>1487</v>
      </c>
      <c r="H24" s="175" t="s">
        <v>1488</v>
      </c>
      <c r="I24" s="175" t="s">
        <v>1489</v>
      </c>
      <c r="J24" s="177">
        <v>46080.0</v>
      </c>
      <c r="K24" s="175" t="s">
        <v>1387</v>
      </c>
      <c r="L24" s="175" t="s">
        <v>42</v>
      </c>
      <c r="M24" s="176" t="b">
        <v>1</v>
      </c>
    </row>
    <row r="25" ht="22.5" customHeight="1">
      <c r="A25" s="174">
        <v>46080.55454457176</v>
      </c>
      <c r="B25" s="175" t="s">
        <v>1483</v>
      </c>
      <c r="C25" s="175" t="s">
        <v>1484</v>
      </c>
      <c r="D25" s="175" t="s">
        <v>1490</v>
      </c>
      <c r="E25" s="175" t="s">
        <v>1491</v>
      </c>
      <c r="F25" s="176">
        <v>3.54312420000599E14</v>
      </c>
      <c r="G25" s="175" t="s">
        <v>1492</v>
      </c>
      <c r="H25" s="175" t="s">
        <v>1493</v>
      </c>
      <c r="I25" s="175" t="s">
        <v>1494</v>
      </c>
      <c r="J25" s="177">
        <v>46080.0</v>
      </c>
      <c r="K25" s="175" t="s">
        <v>1387</v>
      </c>
      <c r="L25" s="175" t="s">
        <v>31</v>
      </c>
      <c r="M25" s="176" t="b">
        <v>1</v>
      </c>
    </row>
    <row r="26" ht="22.5" customHeight="1">
      <c r="A26" s="174">
        <v>46080.565595775464</v>
      </c>
      <c r="B26" s="175" t="s">
        <v>1381</v>
      </c>
      <c r="C26" s="175" t="s">
        <v>1382</v>
      </c>
      <c r="D26" s="175" t="s">
        <v>1495</v>
      </c>
      <c r="E26" s="175" t="s">
        <v>1495</v>
      </c>
      <c r="F26" s="176" t="s">
        <v>1005</v>
      </c>
      <c r="G26" s="175" t="s">
        <v>1496</v>
      </c>
      <c r="H26" s="178" t="s">
        <v>1497</v>
      </c>
      <c r="I26" s="175" t="s">
        <v>1498</v>
      </c>
      <c r="J26" s="177">
        <v>46080.0</v>
      </c>
      <c r="K26" s="175" t="s">
        <v>1387</v>
      </c>
      <c r="L26" s="175" t="s">
        <v>42</v>
      </c>
      <c r="M26" s="176" t="b">
        <v>1</v>
      </c>
    </row>
    <row r="27" ht="22.5" customHeight="1">
      <c r="A27" s="174">
        <v>46080.566157106485</v>
      </c>
      <c r="B27" s="175" t="s">
        <v>1381</v>
      </c>
      <c r="C27" s="175" t="s">
        <v>1382</v>
      </c>
      <c r="D27" s="175" t="s">
        <v>1495</v>
      </c>
      <c r="E27" s="175" t="s">
        <v>1495</v>
      </c>
      <c r="F27" s="176" t="s">
        <v>1013</v>
      </c>
      <c r="G27" s="175" t="s">
        <v>1499</v>
      </c>
      <c r="H27" s="178" t="s">
        <v>1500</v>
      </c>
      <c r="I27" s="175" t="s">
        <v>1501</v>
      </c>
      <c r="J27" s="177">
        <v>46080.0</v>
      </c>
      <c r="K27" s="175" t="s">
        <v>1387</v>
      </c>
      <c r="L27" s="175" t="s">
        <v>42</v>
      </c>
      <c r="M27" s="176" t="b">
        <v>1</v>
      </c>
    </row>
    <row r="28" ht="22.5" customHeight="1">
      <c r="A28" s="174">
        <v>46080.596317083335</v>
      </c>
      <c r="B28" s="175" t="s">
        <v>1502</v>
      </c>
      <c r="C28" s="175" t="s">
        <v>1503</v>
      </c>
      <c r="D28" s="175" t="s">
        <v>1504</v>
      </c>
      <c r="E28" s="175" t="s">
        <v>1505</v>
      </c>
      <c r="F28" s="176" t="s">
        <v>1011</v>
      </c>
      <c r="G28" s="175" t="s">
        <v>1506</v>
      </c>
      <c r="H28" s="178" t="s">
        <v>1507</v>
      </c>
      <c r="I28" s="175" t="s">
        <v>1508</v>
      </c>
      <c r="J28" s="177">
        <v>46080.0</v>
      </c>
      <c r="K28" s="175" t="s">
        <v>1387</v>
      </c>
      <c r="L28" s="175" t="s">
        <v>42</v>
      </c>
      <c r="M28" s="176" t="b">
        <v>1</v>
      </c>
    </row>
    <row r="29" ht="22.5" customHeight="1">
      <c r="A29" s="174">
        <v>46080.59719973379</v>
      </c>
      <c r="B29" s="175" t="s">
        <v>1502</v>
      </c>
      <c r="C29" s="175" t="s">
        <v>1509</v>
      </c>
      <c r="D29" s="175" t="s">
        <v>1510</v>
      </c>
      <c r="E29" s="175" t="s">
        <v>1505</v>
      </c>
      <c r="F29" s="176" t="s">
        <v>1009</v>
      </c>
      <c r="G29" s="175" t="s">
        <v>1511</v>
      </c>
      <c r="H29" s="178" t="s">
        <v>1512</v>
      </c>
      <c r="I29" s="175" t="s">
        <v>1513</v>
      </c>
      <c r="J29" s="177">
        <v>46080.0</v>
      </c>
      <c r="K29" s="175" t="s">
        <v>1387</v>
      </c>
      <c r="L29" s="175" t="s">
        <v>42</v>
      </c>
      <c r="M29" s="176" t="b">
        <v>1</v>
      </c>
    </row>
    <row r="30" ht="22.5" customHeight="1">
      <c r="A30" s="174">
        <v>46080.59809550926</v>
      </c>
      <c r="B30" s="175" t="s">
        <v>1502</v>
      </c>
      <c r="C30" s="175" t="s">
        <v>1503</v>
      </c>
      <c r="D30" s="175" t="s">
        <v>1504</v>
      </c>
      <c r="E30" s="175" t="s">
        <v>1505</v>
      </c>
      <c r="F30" s="176" t="s">
        <v>1015</v>
      </c>
      <c r="G30" s="175" t="s">
        <v>1514</v>
      </c>
      <c r="H30" s="178" t="s">
        <v>1515</v>
      </c>
      <c r="I30" s="175" t="s">
        <v>1516</v>
      </c>
      <c r="J30" s="177">
        <v>46080.0</v>
      </c>
      <c r="K30" s="175" t="s">
        <v>1387</v>
      </c>
      <c r="L30" s="175" t="s">
        <v>42</v>
      </c>
      <c r="M30" s="176" t="b">
        <v>1</v>
      </c>
    </row>
    <row r="31" ht="22.5" customHeight="1">
      <c r="A31" s="174">
        <v>46080.60280469907</v>
      </c>
      <c r="B31" s="175" t="s">
        <v>1381</v>
      </c>
      <c r="C31" s="175" t="s">
        <v>1382</v>
      </c>
      <c r="D31" s="175" t="s">
        <v>1495</v>
      </c>
      <c r="E31" s="175" t="s">
        <v>1495</v>
      </c>
      <c r="F31" s="176" t="s">
        <v>1517</v>
      </c>
      <c r="G31" s="175" t="s">
        <v>1518</v>
      </c>
      <c r="H31" s="178" t="s">
        <v>1519</v>
      </c>
      <c r="I31" s="175" t="s">
        <v>1520</v>
      </c>
      <c r="J31" s="177">
        <v>46080.0</v>
      </c>
      <c r="K31" s="175" t="s">
        <v>1387</v>
      </c>
      <c r="L31" s="175" t="s">
        <v>42</v>
      </c>
      <c r="M31" s="176" t="b">
        <v>1</v>
      </c>
    </row>
    <row r="32" ht="22.5" customHeight="1">
      <c r="A32" s="174">
        <v>46083.57501909722</v>
      </c>
      <c r="B32" s="175" t="s">
        <v>1381</v>
      </c>
      <c r="C32" s="175" t="s">
        <v>1382</v>
      </c>
      <c r="D32" s="175" t="s">
        <v>1521</v>
      </c>
      <c r="E32" s="175" t="s">
        <v>1522</v>
      </c>
      <c r="F32" s="176" t="s">
        <v>1265</v>
      </c>
      <c r="G32" s="175" t="s">
        <v>1523</v>
      </c>
      <c r="H32" s="175" t="s">
        <v>1524</v>
      </c>
      <c r="I32" s="175" t="s">
        <v>1525</v>
      </c>
      <c r="J32" s="177">
        <v>46083.0</v>
      </c>
      <c r="K32" s="175" t="s">
        <v>1387</v>
      </c>
      <c r="L32" s="175" t="s">
        <v>25</v>
      </c>
      <c r="M32" s="176" t="b">
        <v>1</v>
      </c>
    </row>
    <row r="33" ht="22.5" customHeight="1">
      <c r="A33" s="174">
        <v>46083.57559625</v>
      </c>
      <c r="B33" s="175" t="s">
        <v>1381</v>
      </c>
      <c r="C33" s="175" t="s">
        <v>1382</v>
      </c>
      <c r="D33" s="175" t="s">
        <v>1521</v>
      </c>
      <c r="E33" s="175" t="s">
        <v>1526</v>
      </c>
      <c r="F33" s="176" t="s">
        <v>1275</v>
      </c>
      <c r="G33" s="175" t="s">
        <v>758</v>
      </c>
      <c r="H33" s="175" t="s">
        <v>1527</v>
      </c>
      <c r="I33" s="175" t="s">
        <v>1528</v>
      </c>
      <c r="J33" s="177">
        <v>46083.0</v>
      </c>
      <c r="K33" s="175" t="s">
        <v>1387</v>
      </c>
      <c r="L33" s="175" t="s">
        <v>25</v>
      </c>
      <c r="M33" s="176" t="b">
        <v>1</v>
      </c>
    </row>
    <row r="34" ht="22.5" customHeight="1">
      <c r="A34" s="174">
        <v>46084.53141283565</v>
      </c>
      <c r="B34" s="175" t="s">
        <v>1375</v>
      </c>
      <c r="C34" s="175" t="s">
        <v>1376</v>
      </c>
      <c r="D34" s="175" t="s">
        <v>1529</v>
      </c>
      <c r="E34" s="175" t="s">
        <v>1530</v>
      </c>
      <c r="F34" s="176">
        <v>3.54312420000854E14</v>
      </c>
      <c r="G34" s="175" t="s">
        <v>1531</v>
      </c>
      <c r="H34" s="179">
        <v>8.5218878116E10</v>
      </c>
      <c r="I34" s="175" t="s">
        <v>1532</v>
      </c>
      <c r="J34" s="177">
        <v>46084.0</v>
      </c>
      <c r="K34" s="175" t="s">
        <v>1380</v>
      </c>
      <c r="L34" s="175" t="s">
        <v>31</v>
      </c>
      <c r="M34" s="176" t="b">
        <v>1</v>
      </c>
    </row>
    <row r="35" ht="22.5" customHeight="1">
      <c r="A35" s="174">
        <v>46084.58034719907</v>
      </c>
      <c r="B35" s="175" t="s">
        <v>1375</v>
      </c>
      <c r="C35" s="175" t="s">
        <v>1376</v>
      </c>
      <c r="D35" s="175" t="s">
        <v>1533</v>
      </c>
      <c r="E35" s="175" t="s">
        <v>709</v>
      </c>
      <c r="F35" s="176">
        <v>3.58410185074076E14</v>
      </c>
      <c r="G35" s="175" t="s">
        <v>1534</v>
      </c>
      <c r="H35" s="175" t="s">
        <v>1535</v>
      </c>
      <c r="I35" s="175" t="s">
        <v>1536</v>
      </c>
      <c r="J35" s="177">
        <v>46084.0</v>
      </c>
      <c r="K35" s="175" t="s">
        <v>1387</v>
      </c>
      <c r="L35" s="175" t="s">
        <v>31</v>
      </c>
      <c r="M35" s="176" t="b">
        <v>1</v>
      </c>
    </row>
    <row r="36" ht="22.5" customHeight="1">
      <c r="A36" s="174">
        <v>46084.62293837963</v>
      </c>
      <c r="B36" s="175" t="s">
        <v>1537</v>
      </c>
      <c r="C36" s="175" t="s">
        <v>1538</v>
      </c>
      <c r="D36" s="175" t="s">
        <v>1539</v>
      </c>
      <c r="E36" s="175" t="s">
        <v>1539</v>
      </c>
      <c r="F36" s="176">
        <v>3.55649780289513E14</v>
      </c>
      <c r="G36" s="175" t="s">
        <v>1540</v>
      </c>
      <c r="H36" s="178" t="s">
        <v>1541</v>
      </c>
      <c r="I36" s="175" t="s">
        <v>1542</v>
      </c>
      <c r="J36" s="177">
        <v>46084.0</v>
      </c>
      <c r="K36" s="175" t="s">
        <v>1387</v>
      </c>
      <c r="L36" s="175" t="s">
        <v>31</v>
      </c>
      <c r="M36" s="176" t="b">
        <v>1</v>
      </c>
    </row>
    <row r="37" ht="22.5" customHeight="1">
      <c r="A37" s="174">
        <v>46084.63886400463</v>
      </c>
      <c r="B37" s="175" t="s">
        <v>1537</v>
      </c>
      <c r="C37" s="175" t="s">
        <v>1538</v>
      </c>
      <c r="D37" s="175" t="s">
        <v>1543</v>
      </c>
      <c r="E37" s="175" t="s">
        <v>1544</v>
      </c>
      <c r="F37" s="176">
        <v>3.51225503076083E14</v>
      </c>
      <c r="G37" s="175" t="s">
        <v>1545</v>
      </c>
      <c r="H37" s="178" t="s">
        <v>1546</v>
      </c>
      <c r="I37" s="175" t="s">
        <v>1547</v>
      </c>
      <c r="J37" s="177">
        <v>46084.0</v>
      </c>
      <c r="K37" s="175" t="s">
        <v>1387</v>
      </c>
      <c r="L37" s="175" t="s">
        <v>31</v>
      </c>
      <c r="M37" s="176" t="b">
        <v>1</v>
      </c>
    </row>
    <row r="38" ht="22.5" customHeight="1">
      <c r="A38" s="180">
        <v>46085.618246157406</v>
      </c>
      <c r="B38" s="175" t="s">
        <v>1381</v>
      </c>
      <c r="C38" s="175" t="s">
        <v>1382</v>
      </c>
      <c r="D38" s="175" t="s">
        <v>1521</v>
      </c>
      <c r="E38" s="175" t="s">
        <v>1548</v>
      </c>
      <c r="F38" s="181"/>
      <c r="G38" s="175" t="s">
        <v>1549</v>
      </c>
      <c r="H38" s="175" t="s">
        <v>1550</v>
      </c>
      <c r="I38" s="175" t="s">
        <v>1551</v>
      </c>
      <c r="J38" s="177">
        <v>46085.0</v>
      </c>
      <c r="K38" s="175" t="s">
        <v>1380</v>
      </c>
      <c r="L38" s="175" t="s">
        <v>25</v>
      </c>
      <c r="M38" s="176" t="b">
        <v>1</v>
      </c>
    </row>
    <row r="39" ht="22.5" customHeight="1">
      <c r="A39" s="180">
        <v>46085.619335138894</v>
      </c>
      <c r="B39" s="175" t="s">
        <v>1381</v>
      </c>
      <c r="C39" s="175" t="s">
        <v>1382</v>
      </c>
      <c r="D39" s="175" t="s">
        <v>1552</v>
      </c>
      <c r="E39" s="175" t="s">
        <v>1553</v>
      </c>
      <c r="F39" s="181"/>
      <c r="G39" s="175" t="s">
        <v>1554</v>
      </c>
      <c r="H39" s="178" t="s">
        <v>1555</v>
      </c>
      <c r="I39" s="175" t="s">
        <v>1556</v>
      </c>
      <c r="J39" s="177">
        <v>46085.0</v>
      </c>
      <c r="K39" s="175" t="s">
        <v>1380</v>
      </c>
      <c r="L39" s="175" t="s">
        <v>25</v>
      </c>
      <c r="M39" s="176" t="b">
        <v>1</v>
      </c>
    </row>
    <row r="40" ht="22.5" customHeight="1">
      <c r="A40" s="180">
        <v>46085.639270127314</v>
      </c>
      <c r="B40" s="175" t="s">
        <v>1557</v>
      </c>
      <c r="C40" s="175" t="s">
        <v>1558</v>
      </c>
      <c r="D40" s="175" t="s">
        <v>1559</v>
      </c>
      <c r="E40" s="175" t="s">
        <v>1560</v>
      </c>
      <c r="F40" s="176">
        <v>3.5431242000365E14</v>
      </c>
      <c r="G40" s="175" t="s">
        <v>1561</v>
      </c>
      <c r="H40" s="178" t="s">
        <v>1562</v>
      </c>
      <c r="I40" s="175" t="s">
        <v>1563</v>
      </c>
      <c r="J40" s="177">
        <v>46085.0</v>
      </c>
      <c r="K40" s="175" t="s">
        <v>1387</v>
      </c>
      <c r="L40" s="175" t="s">
        <v>31</v>
      </c>
      <c r="M40" s="176" t="b">
        <v>1</v>
      </c>
    </row>
    <row r="41" ht="22.5" customHeight="1">
      <c r="A41" s="180">
        <v>46085.65840667824</v>
      </c>
      <c r="B41" s="175" t="s">
        <v>1429</v>
      </c>
      <c r="C41" s="175" t="s">
        <v>1430</v>
      </c>
      <c r="D41" s="175" t="s">
        <v>1564</v>
      </c>
      <c r="E41" s="175" t="s">
        <v>1565</v>
      </c>
      <c r="F41" s="176">
        <v>3.52673730001722E14</v>
      </c>
      <c r="G41" s="175" t="s">
        <v>1531</v>
      </c>
      <c r="H41" s="178" t="s">
        <v>1566</v>
      </c>
      <c r="I41" s="175" t="s">
        <v>1532</v>
      </c>
      <c r="J41" s="177">
        <v>46085.0</v>
      </c>
      <c r="K41" s="175" t="s">
        <v>1387</v>
      </c>
      <c r="L41" s="175" t="s">
        <v>42</v>
      </c>
      <c r="M41" s="176" t="b">
        <v>1</v>
      </c>
    </row>
    <row r="42" ht="22.5" customHeight="1">
      <c r="A42" s="180">
        <v>46085.660514710646</v>
      </c>
      <c r="B42" s="175" t="s">
        <v>1388</v>
      </c>
      <c r="C42" s="175" t="s">
        <v>1389</v>
      </c>
      <c r="D42" s="175" t="s">
        <v>1028</v>
      </c>
      <c r="E42" s="175" t="s">
        <v>1028</v>
      </c>
      <c r="F42" s="176">
        <v>3.55649780288085E14</v>
      </c>
      <c r="G42" s="175" t="s">
        <v>1567</v>
      </c>
      <c r="H42" s="178" t="s">
        <v>1568</v>
      </c>
      <c r="I42" s="175" t="s">
        <v>1569</v>
      </c>
      <c r="J42" s="177">
        <v>46086.0</v>
      </c>
      <c r="K42" s="175" t="s">
        <v>1387</v>
      </c>
      <c r="L42" s="175" t="s">
        <v>31</v>
      </c>
      <c r="M42" s="176" t="b">
        <v>1</v>
      </c>
    </row>
    <row r="43" ht="22.5" customHeight="1">
      <c r="A43" s="180">
        <v>46086.56892341435</v>
      </c>
      <c r="B43" s="175" t="s">
        <v>1570</v>
      </c>
      <c r="C43" s="175" t="s">
        <v>1571</v>
      </c>
      <c r="D43" s="175" t="s">
        <v>1572</v>
      </c>
      <c r="E43" s="175" t="s">
        <v>1573</v>
      </c>
      <c r="F43" s="176">
        <v>3.58780495026978E14</v>
      </c>
      <c r="G43" s="175" t="s">
        <v>1574</v>
      </c>
      <c r="H43" s="178" t="s">
        <v>1575</v>
      </c>
      <c r="I43" s="175" t="s">
        <v>1576</v>
      </c>
      <c r="J43" s="177">
        <v>46086.0</v>
      </c>
      <c r="K43" s="175" t="s">
        <v>1387</v>
      </c>
      <c r="L43" s="175" t="s">
        <v>31</v>
      </c>
      <c r="M43" s="176" t="b">
        <v>1</v>
      </c>
    </row>
    <row r="44" ht="22.5" customHeight="1">
      <c r="A44" s="180">
        <v>46086.58395733796</v>
      </c>
      <c r="B44" s="175" t="s">
        <v>1577</v>
      </c>
      <c r="C44" s="175" t="s">
        <v>1389</v>
      </c>
      <c r="D44" s="175" t="s">
        <v>1578</v>
      </c>
      <c r="E44" s="175" t="s">
        <v>1579</v>
      </c>
      <c r="F44" s="176">
        <v>3.55649780142837E14</v>
      </c>
      <c r="G44" s="175" t="s">
        <v>1580</v>
      </c>
      <c r="H44" s="178" t="s">
        <v>1581</v>
      </c>
      <c r="I44" s="175" t="s">
        <v>1582</v>
      </c>
      <c r="J44" s="177">
        <v>46147.0</v>
      </c>
      <c r="K44" s="175" t="s">
        <v>1380</v>
      </c>
      <c r="L44" s="175" t="s">
        <v>31</v>
      </c>
      <c r="M44" s="176" t="b">
        <v>1</v>
      </c>
    </row>
    <row r="45" ht="22.5" customHeight="1">
      <c r="A45" s="180">
        <v>46086.83903329862</v>
      </c>
      <c r="B45" s="175" t="s">
        <v>1537</v>
      </c>
      <c r="C45" s="175" t="s">
        <v>1538</v>
      </c>
      <c r="D45" s="175" t="s">
        <v>1420</v>
      </c>
      <c r="E45" s="175" t="s">
        <v>1583</v>
      </c>
      <c r="F45" s="176">
        <v>3.55649780287392E14</v>
      </c>
      <c r="G45" s="175" t="s">
        <v>1584</v>
      </c>
      <c r="H45" s="175" t="s">
        <v>1585</v>
      </c>
      <c r="I45" s="175" t="s">
        <v>1586</v>
      </c>
      <c r="J45" s="177">
        <v>46087.0</v>
      </c>
      <c r="K45" s="175" t="s">
        <v>1387</v>
      </c>
      <c r="L45" s="175" t="s">
        <v>31</v>
      </c>
      <c r="M45" s="176" t="b">
        <v>1</v>
      </c>
    </row>
    <row r="46" ht="22.5" customHeight="1">
      <c r="A46" s="180">
        <v>46087.517424375</v>
      </c>
      <c r="B46" s="175" t="s">
        <v>1445</v>
      </c>
      <c r="C46" s="175" t="s">
        <v>1446</v>
      </c>
      <c r="D46" s="175" t="s">
        <v>1587</v>
      </c>
      <c r="E46" s="175" t="s">
        <v>1588</v>
      </c>
      <c r="F46" s="176">
        <v>3.58780495015658E14</v>
      </c>
      <c r="G46" s="175" t="s">
        <v>1589</v>
      </c>
      <c r="H46" s="175" t="s">
        <v>1590</v>
      </c>
      <c r="I46" s="175" t="s">
        <v>1591</v>
      </c>
      <c r="J46" s="177">
        <v>46086.0</v>
      </c>
      <c r="K46" s="175" t="s">
        <v>1380</v>
      </c>
      <c r="L46" s="175" t="s">
        <v>31</v>
      </c>
      <c r="M46" s="176" t="b">
        <v>1</v>
      </c>
    </row>
    <row r="47" ht="22.5" customHeight="1">
      <c r="A47" s="180">
        <v>46087.52080208334</v>
      </c>
      <c r="B47" s="175" t="s">
        <v>1445</v>
      </c>
      <c r="C47" s="175" t="s">
        <v>1446</v>
      </c>
      <c r="D47" s="175" t="s">
        <v>1258</v>
      </c>
      <c r="E47" s="175" t="s">
        <v>1592</v>
      </c>
      <c r="F47" s="176">
        <v>3.58780495015658E14</v>
      </c>
      <c r="G47" s="175" t="s">
        <v>1412</v>
      </c>
      <c r="H47" s="175" t="s">
        <v>1593</v>
      </c>
      <c r="I47" s="175" t="s">
        <v>1594</v>
      </c>
      <c r="J47" s="177">
        <v>46086.0</v>
      </c>
      <c r="K47" s="175" t="s">
        <v>1380</v>
      </c>
      <c r="L47" s="175" t="s">
        <v>31</v>
      </c>
      <c r="M47" s="176" t="b">
        <v>1</v>
      </c>
    </row>
    <row r="48" ht="22.5" customHeight="1">
      <c r="A48" s="180">
        <v>46087.53172668982</v>
      </c>
      <c r="B48" s="175" t="s">
        <v>1537</v>
      </c>
      <c r="C48" s="175" t="s">
        <v>1538</v>
      </c>
      <c r="D48" s="175" t="s">
        <v>1595</v>
      </c>
      <c r="E48" s="175" t="s">
        <v>1596</v>
      </c>
      <c r="F48" s="176">
        <v>3.52246830113364E14</v>
      </c>
      <c r="G48" s="175" t="s">
        <v>1597</v>
      </c>
      <c r="H48" s="178" t="s">
        <v>1598</v>
      </c>
      <c r="I48" s="175" t="s">
        <v>1599</v>
      </c>
      <c r="J48" s="177">
        <v>46087.0</v>
      </c>
      <c r="K48" s="175" t="s">
        <v>1380</v>
      </c>
      <c r="L48" s="175" t="s">
        <v>1600</v>
      </c>
      <c r="M48" s="176" t="b">
        <v>1</v>
      </c>
    </row>
    <row r="49" ht="22.5" customHeight="1">
      <c r="A49" s="180">
        <v>46090.546470057874</v>
      </c>
      <c r="B49" s="175" t="s">
        <v>1601</v>
      </c>
      <c r="C49" s="175" t="s">
        <v>1430</v>
      </c>
      <c r="D49" s="175" t="s">
        <v>1602</v>
      </c>
      <c r="E49" s="175" t="s">
        <v>1603</v>
      </c>
      <c r="F49" s="176">
        <v>3.56335510395395E14</v>
      </c>
      <c r="G49" s="175" t="s">
        <v>1604</v>
      </c>
      <c r="H49" s="178" t="s">
        <v>1605</v>
      </c>
      <c r="I49" s="175" t="s">
        <v>1606</v>
      </c>
      <c r="J49" s="177">
        <v>46090.0</v>
      </c>
      <c r="K49" s="175" t="s">
        <v>1387</v>
      </c>
      <c r="L49" s="175" t="s">
        <v>31</v>
      </c>
      <c r="M49" s="176" t="b">
        <v>1</v>
      </c>
    </row>
    <row r="50" ht="22.5" customHeight="1">
      <c r="A50" s="180">
        <v>46090.56319972222</v>
      </c>
      <c r="B50" s="175" t="s">
        <v>1375</v>
      </c>
      <c r="C50" s="175" t="s">
        <v>1376</v>
      </c>
      <c r="D50" s="175" t="s">
        <v>1607</v>
      </c>
      <c r="E50" s="175" t="s">
        <v>709</v>
      </c>
      <c r="F50" s="176">
        <v>3.58410185073425E14</v>
      </c>
      <c r="G50" s="175" t="s">
        <v>1608</v>
      </c>
      <c r="H50" s="178" t="s">
        <v>1609</v>
      </c>
      <c r="I50" s="175" t="s">
        <v>1610</v>
      </c>
      <c r="J50" s="177">
        <v>46090.0</v>
      </c>
      <c r="K50" s="175" t="s">
        <v>1380</v>
      </c>
      <c r="L50" s="175" t="s">
        <v>31</v>
      </c>
      <c r="M50" s="176" t="b">
        <v>1</v>
      </c>
    </row>
    <row r="51" ht="22.5" customHeight="1">
      <c r="A51" s="180">
        <v>46090.69328479166</v>
      </c>
      <c r="B51" s="175" t="s">
        <v>1381</v>
      </c>
      <c r="C51" s="175" t="s">
        <v>1382</v>
      </c>
      <c r="D51" s="175" t="s">
        <v>1521</v>
      </c>
      <c r="E51" s="175" t="s">
        <v>1611</v>
      </c>
      <c r="F51" s="176" t="s">
        <v>1166</v>
      </c>
      <c r="G51" s="175" t="s">
        <v>1612</v>
      </c>
      <c r="H51" s="175" t="s">
        <v>1467</v>
      </c>
      <c r="I51" s="175" t="s">
        <v>1613</v>
      </c>
      <c r="J51" s="177">
        <v>46090.0</v>
      </c>
      <c r="K51" s="175" t="s">
        <v>1387</v>
      </c>
      <c r="L51" s="175" t="s">
        <v>25</v>
      </c>
      <c r="M51" s="176" t="b">
        <v>1</v>
      </c>
    </row>
    <row r="52" ht="22.5" customHeight="1">
      <c r="A52" s="180">
        <v>46090.748876909725</v>
      </c>
      <c r="B52" s="175" t="s">
        <v>1455</v>
      </c>
      <c r="C52" s="175" t="s">
        <v>1456</v>
      </c>
      <c r="D52" s="175" t="s">
        <v>1614</v>
      </c>
      <c r="E52" s="175" t="s">
        <v>1447</v>
      </c>
      <c r="F52" s="176">
        <v>3.58780495014362E14</v>
      </c>
      <c r="G52" s="175" t="s">
        <v>350</v>
      </c>
      <c r="H52" s="175" t="s">
        <v>1385</v>
      </c>
      <c r="I52" s="175" t="s">
        <v>1615</v>
      </c>
      <c r="J52" s="177">
        <v>46090.0</v>
      </c>
      <c r="K52" s="175" t="s">
        <v>1387</v>
      </c>
      <c r="L52" s="175" t="s">
        <v>31</v>
      </c>
      <c r="M52" s="176" t="b">
        <v>1</v>
      </c>
    </row>
    <row r="53" ht="22.5" customHeight="1">
      <c r="A53" s="180">
        <v>46090.77432762731</v>
      </c>
      <c r="B53" s="175" t="s">
        <v>1616</v>
      </c>
      <c r="C53" s="175" t="s">
        <v>1617</v>
      </c>
      <c r="D53" s="175" t="s">
        <v>1618</v>
      </c>
      <c r="E53" s="175" t="s">
        <v>1619</v>
      </c>
      <c r="F53" s="176">
        <v>3.55851150217377E14</v>
      </c>
      <c r="G53" s="175" t="s">
        <v>1620</v>
      </c>
      <c r="H53" s="178" t="s">
        <v>1621</v>
      </c>
      <c r="I53" s="175" t="s">
        <v>1622</v>
      </c>
      <c r="J53" s="177">
        <v>46090.0</v>
      </c>
      <c r="K53" s="175" t="s">
        <v>1387</v>
      </c>
      <c r="L53" s="175" t="s">
        <v>31</v>
      </c>
      <c r="M53" s="176" t="b">
        <v>1</v>
      </c>
    </row>
    <row r="54" ht="22.5" customHeight="1">
      <c r="A54" s="180">
        <v>46090.78489278935</v>
      </c>
      <c r="B54" s="175" t="s">
        <v>1623</v>
      </c>
      <c r="C54" s="175" t="s">
        <v>1617</v>
      </c>
      <c r="D54" s="175" t="s">
        <v>1624</v>
      </c>
      <c r="E54" s="175" t="s">
        <v>1625</v>
      </c>
      <c r="F54" s="176">
        <v>3.52901540313817E14</v>
      </c>
      <c r="G54" s="175" t="s">
        <v>1626</v>
      </c>
      <c r="H54" s="178" t="s">
        <v>1627</v>
      </c>
      <c r="I54" s="175" t="s">
        <v>1628</v>
      </c>
      <c r="J54" s="177">
        <v>46090.0</v>
      </c>
      <c r="K54" s="175" t="s">
        <v>1387</v>
      </c>
      <c r="L54" s="175" t="s">
        <v>31</v>
      </c>
      <c r="M54" s="176" t="b">
        <v>1</v>
      </c>
    </row>
    <row r="55" ht="22.5" customHeight="1">
      <c r="A55" s="180">
        <v>46091.45064267361</v>
      </c>
      <c r="B55" s="175" t="s">
        <v>1570</v>
      </c>
      <c r="C55" s="175" t="s">
        <v>1571</v>
      </c>
      <c r="D55" s="175" t="s">
        <v>1572</v>
      </c>
      <c r="E55" s="175" t="s">
        <v>1629</v>
      </c>
      <c r="F55" s="176" t="s">
        <v>1311</v>
      </c>
      <c r="G55" s="175" t="s">
        <v>1574</v>
      </c>
      <c r="H55" s="178" t="s">
        <v>1575</v>
      </c>
      <c r="I55" s="175" t="s">
        <v>1630</v>
      </c>
      <c r="J55" s="177">
        <v>46091.0</v>
      </c>
      <c r="K55" s="175" t="s">
        <v>1387</v>
      </c>
      <c r="L55" s="175" t="s">
        <v>25</v>
      </c>
      <c r="M55" s="176" t="b">
        <v>1</v>
      </c>
    </row>
    <row r="56" ht="22.5" customHeight="1">
      <c r="A56" s="180">
        <v>46091.48791563658</v>
      </c>
      <c r="B56" s="175" t="s">
        <v>1631</v>
      </c>
      <c r="C56" s="175" t="s">
        <v>1632</v>
      </c>
      <c r="D56" s="175" t="s">
        <v>1633</v>
      </c>
      <c r="E56" s="175" t="s">
        <v>1213</v>
      </c>
      <c r="F56" s="176">
        <v>3.52901540005744E14</v>
      </c>
      <c r="G56" s="175" t="s">
        <v>1634</v>
      </c>
      <c r="H56" s="178" t="s">
        <v>1635</v>
      </c>
      <c r="I56" s="175" t="s">
        <v>1636</v>
      </c>
      <c r="J56" s="177">
        <v>46090.0</v>
      </c>
      <c r="K56" s="175" t="s">
        <v>1387</v>
      </c>
      <c r="L56" s="175" t="s">
        <v>31</v>
      </c>
      <c r="M56" s="176" t="b">
        <v>1</v>
      </c>
    </row>
    <row r="57" ht="22.5" customHeight="1">
      <c r="A57" s="180">
        <v>46091.63962002315</v>
      </c>
      <c r="B57" s="175" t="s">
        <v>1637</v>
      </c>
      <c r="C57" s="175" t="s">
        <v>1503</v>
      </c>
      <c r="D57" s="175" t="s">
        <v>1638</v>
      </c>
      <c r="E57" s="175" t="s">
        <v>1638</v>
      </c>
      <c r="F57" s="176" t="s">
        <v>1272</v>
      </c>
      <c r="G57" s="175" t="s">
        <v>1639</v>
      </c>
      <c r="H57" s="178" t="s">
        <v>1640</v>
      </c>
      <c r="I57" s="175" t="s">
        <v>1641</v>
      </c>
      <c r="J57" s="177">
        <v>46091.0</v>
      </c>
      <c r="K57" s="175" t="s">
        <v>1387</v>
      </c>
      <c r="L57" s="175" t="s">
        <v>25</v>
      </c>
      <c r="M57" s="176" t="b">
        <v>1</v>
      </c>
    </row>
    <row r="58" ht="22.5" customHeight="1">
      <c r="A58" s="180">
        <v>46091.64044966435</v>
      </c>
      <c r="B58" s="175" t="s">
        <v>1637</v>
      </c>
      <c r="C58" s="175" t="s">
        <v>1503</v>
      </c>
      <c r="D58" s="175" t="s">
        <v>1642</v>
      </c>
      <c r="E58" s="175" t="s">
        <v>1643</v>
      </c>
      <c r="F58" s="176">
        <v>3.54922130003558E14</v>
      </c>
      <c r="G58" s="175" t="s">
        <v>1639</v>
      </c>
      <c r="H58" s="178" t="s">
        <v>1640</v>
      </c>
      <c r="I58" s="175" t="s">
        <v>1641</v>
      </c>
      <c r="J58" s="177">
        <v>46091.0</v>
      </c>
      <c r="K58" s="175" t="s">
        <v>1387</v>
      </c>
      <c r="L58" s="175" t="s">
        <v>31</v>
      </c>
      <c r="M58" s="176" t="b">
        <v>1</v>
      </c>
    </row>
    <row r="59" ht="22.5" customHeight="1">
      <c r="A59" s="180">
        <v>46091.64436697916</v>
      </c>
      <c r="B59" s="175" t="s">
        <v>1637</v>
      </c>
      <c r="C59" s="175" t="s">
        <v>1503</v>
      </c>
      <c r="D59" s="175" t="s">
        <v>1644</v>
      </c>
      <c r="E59" s="175" t="s">
        <v>1645</v>
      </c>
      <c r="F59" s="176" t="s">
        <v>1273</v>
      </c>
      <c r="G59" s="175" t="s">
        <v>1646</v>
      </c>
      <c r="H59" s="178" t="s">
        <v>1647</v>
      </c>
      <c r="I59" s="175" t="s">
        <v>1648</v>
      </c>
      <c r="J59" s="177">
        <v>46091.0</v>
      </c>
      <c r="K59" s="175" t="s">
        <v>1387</v>
      </c>
      <c r="L59" s="175" t="s">
        <v>25</v>
      </c>
      <c r="M59" s="176" t="b">
        <v>1</v>
      </c>
    </row>
    <row r="60" ht="22.5" customHeight="1">
      <c r="A60" s="180">
        <v>46091.67206615741</v>
      </c>
      <c r="B60" s="175" t="s">
        <v>1637</v>
      </c>
      <c r="C60" s="175" t="s">
        <v>1503</v>
      </c>
      <c r="D60" s="175" t="s">
        <v>1649</v>
      </c>
      <c r="E60" s="175" t="s">
        <v>1650</v>
      </c>
      <c r="F60" s="181"/>
      <c r="G60" s="175" t="s">
        <v>1651</v>
      </c>
      <c r="H60" s="175" t="s">
        <v>1652</v>
      </c>
      <c r="I60" s="175" t="s">
        <v>1653</v>
      </c>
      <c r="J60" s="177">
        <v>46091.0</v>
      </c>
      <c r="K60" s="175" t="s">
        <v>1387</v>
      </c>
      <c r="L60" s="175" t="s">
        <v>25</v>
      </c>
      <c r="M60" s="176" t="b">
        <v>1</v>
      </c>
    </row>
    <row r="61" ht="22.5" customHeight="1">
      <c r="A61" s="180">
        <v>46092.615605127314</v>
      </c>
      <c r="B61" s="175" t="s">
        <v>1381</v>
      </c>
      <c r="C61" s="175" t="s">
        <v>1382</v>
      </c>
      <c r="D61" s="175" t="s">
        <v>1521</v>
      </c>
      <c r="E61" s="175" t="s">
        <v>1654</v>
      </c>
      <c r="F61" s="176" t="s">
        <v>1339</v>
      </c>
      <c r="G61" s="175" t="s">
        <v>1655</v>
      </c>
      <c r="H61" s="175" t="s">
        <v>1656</v>
      </c>
      <c r="I61" s="175" t="s">
        <v>1657</v>
      </c>
      <c r="J61" s="177">
        <v>46092.0</v>
      </c>
      <c r="K61" s="175" t="s">
        <v>1387</v>
      </c>
      <c r="L61" s="175" t="s">
        <v>25</v>
      </c>
      <c r="M61" s="176" t="b">
        <v>1</v>
      </c>
    </row>
    <row r="62" ht="22.5" customHeight="1">
      <c r="A62" s="180">
        <v>46092.70188797454</v>
      </c>
      <c r="B62" s="175" t="s">
        <v>1381</v>
      </c>
      <c r="C62" s="175" t="s">
        <v>1382</v>
      </c>
      <c r="D62" s="175" t="s">
        <v>1658</v>
      </c>
      <c r="E62" s="175" t="s">
        <v>1659</v>
      </c>
      <c r="F62" s="176" t="s">
        <v>1319</v>
      </c>
      <c r="G62" s="175" t="s">
        <v>388</v>
      </c>
      <c r="H62" s="175" t="s">
        <v>1660</v>
      </c>
      <c r="I62" s="175" t="s">
        <v>1661</v>
      </c>
      <c r="J62" s="177">
        <v>46092.0</v>
      </c>
      <c r="K62" s="175" t="s">
        <v>1387</v>
      </c>
      <c r="L62" s="175" t="s">
        <v>25</v>
      </c>
      <c r="M62" s="176" t="b">
        <v>1</v>
      </c>
    </row>
    <row r="63" ht="22.5" customHeight="1">
      <c r="A63" s="180">
        <v>46094.46801324074</v>
      </c>
      <c r="B63" s="175" t="s">
        <v>1375</v>
      </c>
      <c r="C63" s="175" t="s">
        <v>1376</v>
      </c>
      <c r="D63" s="175" t="s">
        <v>1662</v>
      </c>
      <c r="E63" s="175" t="s">
        <v>1663</v>
      </c>
      <c r="F63" s="175">
        <v>3.54312420022502E14</v>
      </c>
      <c r="G63" s="175" t="s">
        <v>1664</v>
      </c>
      <c r="H63" s="178" t="s">
        <v>1566</v>
      </c>
      <c r="I63" s="175" t="s">
        <v>1665</v>
      </c>
      <c r="J63" s="177">
        <v>46094.0</v>
      </c>
      <c r="K63" s="175" t="s">
        <v>1380</v>
      </c>
      <c r="L63" s="175" t="s">
        <v>31</v>
      </c>
      <c r="M63" s="176" t="b">
        <v>1</v>
      </c>
    </row>
    <row r="64" ht="22.5" customHeight="1">
      <c r="A64" s="180">
        <v>46094.490706875</v>
      </c>
      <c r="B64" s="175" t="s">
        <v>1381</v>
      </c>
      <c r="C64" s="175" t="s">
        <v>1382</v>
      </c>
      <c r="D64" s="175" t="s">
        <v>1521</v>
      </c>
      <c r="E64" s="175" t="s">
        <v>1666</v>
      </c>
      <c r="F64" s="182" t="s">
        <v>1352</v>
      </c>
      <c r="G64" s="175" t="s">
        <v>1667</v>
      </c>
      <c r="H64" s="175" t="s">
        <v>1668</v>
      </c>
      <c r="I64" s="175" t="s">
        <v>1669</v>
      </c>
      <c r="J64" s="177">
        <v>46094.0</v>
      </c>
      <c r="K64" s="175" t="s">
        <v>1387</v>
      </c>
      <c r="L64" s="175" t="s">
        <v>25</v>
      </c>
      <c r="M64" s="176" t="b">
        <v>1</v>
      </c>
    </row>
    <row r="65" ht="22.5" customHeight="1">
      <c r="A65" s="180">
        <v>46094.49252835648</v>
      </c>
      <c r="B65" s="175" t="s">
        <v>1381</v>
      </c>
      <c r="C65" s="175" t="s">
        <v>1382</v>
      </c>
      <c r="D65" s="175" t="s">
        <v>1658</v>
      </c>
      <c r="E65" s="175" t="s">
        <v>1670</v>
      </c>
      <c r="F65" s="182" t="s">
        <v>1342</v>
      </c>
      <c r="G65" s="175" t="s">
        <v>737</v>
      </c>
      <c r="H65" s="175" t="s">
        <v>1671</v>
      </c>
      <c r="I65" s="175" t="s">
        <v>1672</v>
      </c>
      <c r="J65" s="177">
        <v>46094.0</v>
      </c>
      <c r="K65" s="175" t="s">
        <v>1380</v>
      </c>
      <c r="L65" s="175" t="s">
        <v>25</v>
      </c>
      <c r="M65" s="176" t="b">
        <v>1</v>
      </c>
    </row>
    <row r="66" ht="22.5" customHeight="1">
      <c r="A66" s="180">
        <v>46094.59057587963</v>
      </c>
      <c r="B66" s="175" t="s">
        <v>1381</v>
      </c>
      <c r="C66" s="175" t="s">
        <v>1382</v>
      </c>
      <c r="D66" s="175" t="s">
        <v>1673</v>
      </c>
      <c r="E66" s="175" t="s">
        <v>1674</v>
      </c>
      <c r="G66" s="175" t="s">
        <v>1452</v>
      </c>
      <c r="H66" s="175" t="s">
        <v>1453</v>
      </c>
      <c r="I66" s="175" t="s">
        <v>1675</v>
      </c>
      <c r="J66" s="177">
        <v>46094.0</v>
      </c>
      <c r="K66" s="175" t="s">
        <v>1387</v>
      </c>
      <c r="L66" s="175" t="s">
        <v>42</v>
      </c>
      <c r="M66" s="176" t="b">
        <v>1</v>
      </c>
    </row>
    <row r="67" ht="22.5" customHeight="1">
      <c r="A67" s="180">
        <v>46097.47391180556</v>
      </c>
      <c r="B67" s="175" t="s">
        <v>1483</v>
      </c>
      <c r="C67" s="175" t="s">
        <v>1456</v>
      </c>
      <c r="D67" s="175" t="s">
        <v>1676</v>
      </c>
      <c r="E67" s="175" t="s">
        <v>1677</v>
      </c>
      <c r="G67" s="175" t="s">
        <v>1678</v>
      </c>
      <c r="H67" s="178" t="s">
        <v>1679</v>
      </c>
      <c r="I67" s="175" t="s">
        <v>1680</v>
      </c>
      <c r="J67" s="177">
        <v>46097.0</v>
      </c>
      <c r="K67" s="175" t="s">
        <v>1380</v>
      </c>
      <c r="L67" s="175" t="s">
        <v>42</v>
      </c>
      <c r="M67" s="183" t="b">
        <v>0</v>
      </c>
    </row>
    <row r="68" ht="22.5" customHeight="1">
      <c r="A68" s="180">
        <v>46097.48673096065</v>
      </c>
      <c r="B68" s="175" t="s">
        <v>1681</v>
      </c>
      <c r="C68" s="175" t="s">
        <v>1682</v>
      </c>
      <c r="D68" s="175" t="s">
        <v>1676</v>
      </c>
      <c r="E68" s="175" t="s">
        <v>1673</v>
      </c>
      <c r="G68" s="175" t="s">
        <v>1683</v>
      </c>
      <c r="H68" s="175" t="s">
        <v>1684</v>
      </c>
      <c r="I68" s="175" t="s">
        <v>1685</v>
      </c>
      <c r="J68" s="177">
        <v>46097.0</v>
      </c>
      <c r="K68" s="175" t="s">
        <v>1387</v>
      </c>
      <c r="L68" s="175" t="s">
        <v>42</v>
      </c>
      <c r="M68" s="183" t="b">
        <v>0</v>
      </c>
    </row>
    <row r="69" ht="22.5" customHeight="1">
      <c r="A69" s="169">
        <v>46076.8125</v>
      </c>
      <c r="B69" s="184" t="s">
        <v>1686</v>
      </c>
      <c r="C69" s="184" t="s">
        <v>1687</v>
      </c>
      <c r="D69" s="184" t="s">
        <v>1688</v>
      </c>
      <c r="E69" s="184" t="str">
        <f t="array" ref="E69">XLOOKUP(F69,'Step 1 Data Bank'!E:E,'Step 1 Data Bank'!F:F,"",0)</f>
        <v>G-S25-EDGE 256GB SILVER</v>
      </c>
      <c r="F69" s="176">
        <v>3.54922130011403E14</v>
      </c>
      <c r="G69" s="171" t="str">
        <f t="array" ref="G69">XLOOKUP(F69,'24 Feb 2026'!C:C,'24 Feb 2026'!B:B,"",0)</f>
        <v>PH (Syndicate) - 5</v>
      </c>
      <c r="H69" s="185" t="s">
        <v>1689</v>
      </c>
      <c r="I69" s="184" t="s">
        <v>1690</v>
      </c>
      <c r="J69" s="177">
        <v>46076.0</v>
      </c>
      <c r="K69" s="184"/>
      <c r="L69" s="175" t="s">
        <v>31</v>
      </c>
      <c r="M69" s="176" t="b">
        <v>1</v>
      </c>
    </row>
    <row r="70" ht="22.5" customHeight="1">
      <c r="A70" s="169">
        <v>46076.8125</v>
      </c>
      <c r="B70" s="184" t="s">
        <v>1686</v>
      </c>
      <c r="C70" s="184" t="s">
        <v>1687</v>
      </c>
      <c r="D70" s="184" t="s">
        <v>1688</v>
      </c>
      <c r="E70" s="184" t="str">
        <f t="array" ref="E70">XLOOKUP(F70,'Step 1 Data Bank'!E:E,'Step 1 Data Bank'!F:F,"",0)</f>
        <v>G-Z-FLIP7 256GB LIGHT GREEN (2025)</v>
      </c>
      <c r="F70" s="186">
        <v>3.54312420002314E14</v>
      </c>
      <c r="G70" s="171" t="s">
        <v>1691</v>
      </c>
      <c r="H70" s="185" t="s">
        <v>1689</v>
      </c>
      <c r="I70" s="184" t="s">
        <v>1690</v>
      </c>
      <c r="J70" s="177">
        <v>46076.0</v>
      </c>
      <c r="K70" s="184"/>
      <c r="L70" s="175" t="s">
        <v>31</v>
      </c>
      <c r="M70" s="176" t="b">
        <v>1</v>
      </c>
    </row>
    <row r="71" ht="22.5" customHeight="1">
      <c r="A71" s="169">
        <v>46076.8125</v>
      </c>
      <c r="B71" s="184" t="s">
        <v>1686</v>
      </c>
      <c r="C71" s="184" t="s">
        <v>1687</v>
      </c>
      <c r="D71" s="184" t="s">
        <v>1692</v>
      </c>
      <c r="E71" s="187" t="str">
        <f t="array" ref="E71">XLOOKUP(F71,'Step 1 Data Bank'!E:E,'Step 1 Data Bank'!F:F,"",0)</f>
        <v>G-S25-ULTRA 256GB SILVER</v>
      </c>
      <c r="F71" s="188">
        <v>3.52901540005314E14</v>
      </c>
      <c r="G71" s="171" t="s">
        <v>1693</v>
      </c>
      <c r="H71" s="185" t="s">
        <v>1689</v>
      </c>
      <c r="I71" s="184" t="s">
        <v>1690</v>
      </c>
      <c r="J71" s="177">
        <v>46076.0</v>
      </c>
      <c r="K71" s="184"/>
      <c r="L71" s="175" t="s">
        <v>31</v>
      </c>
      <c r="M71" s="176" t="b">
        <v>1</v>
      </c>
    </row>
    <row r="72" ht="22.5" customHeight="1">
      <c r="A72" s="169">
        <v>46076.8125</v>
      </c>
      <c r="B72" s="184" t="s">
        <v>1686</v>
      </c>
      <c r="C72" s="184" t="s">
        <v>1687</v>
      </c>
      <c r="D72" s="184" t="s">
        <v>1692</v>
      </c>
      <c r="E72" s="187" t="str">
        <f t="array" ref="E72">XLOOKUP(F72,'Step 1 Data Bank'!E:E,'Step 1 Data Bank'!F:F,"",0)</f>
        <v>G-S25-ULTRA 512GB PINKGOLD</v>
      </c>
      <c r="F72" s="188">
        <v>3.56284530004126E14</v>
      </c>
      <c r="G72" s="171" t="s">
        <v>1694</v>
      </c>
      <c r="H72" s="185" t="s">
        <v>1689</v>
      </c>
      <c r="I72" s="184" t="s">
        <v>1690</v>
      </c>
      <c r="J72" s="177">
        <v>46076.0</v>
      </c>
      <c r="K72" s="184"/>
      <c r="L72" s="175" t="s">
        <v>31</v>
      </c>
      <c r="M72" s="176" t="b">
        <v>1</v>
      </c>
    </row>
    <row r="73" ht="22.5" customHeight="1">
      <c r="A73" s="169">
        <v>46076.8125</v>
      </c>
      <c r="B73" s="184" t="s">
        <v>1686</v>
      </c>
      <c r="C73" s="184" t="s">
        <v>1687</v>
      </c>
      <c r="D73" s="184" t="s">
        <v>1688</v>
      </c>
      <c r="E73" s="187" t="str">
        <f t="array" ref="E73">XLOOKUP(F73,'Step 1 Data Bank'!E:E,'Step 1 Data Bank'!F:F,"",0)</f>
        <v>G-S26-ULTRA 512GB SILVER</v>
      </c>
      <c r="F73" s="188">
        <v>3.52425615065151E14</v>
      </c>
      <c r="G73" s="171" t="str">
        <f>IFERROR(__xludf.DUMMYFUNCTION("XLOOKUP(F73,IMPORTRANGE(""1QoEFGJtpEnTTVVImvjLjO_7yd9zu7BdKT50XXvgkN14"",""pembagian FOC!C:C""),IMPORTRANGE(""1QoEFGJtpEnTTVVImvjLjO_7yd9zu7BdKT50XXvgkN14"",""pembagian FOC!F:F""),"""",0)"),"Bernadya")</f>
        <v>Bernadya</v>
      </c>
      <c r="H73" s="185" t="s">
        <v>1689</v>
      </c>
      <c r="I73" s="184" t="s">
        <v>1690</v>
      </c>
      <c r="J73" s="177">
        <v>46076.0</v>
      </c>
      <c r="K73" s="184"/>
      <c r="L73" s="175" t="s">
        <v>31</v>
      </c>
      <c r="M73" s="176" t="b">
        <v>1</v>
      </c>
    </row>
    <row r="74" ht="22.5" customHeight="1">
      <c r="A74" s="169">
        <v>46076.8125</v>
      </c>
      <c r="B74" s="184" t="s">
        <v>1686</v>
      </c>
      <c r="C74" s="184" t="s">
        <v>1687</v>
      </c>
      <c r="D74" s="184" t="s">
        <v>1688</v>
      </c>
      <c r="E74" s="187" t="str">
        <f t="array" ref="E74">XLOOKUP(F74,'Step 1 Data Bank'!E:E,'Step 1 Data Bank'!F:F,"",0)</f>
        <v>G-S26-ULTRA 512GB BLACK</v>
      </c>
      <c r="F74" s="188">
        <v>3.52425615198796E14</v>
      </c>
      <c r="G74" s="171" t="str">
        <f>IFERROR(__xludf.DUMMYFUNCTION("XLOOKUP(F74,IMPORTRANGE(""1QoEFGJtpEnTTVVImvjLjO_7yd9zu7BdKT50XXvgkN14"",""pembagian FOC!C:C""),IMPORTRANGE(""1QoEFGJtpEnTTVVImvjLjO_7yd9zu7BdKT50XXvgkN14"",""pembagian FOC!F:F""),"""",0)"),"Andy Garcia")</f>
        <v>Andy Garcia</v>
      </c>
      <c r="H74" s="185" t="s">
        <v>1689</v>
      </c>
      <c r="I74" s="184" t="s">
        <v>1690</v>
      </c>
      <c r="J74" s="177">
        <v>46076.0</v>
      </c>
      <c r="K74" s="184"/>
      <c r="L74" s="175" t="s">
        <v>31</v>
      </c>
      <c r="M74" s="176" t="b">
        <v>1</v>
      </c>
    </row>
    <row r="75" ht="22.5" customHeight="1">
      <c r="A75" s="169">
        <v>46076.8125</v>
      </c>
      <c r="B75" s="184" t="s">
        <v>1686</v>
      </c>
      <c r="C75" s="184" t="s">
        <v>1687</v>
      </c>
      <c r="D75" s="184" t="s">
        <v>1688</v>
      </c>
      <c r="E75" s="187" t="str">
        <f t="array" ref="E75">XLOOKUP(F75,'Step 1 Data Bank'!E:E,'Step 1 Data Bank'!F:F,"",0)</f>
        <v>G-S26-ULTRA 512GB SILVER</v>
      </c>
      <c r="F75" s="188">
        <v>3.52425615056887E14</v>
      </c>
      <c r="G75" s="171" t="str">
        <f>IFERROR(__xludf.DUMMYFUNCTION("XLOOKUP(F75,IMPORTRANGE(""1QoEFGJtpEnTTVVImvjLjO_7yd9zu7BdKT50XXvgkN14"",""pembagian FOC!C:C""),IMPORTRANGE(""1QoEFGJtpEnTTVVImvjLjO_7yd9zu7BdKT50XXvgkN14"",""pembagian FOC!F:F""),"""",0)"),"Windah")</f>
        <v>Windah</v>
      </c>
      <c r="H75" s="185" t="s">
        <v>1689</v>
      </c>
      <c r="I75" s="184" t="s">
        <v>1690</v>
      </c>
      <c r="J75" s="177">
        <v>46076.0</v>
      </c>
      <c r="K75" s="184"/>
      <c r="L75" s="175" t="s">
        <v>31</v>
      </c>
      <c r="M75" s="176" t="b">
        <v>1</v>
      </c>
    </row>
    <row r="76" ht="22.5" customHeight="1">
      <c r="A76" s="169">
        <v>46076.8125</v>
      </c>
      <c r="B76" s="184" t="s">
        <v>1686</v>
      </c>
      <c r="C76" s="184" t="s">
        <v>1687</v>
      </c>
      <c r="D76" s="184" t="s">
        <v>1688</v>
      </c>
      <c r="E76" s="187" t="str">
        <f t="array" ref="E76">XLOOKUP(F76,'Step 1 Data Bank'!E:E,'Step 1 Data Bank'!F:F,"",0)</f>
        <v>G-S26-ULTRA 256GB COBALT VIOLET</v>
      </c>
      <c r="F76" s="188">
        <v>3.58780495010311E14</v>
      </c>
      <c r="G76" s="171" t="str">
        <f>IFERROR(__xludf.DUMMYFUNCTION("XLOOKUP(F76,IMPORTRANGE(""1QoEFGJtpEnTTVVImvjLjO_7yd9zu7BdKT50XXvgkN14"",""pembagian FOC!C:C""),IMPORTRANGE(""1QoEFGJtpEnTTVVImvjLjO_7yd9zu7BdKT50XXvgkN14"",""pembagian FOC!F:F""),"""",0)"),"Taufanos")</f>
        <v>Taufanos</v>
      </c>
      <c r="H76" s="185" t="s">
        <v>1689</v>
      </c>
      <c r="I76" s="184" t="s">
        <v>1690</v>
      </c>
      <c r="J76" s="177">
        <v>46076.0</v>
      </c>
      <c r="K76" s="184"/>
      <c r="L76" s="175" t="s">
        <v>31</v>
      </c>
      <c r="M76" s="176" t="b">
        <v>1</v>
      </c>
    </row>
    <row r="77" ht="22.5" customHeight="1">
      <c r="A77" s="169">
        <v>46076.8125</v>
      </c>
      <c r="B77" s="184" t="s">
        <v>1686</v>
      </c>
      <c r="C77" s="184" t="s">
        <v>1687</v>
      </c>
      <c r="D77" s="184" t="s">
        <v>1688</v>
      </c>
      <c r="E77" s="187" t="str">
        <f t="array" ref="E77">XLOOKUP(F77,'Step 1 Data Bank'!E:E,'Step 1 Data Bank'!F:F,"",0)</f>
        <v>G-S26-ULTRA 256GB COBALT VIOLET</v>
      </c>
      <c r="F77" s="188">
        <v>3.58780495012689E14</v>
      </c>
      <c r="G77" s="171" t="str">
        <f>IFERROR(__xludf.DUMMYFUNCTION("XLOOKUP(F77,IMPORTRANGE(""1QoEFGJtpEnTTVVImvjLjO_7yd9zu7BdKT50XXvgkN14"",""pembagian FOC!C:C""),IMPORTRANGE(""1QoEFGJtpEnTTVVImvjLjO_7yd9zu7BdKT50XXvgkN14"",""pembagian FOC!F:F""),"""",0)"),"Syifa Hadju")</f>
        <v>Syifa Hadju</v>
      </c>
      <c r="H77" s="185" t="s">
        <v>1689</v>
      </c>
      <c r="I77" s="184" t="s">
        <v>1690</v>
      </c>
      <c r="J77" s="177">
        <v>46076.0</v>
      </c>
      <c r="K77" s="184"/>
      <c r="L77" s="175" t="s">
        <v>31</v>
      </c>
      <c r="M77" s="176" t="b">
        <v>1</v>
      </c>
    </row>
    <row r="78" ht="22.5" customHeight="1">
      <c r="A78" s="169">
        <v>46076.8125</v>
      </c>
      <c r="B78" s="184" t="s">
        <v>1686</v>
      </c>
      <c r="C78" s="184" t="s">
        <v>1687</v>
      </c>
      <c r="D78" s="184" t="s">
        <v>1688</v>
      </c>
      <c r="E78" s="187" t="str">
        <f t="array" ref="E78">XLOOKUP(F78,'Step 1 Data Bank'!E:E,'Step 1 Data Bank'!F:F,"",0)</f>
        <v>G-S26-ULTRA 256GB COBALT VIOLET</v>
      </c>
      <c r="F78" s="188">
        <v>3.58780495019643E14</v>
      </c>
      <c r="G78" s="171" t="str">
        <f>IFERROR(__xludf.DUMMYFUNCTION("XLOOKUP(F78,IMPORTRANGE(""1QoEFGJtpEnTTVVImvjLjO_7yd9zu7BdKT50XXvgkN14"",""pembagian FOC!C:C""),IMPORTRANGE(""1QoEFGJtpEnTTVVImvjLjO_7yd9zu7BdKT50XXvgkN14"",""pembagian FOC!F:F""),"""",0)"),"Sena Farids")</f>
        <v>Sena Farids</v>
      </c>
      <c r="H78" s="185" t="s">
        <v>1689</v>
      </c>
      <c r="I78" s="184" t="s">
        <v>1690</v>
      </c>
      <c r="J78" s="177">
        <v>46076.0</v>
      </c>
      <c r="K78" s="184"/>
      <c r="L78" s="175" t="s">
        <v>31</v>
      </c>
      <c r="M78" s="176" t="b">
        <v>1</v>
      </c>
    </row>
    <row r="79" ht="22.5" customHeight="1">
      <c r="A79" s="169">
        <v>46076.8125</v>
      </c>
      <c r="B79" s="184" t="s">
        <v>1686</v>
      </c>
      <c r="C79" s="184" t="s">
        <v>1687</v>
      </c>
      <c r="D79" s="184" t="s">
        <v>1688</v>
      </c>
      <c r="E79" s="187" t="str">
        <f t="array" ref="E79">XLOOKUP(F79,'Step 1 Data Bank'!E:E,'Step 1 Data Bank'!F:F,"",0)</f>
        <v>G-S26-ULTRA 256GB WHITE</v>
      </c>
      <c r="F79" s="188">
        <v>3.58780495002888E14</v>
      </c>
      <c r="G79" s="171" t="str">
        <f>IFERROR(__xludf.DUMMYFUNCTION("XLOOKUP(F79,IMPORTRANGE(""1QoEFGJtpEnTTVVImvjLjO_7yd9zu7BdKT50XXvgkN14"",""pembagian FOC!C:C""),IMPORTRANGE(""1QoEFGJtpEnTTVVImvjLjO_7yd9zu7BdKT50XXvgkN14"",""pembagian FOC!F:F""),"""",0)"),"Amha")</f>
        <v>Amha</v>
      </c>
      <c r="H79" s="185" t="s">
        <v>1689</v>
      </c>
      <c r="I79" s="184" t="s">
        <v>1690</v>
      </c>
      <c r="J79" s="177">
        <v>46076.0</v>
      </c>
      <c r="K79" s="184"/>
      <c r="L79" s="175" t="s">
        <v>31</v>
      </c>
      <c r="M79" s="176" t="b">
        <v>1</v>
      </c>
    </row>
    <row r="80" ht="22.5" customHeight="1">
      <c r="A80" s="169">
        <v>46076.8125</v>
      </c>
      <c r="B80" s="184" t="s">
        <v>1686</v>
      </c>
      <c r="C80" s="184" t="s">
        <v>1687</v>
      </c>
      <c r="D80" s="184" t="s">
        <v>1688</v>
      </c>
      <c r="E80" s="187" t="str">
        <f t="array" ref="E80">XLOOKUP(F80,'Step 1 Data Bank'!E:E,'Step 1 Data Bank'!F:F,"",0)</f>
        <v>G-S26-ULTRA 256GB WHITE</v>
      </c>
      <c r="F80" s="188">
        <v>3.58780495002516E14</v>
      </c>
      <c r="G80" s="171" t="str">
        <f>IFERROR(__xludf.DUMMYFUNCTION("XLOOKUP(F80,IMPORTRANGE(""1QoEFGJtpEnTTVVImvjLjO_7yd9zu7BdKT50XXvgkN14"",""pembagian FOC!C:C""),IMPORTRANGE(""1QoEFGJtpEnTTVVImvjLjO_7yd9zu7BdKT50XXvgkN14"",""pembagian FOC!F:F""),"""",0)"),"Dian Sastro")</f>
        <v>Dian Sastro</v>
      </c>
      <c r="H80" s="185" t="s">
        <v>1689</v>
      </c>
      <c r="I80" s="184" t="s">
        <v>1690</v>
      </c>
      <c r="J80" s="177">
        <v>46076.0</v>
      </c>
      <c r="K80" s="184"/>
      <c r="L80" s="175" t="s">
        <v>31</v>
      </c>
      <c r="M80" s="176" t="b">
        <v>1</v>
      </c>
    </row>
    <row r="81" ht="22.5" customHeight="1">
      <c r="A81" s="169">
        <v>46076.8125</v>
      </c>
      <c r="B81" s="184" t="s">
        <v>1686</v>
      </c>
      <c r="C81" s="184" t="s">
        <v>1687</v>
      </c>
      <c r="D81" s="184" t="s">
        <v>1688</v>
      </c>
      <c r="E81" s="187" t="str">
        <f t="array" ref="E81">XLOOKUP(F81,'Step 1 Data Bank'!E:E,'Step 1 Data Bank'!F:F,"",0)</f>
        <v>G-S26-ULTRA 256GB SKY BLUE</v>
      </c>
      <c r="F81" s="188">
        <v>3.58780495027733E14</v>
      </c>
      <c r="G81" s="171" t="str">
        <f>IFERROR(__xludf.DUMMYFUNCTION("XLOOKUP(F81,IMPORTRANGE(""1QoEFGJtpEnTTVVImvjLjO_7yd9zu7BdKT50XXvgkN14"",""pembagian FOC!C:C""),IMPORTRANGE(""1QoEFGJtpEnTTVVImvjLjO_7yd9zu7BdKT50XXvgkN14"",""pembagian FOC!F:F""),"""",0)"),"Jejakiki")</f>
        <v>Jejakiki</v>
      </c>
      <c r="H81" s="185" t="s">
        <v>1689</v>
      </c>
      <c r="I81" s="184" t="s">
        <v>1690</v>
      </c>
      <c r="J81" s="177">
        <v>46076.0</v>
      </c>
      <c r="K81" s="184"/>
      <c r="L81" s="175" t="s">
        <v>31</v>
      </c>
      <c r="M81" s="176" t="b">
        <v>1</v>
      </c>
    </row>
    <row r="82" ht="22.5" customHeight="1">
      <c r="A82" s="169">
        <v>46076.8125</v>
      </c>
      <c r="B82" s="184" t="s">
        <v>1686</v>
      </c>
      <c r="C82" s="184" t="s">
        <v>1687</v>
      </c>
      <c r="D82" s="184" t="s">
        <v>1688</v>
      </c>
      <c r="E82" s="187" t="str">
        <f t="array" ref="E82">XLOOKUP(F82,'Step 1 Data Bank'!E:E,'Step 1 Data Bank'!F:F,"",0)</f>
        <v>G-S26-ULTRA 256GB SKY BLUE</v>
      </c>
      <c r="F82" s="188">
        <v>3.58780495027166E14</v>
      </c>
      <c r="G82" s="171" t="str">
        <f>IFERROR(__xludf.DUMMYFUNCTION("XLOOKUP(F82,IMPORTRANGE(""1QoEFGJtpEnTTVVImvjLjO_7yd9zu7BdKT50XXvgkN14"",""pembagian FOC!C:C""),IMPORTRANGE(""1QoEFGJtpEnTTVVImvjLjO_7yd9zu7BdKT50XXvgkN14"",""pembagian FOC!F:F""),"""",0)"),"Kevin Pramudya")</f>
        <v>Kevin Pramudya</v>
      </c>
      <c r="H82" s="185" t="s">
        <v>1689</v>
      </c>
      <c r="I82" s="184" t="s">
        <v>1690</v>
      </c>
      <c r="J82" s="177">
        <v>46076.0</v>
      </c>
      <c r="K82" s="184"/>
      <c r="L82" s="175" t="s">
        <v>31</v>
      </c>
      <c r="M82" s="176" t="b">
        <v>1</v>
      </c>
    </row>
    <row r="83" ht="22.5" customHeight="1">
      <c r="A83" s="169">
        <v>46076.8125</v>
      </c>
      <c r="B83" s="184" t="s">
        <v>1686</v>
      </c>
      <c r="C83" s="184" t="s">
        <v>1687</v>
      </c>
      <c r="D83" s="184" t="s">
        <v>1688</v>
      </c>
      <c r="E83" s="187" t="str">
        <f t="array" ref="E83">XLOOKUP(F83,'Step 1 Data Bank'!E:E,'Step 1 Data Bank'!F:F,"",0)</f>
        <v>G-S26-ULTRA 256GB SKY BLUE</v>
      </c>
      <c r="F83" s="188">
        <v>3.58780495027596E14</v>
      </c>
      <c r="G83" s="171" t="str">
        <f>IFERROR(__xludf.DUMMYFUNCTION("XLOOKUP(F83,IMPORTRANGE(""1QoEFGJtpEnTTVVImvjLjO_7yd9zu7BdKT50XXvgkN14"",""pembagian FOC!C:C""),IMPORTRANGE(""1QoEFGJtpEnTTVVImvjLjO_7yd9zu7BdKT50XXvgkN14"",""pembagian FOC!F:F""),"""",0)"),"Joshua Ariel")</f>
        <v>Joshua Ariel</v>
      </c>
      <c r="H83" s="185" t="s">
        <v>1689</v>
      </c>
      <c r="I83" s="184" t="s">
        <v>1690</v>
      </c>
      <c r="J83" s="177">
        <v>46076.0</v>
      </c>
      <c r="K83" s="184"/>
      <c r="L83" s="175" t="s">
        <v>31</v>
      </c>
      <c r="M83" s="176" t="b">
        <v>1</v>
      </c>
    </row>
    <row r="84" ht="22.5" customHeight="1">
      <c r="A84" s="169">
        <v>46076.8125</v>
      </c>
      <c r="B84" s="184" t="s">
        <v>1686</v>
      </c>
      <c r="C84" s="184" t="s">
        <v>1687</v>
      </c>
      <c r="D84" s="184" t="s">
        <v>1688</v>
      </c>
      <c r="E84" s="187" t="str">
        <f t="array" ref="E84">XLOOKUP(F84,'Step 1 Data Bank'!E:E,'Step 1 Data Bank'!F:F,"",0)</f>
        <v>G-S26-ULTRA 256GB SKY BLUE</v>
      </c>
      <c r="F84" s="188">
        <v>3.58780495028719E14</v>
      </c>
      <c r="G84" s="171" t="str">
        <f>IFERROR(__xludf.DUMMYFUNCTION("XLOOKUP(F84,IMPORTRANGE(""1QoEFGJtpEnTTVVImvjLjO_7yd9zu7BdKT50XXvgkN14"",""pembagian FOC!C:C""),IMPORTRANGE(""1QoEFGJtpEnTTVVImvjLjO_7yd9zu7BdKT50XXvgkN14"",""pembagian FOC!F:F""),"""",0)"),"Reza Dharmawangsa")</f>
        <v>Reza Dharmawangsa</v>
      </c>
      <c r="H84" s="185" t="s">
        <v>1689</v>
      </c>
      <c r="I84" s="184" t="s">
        <v>1690</v>
      </c>
      <c r="J84" s="177">
        <v>46076.0</v>
      </c>
      <c r="K84" s="184"/>
      <c r="L84" s="175" t="s">
        <v>31</v>
      </c>
      <c r="M84" s="176" t="b">
        <v>1</v>
      </c>
    </row>
    <row r="85" ht="22.5" customHeight="1">
      <c r="A85" s="169">
        <v>46076.8125</v>
      </c>
      <c r="B85" s="184" t="s">
        <v>1686</v>
      </c>
      <c r="C85" s="184" t="s">
        <v>1687</v>
      </c>
      <c r="D85" s="184" t="s">
        <v>1688</v>
      </c>
      <c r="E85" s="187" t="str">
        <f t="array" ref="E85">XLOOKUP(F85,'Step 1 Data Bank'!E:E,'Step 1 Data Bank'!F:F,"",0)</f>
        <v>G-S26-ULTRA 512GB BLACK</v>
      </c>
      <c r="F85" s="188">
        <v>3.52425615000141E14</v>
      </c>
      <c r="G85" s="171" t="str">
        <f>IFERROR(__xludf.DUMMYFUNCTION("XLOOKUP(F85,IMPORTRANGE(""1QoEFGJtpEnTTVVImvjLjO_7yd9zu7BdKT50XXvgkN14"",""pembagian FOC!C:C""),IMPORTRANGE(""1QoEFGJtpEnTTVVImvjLjO_7yd9zu7BdKT50XXvgkN14"",""pembagian FOC!F:F""),"""",0)"),"Vonzy")</f>
        <v>Vonzy</v>
      </c>
      <c r="H85" s="185" t="s">
        <v>1689</v>
      </c>
      <c r="I85" s="184" t="s">
        <v>1690</v>
      </c>
      <c r="J85" s="177">
        <v>46076.0</v>
      </c>
      <c r="K85" s="184"/>
      <c r="L85" s="175" t="s">
        <v>31</v>
      </c>
      <c r="M85" s="176" t="b">
        <v>1</v>
      </c>
    </row>
    <row r="86" ht="22.5" customHeight="1">
      <c r="A86" s="169">
        <v>46076.8125</v>
      </c>
      <c r="B86" s="184" t="s">
        <v>1686</v>
      </c>
      <c r="C86" s="184" t="s">
        <v>1687</v>
      </c>
      <c r="D86" s="184" t="s">
        <v>1688</v>
      </c>
      <c r="E86" s="187" t="str">
        <f t="array" ref="E86">XLOOKUP(F86,'Step 1 Data Bank'!E:E,'Step 1 Data Bank'!F:F,"",0)</f>
        <v>G-S26-ULTRA 512GB BLACK</v>
      </c>
      <c r="F86" s="188">
        <v>3.52425615160531E14</v>
      </c>
      <c r="G86" s="171" t="str">
        <f>IFERROR(__xludf.DUMMYFUNCTION("XLOOKUP(F86,IMPORTRANGE(""1QoEFGJtpEnTTVVImvjLjO_7yd9zu7BdKT50XXvgkN14"",""pembagian FOC!C:C""),IMPORTRANGE(""1QoEFGJtpEnTTVVImvjLjO_7yd9zu7BdKT50XXvgkN14"",""pembagian FOC!F:F""),"""",0)"),"Agung")</f>
        <v>Agung</v>
      </c>
      <c r="H86" s="185" t="s">
        <v>1689</v>
      </c>
      <c r="I86" s="184" t="s">
        <v>1690</v>
      </c>
      <c r="J86" s="177">
        <v>46076.0</v>
      </c>
      <c r="K86" s="184"/>
      <c r="L86" s="175" t="s">
        <v>31</v>
      </c>
      <c r="M86" s="176" t="b">
        <v>1</v>
      </c>
    </row>
    <row r="87" ht="22.5" customHeight="1">
      <c r="A87" s="169">
        <v>46076.8125</v>
      </c>
      <c r="B87" s="184" t="s">
        <v>1695</v>
      </c>
      <c r="C87" s="184" t="s">
        <v>1696</v>
      </c>
      <c r="D87" s="184" t="s">
        <v>1697</v>
      </c>
      <c r="E87" s="187" t="str">
        <f t="array" ref="E87">XLOOKUP(F87,'Step 1 Data Bank'!E:E,'Step 1 Data Bank'!F:F,"",0)</f>
        <v>G-S26-ULTRA 256GB SKY BLUE</v>
      </c>
      <c r="F87" s="188">
        <v>3.58780495026945E14</v>
      </c>
      <c r="G87" s="171" t="s">
        <v>1698</v>
      </c>
      <c r="H87" s="171">
        <v>6.285163080504E12</v>
      </c>
      <c r="I87" s="184" t="s">
        <v>1699</v>
      </c>
      <c r="J87" s="189">
        <v>46078.0</v>
      </c>
      <c r="K87" s="184"/>
      <c r="L87" s="175" t="s">
        <v>31</v>
      </c>
      <c r="M87" s="176" t="b">
        <v>1</v>
      </c>
    </row>
    <row r="88" ht="22.5" customHeight="1">
      <c r="A88" s="169">
        <v>46078.75</v>
      </c>
      <c r="B88" s="184" t="s">
        <v>1700</v>
      </c>
      <c r="C88" s="184" t="s">
        <v>1701</v>
      </c>
      <c r="D88" s="184" t="s">
        <v>1457</v>
      </c>
      <c r="E88" s="187" t="str">
        <f t="array" ref="E88">XLOOKUP(F88,'Step 1 Data Bank'!E:E,'Step 1 Data Bank'!F:F,"",0)</f>
        <v>G-WATCH8 40MM DARK GRAY</v>
      </c>
      <c r="F88" s="188" t="s">
        <v>1279</v>
      </c>
      <c r="G88" s="171" t="s">
        <v>1702</v>
      </c>
      <c r="H88" s="171"/>
      <c r="I88" s="184" t="s">
        <v>1703</v>
      </c>
      <c r="J88" s="189">
        <v>46078.0</v>
      </c>
      <c r="K88" s="184"/>
      <c r="L88" s="175" t="s">
        <v>44</v>
      </c>
      <c r="M88" s="176" t="b">
        <v>1</v>
      </c>
    </row>
    <row r="89" ht="22.5" customHeight="1">
      <c r="A89" s="169">
        <v>46078.75</v>
      </c>
      <c r="B89" s="184" t="s">
        <v>1700</v>
      </c>
      <c r="C89" s="184" t="s">
        <v>1701</v>
      </c>
      <c r="D89" s="184" t="s">
        <v>1457</v>
      </c>
      <c r="E89" s="187" t="str">
        <f t="array" ref="E89">XLOOKUP(F89,'Step 1 Data Bank'!E:E,'Step 1 Data Bank'!F:F,"",0)</f>
        <v>G-BUDS3-FE GRAY (2025)</v>
      </c>
      <c r="F89" s="188" t="s">
        <v>1283</v>
      </c>
      <c r="G89" s="171" t="s">
        <v>1702</v>
      </c>
      <c r="H89" s="171"/>
      <c r="I89" s="184" t="s">
        <v>1703</v>
      </c>
      <c r="J89" s="189">
        <v>46078.0</v>
      </c>
      <c r="K89" s="184"/>
      <c r="L89" s="175" t="s">
        <v>25</v>
      </c>
      <c r="M89" s="176" t="b">
        <v>1</v>
      </c>
    </row>
    <row r="90" ht="22.5" customHeight="1">
      <c r="A90" s="169">
        <v>46078.75</v>
      </c>
      <c r="B90" s="184" t="s">
        <v>1700</v>
      </c>
      <c r="C90" s="184" t="s">
        <v>1701</v>
      </c>
      <c r="D90" s="184" t="s">
        <v>1457</v>
      </c>
      <c r="E90" s="187" t="str">
        <f t="array" ref="E90">XLOOKUP(F90,'Step 1 Data Bank'!E:E,'Step 1 Data Bank'!F:F,"",0)</f>
        <v>G-WATCH8 40MM SILVER (2025)</v>
      </c>
      <c r="F90" s="188" t="s">
        <v>1281</v>
      </c>
      <c r="G90" s="171" t="s">
        <v>1704</v>
      </c>
      <c r="H90" s="171">
        <v>6.281294641195E12</v>
      </c>
      <c r="I90" s="184" t="s">
        <v>1705</v>
      </c>
      <c r="J90" s="189">
        <v>46078.0</v>
      </c>
      <c r="K90" s="184"/>
      <c r="L90" s="175" t="s">
        <v>44</v>
      </c>
      <c r="M90" s="176" t="b">
        <v>1</v>
      </c>
    </row>
    <row r="91" ht="22.5" customHeight="1">
      <c r="A91" s="169">
        <v>46078.75</v>
      </c>
      <c r="B91" s="184" t="s">
        <v>1700</v>
      </c>
      <c r="C91" s="184" t="s">
        <v>1701</v>
      </c>
      <c r="D91" s="184" t="s">
        <v>1457</v>
      </c>
      <c r="E91" s="187" t="str">
        <f t="array" ref="E91">XLOOKUP(F91,'Step 1 Data Bank'!E:E,'Step 1 Data Bank'!F:F,"",0)</f>
        <v>G-S25-ULTRA WHITE SILVER</v>
      </c>
      <c r="F91" s="188">
        <v>3.52901540311464E14</v>
      </c>
      <c r="G91" s="171" t="s">
        <v>1704</v>
      </c>
      <c r="H91" s="171">
        <v>6.281294641195E12</v>
      </c>
      <c r="I91" s="184" t="s">
        <v>1705</v>
      </c>
      <c r="J91" s="189">
        <v>46078.0</v>
      </c>
      <c r="K91" s="184"/>
      <c r="L91" s="175" t="s">
        <v>31</v>
      </c>
      <c r="M91" s="176" t="b">
        <v>1</v>
      </c>
    </row>
    <row r="92" ht="22.5" customHeight="1">
      <c r="A92" s="169">
        <v>46078.75</v>
      </c>
      <c r="B92" s="184" t="s">
        <v>1700</v>
      </c>
      <c r="C92" s="184" t="s">
        <v>1701</v>
      </c>
      <c r="D92" s="184" t="s">
        <v>1457</v>
      </c>
      <c r="E92" s="187" t="str">
        <f t="array" ref="E92">XLOOKUP(F92,'Step 1 Data Bank'!E:E,'Step 1 Data Bank'!F:F,"",0)</f>
        <v>G-S25-FE 256GB BLACK (2025)</v>
      </c>
      <c r="F92" s="188">
        <v>3.51298320043586E14</v>
      </c>
      <c r="G92" s="171" t="s">
        <v>1706</v>
      </c>
      <c r="H92" s="171">
        <v>6.285693110693E12</v>
      </c>
      <c r="I92" s="184" t="s">
        <v>1707</v>
      </c>
      <c r="J92" s="189">
        <v>46078.0</v>
      </c>
      <c r="K92" s="184"/>
      <c r="L92" s="175" t="s">
        <v>31</v>
      </c>
      <c r="M92" s="176" t="b">
        <v>1</v>
      </c>
    </row>
    <row r="93" ht="22.5" customHeight="1">
      <c r="A93" s="169">
        <v>46078.75</v>
      </c>
      <c r="B93" s="184" t="s">
        <v>1700</v>
      </c>
      <c r="C93" s="184" t="s">
        <v>1701</v>
      </c>
      <c r="D93" s="184" t="s">
        <v>1457</v>
      </c>
      <c r="E93" s="187" t="str">
        <f t="array" ref="E93">XLOOKUP(F93,'Step 1 Data Bank'!E:E,'Step 1 Data Bank'!F:F,"",0)</f>
        <v>G-Z-FOLD7 BLUE SHADOW</v>
      </c>
      <c r="F93" s="188">
        <v>3.55626620021892E14</v>
      </c>
      <c r="G93" s="171" t="s">
        <v>1708</v>
      </c>
      <c r="H93" s="171">
        <v>6.281222770604E12</v>
      </c>
      <c r="I93" s="184" t="s">
        <v>1709</v>
      </c>
      <c r="J93" s="189">
        <v>46078.0</v>
      </c>
      <c r="K93" s="184"/>
      <c r="L93" s="175" t="s">
        <v>31</v>
      </c>
      <c r="M93" s="176" t="b">
        <v>1</v>
      </c>
    </row>
    <row r="94" ht="22.5" customHeight="1">
      <c r="A94" s="169">
        <v>46078.75</v>
      </c>
      <c r="B94" s="184" t="s">
        <v>1695</v>
      </c>
      <c r="C94" s="184" t="s">
        <v>1696</v>
      </c>
      <c r="D94" s="184"/>
      <c r="E94" s="187" t="str">
        <f t="array" ref="E94">XLOOKUP(F94,'Step 1 Data Bank'!E:E,'Step 1 Data Bank'!F:F,"",0)</f>
        <v>G-S26-ULTRA 256GB WHITE</v>
      </c>
      <c r="F94" s="188">
        <v>3.58780495002268E14</v>
      </c>
      <c r="G94" s="171" t="s">
        <v>1710</v>
      </c>
      <c r="H94" s="171">
        <v>6.287859709418E12</v>
      </c>
      <c r="I94" s="184" t="s">
        <v>1711</v>
      </c>
      <c r="J94" s="189">
        <v>46078.0</v>
      </c>
      <c r="K94" s="184"/>
      <c r="L94" s="175" t="s">
        <v>31</v>
      </c>
      <c r="M94" s="176" t="b">
        <v>1</v>
      </c>
    </row>
    <row r="95" ht="22.5" customHeight="1">
      <c r="A95" s="169">
        <v>46083.729166666664</v>
      </c>
      <c r="B95" s="184" t="s">
        <v>1695</v>
      </c>
      <c r="C95" s="184" t="s">
        <v>1696</v>
      </c>
      <c r="D95" s="184" t="s">
        <v>1258</v>
      </c>
      <c r="E95" s="187" t="str">
        <f t="array" ref="E95">XLOOKUP(F95,'Step 1 Data Bank'!E:E,'Step 1 Data Bank'!F:F,"",0)</f>
        <v>G-S26-ULTRA 256GB COBALT VIOLET</v>
      </c>
      <c r="F95" s="188">
        <v>3.5878049501442E14</v>
      </c>
      <c r="G95" s="171" t="s">
        <v>1712</v>
      </c>
      <c r="H95" s="171" t="s">
        <v>1713</v>
      </c>
      <c r="I95" s="184" t="s">
        <v>1714</v>
      </c>
      <c r="J95" s="189">
        <v>46083.0</v>
      </c>
      <c r="K95" s="184"/>
      <c r="L95" s="175" t="s">
        <v>31</v>
      </c>
      <c r="M95" s="176" t="b">
        <v>1</v>
      </c>
    </row>
    <row r="96" ht="22.5" customHeight="1">
      <c r="A96" s="169">
        <v>46085.58888888889</v>
      </c>
      <c r="B96" s="184" t="s">
        <v>1715</v>
      </c>
      <c r="C96" s="184" t="s">
        <v>1716</v>
      </c>
      <c r="D96" s="184" t="s">
        <v>1258</v>
      </c>
      <c r="E96" s="187" t="str">
        <f t="array" ref="E96">XLOOKUP(F96,'Step 1 Data Bank'!E:E,'Step 1 Data Bank'!F:F,"",0)</f>
        <v>G-S26-ULTRA 256GB COBALT VIOLET</v>
      </c>
      <c r="F96" s="188">
        <v>3.58780495005428E14</v>
      </c>
      <c r="G96" s="171" t="s">
        <v>1717</v>
      </c>
      <c r="H96" s="171"/>
      <c r="I96" s="184"/>
      <c r="J96" s="189">
        <v>46085.0</v>
      </c>
      <c r="K96" s="184"/>
      <c r="L96" s="175" t="s">
        <v>31</v>
      </c>
      <c r="M96" s="170" t="b">
        <v>1</v>
      </c>
    </row>
    <row r="97" ht="22.5" customHeight="1">
      <c r="A97" s="169">
        <v>46085.58888888889</v>
      </c>
      <c r="B97" s="184" t="s">
        <v>1718</v>
      </c>
      <c r="C97" s="184" t="s">
        <v>1719</v>
      </c>
      <c r="D97" s="184" t="s">
        <v>1258</v>
      </c>
      <c r="E97" s="187" t="str">
        <f t="array" ref="E97">XLOOKUP(F97,'Step 1 Data Bank'!E:E,'Step 1 Data Bank'!F:F,"",0)</f>
        <v>G-S26-ULTRA 256GB WHITE</v>
      </c>
      <c r="F97" s="188">
        <v>3.58780495001757E14</v>
      </c>
      <c r="G97" s="171" t="s">
        <v>766</v>
      </c>
      <c r="H97" s="171" t="s">
        <v>1720</v>
      </c>
      <c r="I97" s="184" t="s">
        <v>1721</v>
      </c>
      <c r="J97" s="189">
        <v>46085.0</v>
      </c>
      <c r="K97" s="184" t="s">
        <v>1387</v>
      </c>
      <c r="L97" s="175" t="s">
        <v>31</v>
      </c>
      <c r="M97" s="176" t="b">
        <v>1</v>
      </c>
    </row>
    <row r="98" ht="22.5" customHeight="1">
      <c r="A98" s="169">
        <v>46085.69305555556</v>
      </c>
      <c r="B98" s="175" t="s">
        <v>1381</v>
      </c>
      <c r="C98" s="175" t="s">
        <v>1382</v>
      </c>
      <c r="D98" s="184" t="s">
        <v>1552</v>
      </c>
      <c r="E98" s="187" t="str">
        <f t="array" ref="E98">XLOOKUP(F98,'Step 1 Data Bank'!E:E,'Step 1 Data Bank'!F:F,"",0)</f>
        <v>G-S25-EDGE 256GB SILVER</v>
      </c>
      <c r="F98" s="188">
        <v>3.54922130012054E14</v>
      </c>
      <c r="G98" s="171" t="s">
        <v>1549</v>
      </c>
      <c r="H98" s="171"/>
      <c r="I98" s="184"/>
      <c r="J98" s="189"/>
      <c r="K98" s="184"/>
      <c r="L98" s="184" t="s">
        <v>31</v>
      </c>
      <c r="M98" s="170" t="b">
        <v>1</v>
      </c>
    </row>
    <row r="99" ht="22.5" customHeight="1">
      <c r="A99" s="169">
        <v>46085.69305555556</v>
      </c>
      <c r="B99" s="175" t="s">
        <v>1381</v>
      </c>
      <c r="C99" s="175" t="s">
        <v>1382</v>
      </c>
      <c r="D99" s="184" t="s">
        <v>1552</v>
      </c>
      <c r="E99" s="187" t="str">
        <f t="array" ref="E99">XLOOKUP(F99,'Step 1 Data Bank'!E:E,'Step 1 Data Bank'!F:F,"",0)</f>
        <v>G-BUDS4-PRO WHITE (2026)</v>
      </c>
      <c r="F99" s="188" t="s">
        <v>1167</v>
      </c>
      <c r="G99" s="171" t="s">
        <v>1549</v>
      </c>
      <c r="H99" s="171"/>
      <c r="I99" s="184"/>
      <c r="J99" s="189"/>
      <c r="K99" s="184"/>
      <c r="L99" s="184" t="s">
        <v>25</v>
      </c>
      <c r="M99" s="170" t="b">
        <v>1</v>
      </c>
    </row>
    <row r="100" ht="22.5" customHeight="1">
      <c r="A100" s="169">
        <v>46085.69305555556</v>
      </c>
      <c r="B100" s="175" t="s">
        <v>1381</v>
      </c>
      <c r="C100" s="175" t="s">
        <v>1382</v>
      </c>
      <c r="D100" s="184" t="s">
        <v>1552</v>
      </c>
      <c r="E100" s="187" t="str">
        <f t="array" ref="E100">XLOOKUP(F100,'Step 1 Data Bank'!E:E,'Step 1 Data Bank'!F:F,"",0)</f>
        <v>G-S25-EDGE 256GB SILVER</v>
      </c>
      <c r="F100" s="188">
        <v>3.54922130015792E14</v>
      </c>
      <c r="G100" s="171" t="s">
        <v>1554</v>
      </c>
      <c r="H100" s="171"/>
      <c r="I100" s="184"/>
      <c r="J100" s="189"/>
      <c r="K100" s="184"/>
      <c r="L100" s="184" t="s">
        <v>31</v>
      </c>
      <c r="M100" s="170" t="b">
        <v>1</v>
      </c>
    </row>
    <row r="101" ht="22.5" customHeight="1">
      <c r="A101" s="169">
        <v>46078.68615740741</v>
      </c>
      <c r="B101" s="184" t="s">
        <v>1715</v>
      </c>
      <c r="C101" s="184" t="s">
        <v>1716</v>
      </c>
      <c r="D101" s="184"/>
      <c r="E101" s="187" t="str">
        <f t="array" ref="E101">XLOOKUP(F101,'Step 1 Data Bank'!E:E,'Step 1 Data Bank'!F:F,"",0)</f>
        <v>G-WATCH8 40MM SILVER (2025)</v>
      </c>
      <c r="F101" s="188" t="s">
        <v>833</v>
      </c>
      <c r="G101" s="171" t="s">
        <v>1722</v>
      </c>
      <c r="H101" s="171" t="s">
        <v>1723</v>
      </c>
      <c r="I101" s="184" t="s">
        <v>1724</v>
      </c>
      <c r="J101" s="189">
        <v>46078.0</v>
      </c>
      <c r="K101" s="184"/>
      <c r="L101" s="184" t="s">
        <v>44</v>
      </c>
      <c r="M101" s="176" t="b">
        <v>1</v>
      </c>
    </row>
    <row r="102" ht="22.5" customHeight="1">
      <c r="A102" s="169">
        <v>46090.0</v>
      </c>
      <c r="B102" s="184"/>
      <c r="C102" s="184" t="s">
        <v>1725</v>
      </c>
      <c r="D102" s="184"/>
      <c r="E102" s="187" t="s">
        <v>1726</v>
      </c>
      <c r="F102" s="188">
        <v>3.56714750089746E14</v>
      </c>
      <c r="G102" s="171" t="s">
        <v>1727</v>
      </c>
      <c r="H102" s="190" t="s">
        <v>1728</v>
      </c>
      <c r="I102" s="184" t="s">
        <v>1729</v>
      </c>
      <c r="J102" s="189">
        <v>46087.0</v>
      </c>
      <c r="K102" s="184" t="s">
        <v>1380</v>
      </c>
      <c r="L102" s="184" t="s">
        <v>31</v>
      </c>
      <c r="M102" s="176" t="b">
        <v>1</v>
      </c>
    </row>
    <row r="103" ht="22.5" customHeight="1">
      <c r="A103" s="169">
        <v>46090.0</v>
      </c>
      <c r="B103" s="184" t="s">
        <v>1715</v>
      </c>
      <c r="C103" s="184" t="s">
        <v>1716</v>
      </c>
      <c r="D103" s="184"/>
      <c r="E103" s="187" t="str">
        <f t="array" ref="E103">XLOOKUP(F103,'Step 1 Data Bank'!E:E,'Step 1 Data Bank'!F:F,"",0)</f>
        <v>G-S26-ULTRA 256GB COBALT VIOLET</v>
      </c>
      <c r="F103" s="188">
        <v>3.58780495024254E14</v>
      </c>
      <c r="G103" s="171" t="s">
        <v>350</v>
      </c>
      <c r="H103" s="171" t="s">
        <v>1730</v>
      </c>
      <c r="I103" s="184" t="s">
        <v>1690</v>
      </c>
      <c r="J103" s="189">
        <v>46090.0</v>
      </c>
      <c r="K103" s="184"/>
      <c r="L103" s="184" t="s">
        <v>31</v>
      </c>
      <c r="M103" s="176" t="b">
        <v>1</v>
      </c>
    </row>
    <row r="104" ht="22.5" customHeight="1">
      <c r="A104" s="169">
        <v>46090.0</v>
      </c>
      <c r="B104" s="184" t="s">
        <v>1715</v>
      </c>
      <c r="C104" s="184" t="s">
        <v>1716</v>
      </c>
      <c r="D104" s="184" t="s">
        <v>1258</v>
      </c>
      <c r="E104" s="187" t="str">
        <f t="array" ref="E104">XLOOKUP(F104,'Step 1 Data Bank'!E:E,'Step 1 Data Bank'!F:F,"",0)</f>
        <v>G-S26-ULTRA 256GB SILVER</v>
      </c>
      <c r="F104" s="188">
        <v>3.58780495000767E14</v>
      </c>
      <c r="G104" s="171" t="s">
        <v>758</v>
      </c>
      <c r="H104" s="171"/>
      <c r="I104" s="184"/>
      <c r="J104" s="189"/>
      <c r="K104" s="184"/>
      <c r="L104" s="175" t="s">
        <v>31</v>
      </c>
      <c r="M104" s="170" t="b">
        <v>1</v>
      </c>
    </row>
    <row r="105" ht="22.5" customHeight="1">
      <c r="A105" s="174">
        <v>46091.45064267361</v>
      </c>
      <c r="B105" s="175" t="s">
        <v>1570</v>
      </c>
      <c r="C105" s="175" t="s">
        <v>1571</v>
      </c>
      <c r="D105" s="175" t="s">
        <v>1572</v>
      </c>
      <c r="E105" s="175" t="s">
        <v>1629</v>
      </c>
      <c r="F105" s="176" t="s">
        <v>923</v>
      </c>
      <c r="G105" s="175" t="s">
        <v>1574</v>
      </c>
      <c r="H105" s="178" t="s">
        <v>1575</v>
      </c>
      <c r="I105" s="175" t="s">
        <v>1630</v>
      </c>
      <c r="J105" s="177">
        <v>46091.0</v>
      </c>
      <c r="K105" s="175" t="s">
        <v>1387</v>
      </c>
      <c r="L105" s="175" t="s">
        <v>25</v>
      </c>
      <c r="M105" s="176" t="b">
        <v>1</v>
      </c>
    </row>
    <row r="106" ht="22.5" customHeight="1">
      <c r="A106" s="169">
        <v>46090.0</v>
      </c>
      <c r="B106" s="184" t="s">
        <v>1731</v>
      </c>
      <c r="C106" s="184" t="s">
        <v>1732</v>
      </c>
      <c r="D106" s="184"/>
      <c r="E106" s="187" t="str">
        <f t="array" ref="E106">XLOOKUP(F106,'Step 1 Data Bank'!E:E,'Step 1 Data Bank'!F:F,"",0)</f>
        <v>G-BUDS4-PRO BLACK (2026)</v>
      </c>
      <c r="F106" s="188" t="s">
        <v>1322</v>
      </c>
      <c r="G106" s="171" t="s">
        <v>1698</v>
      </c>
      <c r="H106" s="171">
        <v>6.285163080504E12</v>
      </c>
      <c r="I106" s="184" t="s">
        <v>1699</v>
      </c>
      <c r="J106" s="189">
        <v>46078.0</v>
      </c>
      <c r="K106" s="184" t="s">
        <v>1380</v>
      </c>
      <c r="L106" s="184" t="s">
        <v>25</v>
      </c>
      <c r="M106" s="176" t="b">
        <v>1</v>
      </c>
    </row>
    <row r="107" ht="22.5" customHeight="1">
      <c r="A107" s="169">
        <v>46087.0</v>
      </c>
      <c r="B107" s="184" t="s">
        <v>1731</v>
      </c>
      <c r="C107" s="184" t="s">
        <v>1732</v>
      </c>
      <c r="D107" s="184"/>
      <c r="E107" s="187" t="str">
        <f t="array" ref="E107">XLOOKUP(F107,'Step 1 Data Bank'!E:E,'Step 1 Data Bank'!F:F,"",0)</f>
        <v/>
      </c>
      <c r="F107" s="188"/>
      <c r="G107" s="171" t="s">
        <v>1733</v>
      </c>
      <c r="H107" s="185" t="s">
        <v>1689</v>
      </c>
      <c r="I107" s="184" t="s">
        <v>1690</v>
      </c>
      <c r="J107" s="177">
        <v>46076.0</v>
      </c>
      <c r="K107" s="184" t="s">
        <v>1380</v>
      </c>
      <c r="L107" s="184" t="s">
        <v>25</v>
      </c>
      <c r="M107" s="176" t="b">
        <v>1</v>
      </c>
    </row>
    <row r="108" ht="22.5" customHeight="1">
      <c r="A108" s="169">
        <v>46094.0</v>
      </c>
      <c r="B108" s="175" t="s">
        <v>1418</v>
      </c>
      <c r="C108" s="175" t="s">
        <v>1419</v>
      </c>
      <c r="D108" s="184"/>
      <c r="E108" s="187" t="str">
        <f t="array" ref="E108">XLOOKUP(F108,'Step 1 Data Bank'!E:E,'Step 1 Data Bank'!F:F,"",0)</f>
        <v>G-A07-5G 128GB LIGHT VIOLET</v>
      </c>
      <c r="F108" s="188">
        <v>3.55649780139676E14</v>
      </c>
      <c r="G108" s="171" t="s">
        <v>1734</v>
      </c>
      <c r="H108" s="190" t="s">
        <v>1735</v>
      </c>
      <c r="I108" s="184" t="s">
        <v>1736</v>
      </c>
      <c r="J108" s="189">
        <v>46094.0</v>
      </c>
      <c r="K108" s="184" t="s">
        <v>1387</v>
      </c>
      <c r="L108" s="184" t="s">
        <v>31</v>
      </c>
      <c r="M108" s="170" t="b">
        <v>1</v>
      </c>
    </row>
    <row r="109" ht="22.5" customHeight="1">
      <c r="A109" s="169">
        <v>46097.0</v>
      </c>
      <c r="B109" s="184"/>
      <c r="C109" s="184" t="s">
        <v>1737</v>
      </c>
      <c r="D109" s="184"/>
      <c r="E109" s="187" t="str">
        <f t="array" ref="E109">XLOOKUP(F109,'Step 1 Data Bank'!E:E,'Step 1 Data Bank'!F:F,"",0)</f>
        <v>G-S26-ULTRA 256GB SILVER</v>
      </c>
      <c r="F109" s="191">
        <v>3.58780495000767E14</v>
      </c>
      <c r="G109" s="171" t="s">
        <v>1109</v>
      </c>
      <c r="H109" s="171" t="s">
        <v>1738</v>
      </c>
      <c r="I109" s="184"/>
      <c r="J109" s="189"/>
      <c r="K109" s="184"/>
      <c r="L109" s="184" t="s">
        <v>31</v>
      </c>
      <c r="M109" s="170" t="b">
        <v>1</v>
      </c>
    </row>
    <row r="110" ht="22.5" customHeight="1">
      <c r="A110" s="169">
        <v>46091.0</v>
      </c>
      <c r="B110" s="184"/>
      <c r="C110" s="184" t="s">
        <v>1739</v>
      </c>
      <c r="D110" s="184"/>
      <c r="E110" s="187" t="str">
        <f t="array" ref="E110">XLOOKUP(F110,'Step 1 Data Bank'!E:E,'Step 1 Data Bank'!F:F,"",0)</f>
        <v>G-S26-ULTRA 256GB WHITE</v>
      </c>
      <c r="F110" s="188">
        <v>3.58780495001591E14</v>
      </c>
      <c r="G110" s="171" t="s">
        <v>1740</v>
      </c>
      <c r="H110" s="171"/>
      <c r="I110" s="184"/>
      <c r="J110" s="189"/>
      <c r="K110" s="184"/>
      <c r="L110" s="184"/>
      <c r="M110" s="192" t="b">
        <v>0</v>
      </c>
    </row>
    <row r="111" ht="22.5" customHeight="1">
      <c r="A111" s="169">
        <v>46091.0</v>
      </c>
      <c r="B111" s="184"/>
      <c r="C111" s="184" t="s">
        <v>1719</v>
      </c>
      <c r="D111" s="184"/>
      <c r="E111" s="187" t="str">
        <f t="array" ref="E111">XLOOKUP(F111,'Step 1 Data Bank'!E:E,'Step 1 Data Bank'!F:F,"",0)</f>
        <v>G-S26-ULTRA 256GB SILVER</v>
      </c>
      <c r="F111" s="188">
        <v>3.58780495000361E14</v>
      </c>
      <c r="G111" s="171" t="s">
        <v>1719</v>
      </c>
      <c r="H111" s="171"/>
      <c r="I111" s="184"/>
      <c r="J111" s="189"/>
      <c r="K111" s="184"/>
      <c r="L111" s="184"/>
      <c r="M111" s="192" t="b">
        <v>0</v>
      </c>
    </row>
    <row r="112" ht="22.5" customHeight="1">
      <c r="A112" s="169"/>
      <c r="B112" s="184"/>
      <c r="C112" s="184"/>
      <c r="D112" s="184"/>
      <c r="E112" s="187" t="str">
        <f t="array" ref="E112">XLOOKUP(F112,'Step 1 Data Bank'!E:E,'Step 1 Data Bank'!F:F,"",0)</f>
        <v/>
      </c>
      <c r="F112" s="188"/>
      <c r="G112" s="171"/>
      <c r="H112" s="171"/>
      <c r="I112" s="184"/>
      <c r="J112" s="189"/>
      <c r="K112" s="184"/>
      <c r="L112" s="184"/>
      <c r="M112" s="192" t="b">
        <v>0</v>
      </c>
    </row>
    <row r="113" ht="22.5" customHeight="1">
      <c r="A113" s="169"/>
      <c r="B113" s="184"/>
      <c r="C113" s="184"/>
      <c r="D113" s="184"/>
      <c r="E113" s="187" t="str">
        <f t="array" ref="E113">XLOOKUP(F113,'Step 1 Data Bank'!E:E,'Step 1 Data Bank'!F:F,"",0)</f>
        <v/>
      </c>
      <c r="F113" s="188"/>
      <c r="G113" s="171"/>
      <c r="H113" s="171"/>
      <c r="I113" s="184"/>
      <c r="J113" s="189"/>
      <c r="K113" s="184"/>
      <c r="L113" s="184"/>
      <c r="M113" s="192" t="b">
        <v>0</v>
      </c>
    </row>
    <row r="114" ht="22.5" customHeight="1">
      <c r="A114" s="169"/>
      <c r="B114" s="184"/>
      <c r="C114" s="184"/>
      <c r="D114" s="184"/>
      <c r="E114" s="187" t="str">
        <f t="array" ref="E114">XLOOKUP(F114,'Step 1 Data Bank'!E:E,'Step 1 Data Bank'!F:F,"",0)</f>
        <v/>
      </c>
      <c r="F114" s="188"/>
      <c r="G114" s="171"/>
      <c r="H114" s="171"/>
      <c r="I114" s="184"/>
      <c r="J114" s="189"/>
      <c r="K114" s="184"/>
      <c r="L114" s="184"/>
      <c r="M114" s="192" t="b">
        <v>0</v>
      </c>
    </row>
    <row r="115" ht="22.5" customHeight="1">
      <c r="A115" s="169"/>
      <c r="B115" s="184"/>
      <c r="C115" s="184"/>
      <c r="D115" s="184"/>
      <c r="E115" s="187" t="str">
        <f t="array" ref="E115">XLOOKUP(F115,'Step 1 Data Bank'!E:E,'Step 1 Data Bank'!F:F,"",0)</f>
        <v/>
      </c>
      <c r="F115" s="188"/>
      <c r="G115" s="171"/>
      <c r="H115" s="171"/>
      <c r="I115" s="184"/>
      <c r="J115" s="189"/>
      <c r="K115" s="184"/>
      <c r="L115" s="184"/>
      <c r="M115" s="192" t="b">
        <v>0</v>
      </c>
    </row>
    <row r="116" ht="22.5" customHeight="1">
      <c r="A116" s="169"/>
      <c r="B116" s="184"/>
      <c r="C116" s="184"/>
      <c r="D116" s="184"/>
      <c r="E116" s="187" t="str">
        <f t="array" ref="E116">XLOOKUP(F116,'Step 1 Data Bank'!E:E,'Step 1 Data Bank'!F:F,"",0)</f>
        <v/>
      </c>
      <c r="F116" s="188"/>
      <c r="G116" s="171"/>
      <c r="H116" s="171"/>
      <c r="I116" s="184"/>
      <c r="J116" s="189"/>
      <c r="K116" s="184"/>
      <c r="L116" s="184"/>
      <c r="M116" s="192" t="b">
        <v>0</v>
      </c>
    </row>
    <row r="117" ht="22.5" customHeight="1">
      <c r="A117" s="169"/>
      <c r="B117" s="184"/>
      <c r="C117" s="184"/>
      <c r="D117" s="184"/>
      <c r="E117" s="187" t="str">
        <f t="array" ref="E117">XLOOKUP(F117,'Step 1 Data Bank'!E:E,'Step 1 Data Bank'!F:F,"",0)</f>
        <v/>
      </c>
      <c r="F117" s="188"/>
      <c r="G117" s="171"/>
      <c r="H117" s="171"/>
      <c r="I117" s="184"/>
      <c r="J117" s="189"/>
      <c r="K117" s="184"/>
      <c r="L117" s="184"/>
      <c r="M117" s="192" t="b">
        <v>0</v>
      </c>
    </row>
    <row r="118" ht="22.5" customHeight="1">
      <c r="A118" s="169"/>
      <c r="B118" s="184"/>
      <c r="C118" s="184"/>
      <c r="D118" s="184"/>
      <c r="E118" s="187" t="str">
        <f t="array" ref="E118">XLOOKUP(F118,'Step 1 Data Bank'!E:E,'Step 1 Data Bank'!F:F,"",0)</f>
        <v/>
      </c>
      <c r="F118" s="188"/>
      <c r="G118" s="171"/>
      <c r="H118" s="171"/>
      <c r="I118" s="184"/>
      <c r="J118" s="189"/>
      <c r="K118" s="184"/>
      <c r="L118" s="184"/>
      <c r="M118" s="192" t="b">
        <v>0</v>
      </c>
    </row>
    <row r="119" ht="22.5" customHeight="1">
      <c r="A119" s="169"/>
      <c r="B119" s="184"/>
      <c r="C119" s="184"/>
      <c r="D119" s="184"/>
      <c r="E119" s="187" t="str">
        <f t="array" ref="E119">XLOOKUP(F119,'Step 1 Data Bank'!E:E,'Step 1 Data Bank'!F:F,"",0)</f>
        <v/>
      </c>
      <c r="F119" s="188"/>
      <c r="G119" s="171"/>
      <c r="H119" s="171"/>
      <c r="I119" s="184"/>
      <c r="J119" s="189"/>
      <c r="K119" s="184"/>
      <c r="L119" s="184"/>
      <c r="M119" s="192" t="b">
        <v>0</v>
      </c>
    </row>
    <row r="120" ht="22.5" customHeight="1">
      <c r="A120" s="169"/>
      <c r="B120" s="184"/>
      <c r="C120" s="184"/>
      <c r="D120" s="184"/>
      <c r="E120" s="187" t="str">
        <f t="array" ref="E120">XLOOKUP(F120,'Step 1 Data Bank'!E:E,'Step 1 Data Bank'!F:F,"",0)</f>
        <v/>
      </c>
      <c r="F120" s="188"/>
      <c r="G120" s="171"/>
      <c r="H120" s="171"/>
      <c r="I120" s="184"/>
      <c r="J120" s="189"/>
      <c r="K120" s="184"/>
      <c r="L120" s="184"/>
      <c r="M120" s="192" t="b">
        <v>0</v>
      </c>
    </row>
    <row r="121" ht="22.5" customHeight="1">
      <c r="A121" s="169"/>
      <c r="B121" s="184"/>
      <c r="C121" s="184"/>
      <c r="D121" s="184"/>
      <c r="E121" s="187" t="str">
        <f t="array" ref="E121">XLOOKUP(F121,'Step 1 Data Bank'!E:E,'Step 1 Data Bank'!F:F,"",0)</f>
        <v/>
      </c>
      <c r="F121" s="188"/>
      <c r="G121" s="171"/>
      <c r="H121" s="171"/>
      <c r="I121" s="184"/>
      <c r="J121" s="189"/>
      <c r="K121" s="184"/>
      <c r="L121" s="184"/>
      <c r="M121" s="192" t="b">
        <v>0</v>
      </c>
    </row>
    <row r="122" ht="22.5" customHeight="1">
      <c r="A122" s="169"/>
      <c r="B122" s="184"/>
      <c r="C122" s="184"/>
      <c r="D122" s="184"/>
      <c r="E122" s="187" t="str">
        <f t="array" ref="E122">XLOOKUP(F122,'Step 1 Data Bank'!E:E,'Step 1 Data Bank'!F:F,"",0)</f>
        <v/>
      </c>
      <c r="F122" s="188"/>
      <c r="G122" s="171"/>
      <c r="H122" s="171"/>
      <c r="I122" s="184"/>
      <c r="J122" s="189"/>
      <c r="K122" s="184"/>
      <c r="L122" s="184"/>
      <c r="M122" s="192" t="b">
        <v>0</v>
      </c>
    </row>
    <row r="123" ht="22.5" customHeight="1">
      <c r="A123" s="169"/>
      <c r="B123" s="184"/>
      <c r="C123" s="184"/>
      <c r="D123" s="184"/>
      <c r="E123" s="187" t="str">
        <f t="array" ref="E123">XLOOKUP(F123,'Step 1 Data Bank'!E:E,'Step 1 Data Bank'!F:F,"",0)</f>
        <v/>
      </c>
      <c r="F123" s="188"/>
      <c r="G123" s="171"/>
      <c r="H123" s="171"/>
      <c r="I123" s="184"/>
      <c r="J123" s="189"/>
      <c r="K123" s="184"/>
      <c r="L123" s="184"/>
      <c r="M123" s="192" t="b">
        <v>0</v>
      </c>
    </row>
    <row r="124" ht="22.5" customHeight="1">
      <c r="A124" s="169"/>
      <c r="B124" s="184"/>
      <c r="C124" s="184"/>
      <c r="D124" s="184"/>
      <c r="E124" s="187" t="str">
        <f t="array" ref="E124">XLOOKUP(F124,'Step 1 Data Bank'!E:E,'Step 1 Data Bank'!F:F,"",0)</f>
        <v/>
      </c>
      <c r="F124" s="188"/>
      <c r="G124" s="171"/>
      <c r="H124" s="171"/>
      <c r="I124" s="184"/>
      <c r="J124" s="189"/>
      <c r="K124" s="184"/>
      <c r="L124" s="184"/>
      <c r="M124" s="192" t="b">
        <v>0</v>
      </c>
    </row>
    <row r="125" ht="22.5" customHeight="1">
      <c r="A125" s="169"/>
      <c r="B125" s="184"/>
      <c r="C125" s="184"/>
      <c r="D125" s="184"/>
      <c r="E125" s="187" t="str">
        <f t="array" ref="E125">XLOOKUP(F125,'Step 1 Data Bank'!E:E,'Step 1 Data Bank'!F:F,"",0)</f>
        <v/>
      </c>
      <c r="F125" s="188"/>
      <c r="G125" s="171"/>
      <c r="H125" s="171"/>
      <c r="I125" s="184"/>
      <c r="J125" s="189"/>
      <c r="K125" s="184"/>
      <c r="L125" s="184"/>
      <c r="M125" s="192" t="b">
        <v>0</v>
      </c>
    </row>
    <row r="126" ht="22.5" customHeight="1">
      <c r="A126" s="169"/>
      <c r="B126" s="184"/>
      <c r="C126" s="184"/>
      <c r="D126" s="184"/>
      <c r="E126" s="187" t="str">
        <f t="array" ref="E126">XLOOKUP(F126,'Step 1 Data Bank'!E:E,'Step 1 Data Bank'!F:F,"",0)</f>
        <v/>
      </c>
      <c r="F126" s="188"/>
      <c r="G126" s="171"/>
      <c r="H126" s="171"/>
      <c r="I126" s="184"/>
      <c r="J126" s="189"/>
      <c r="K126" s="184"/>
      <c r="L126" s="184"/>
      <c r="M126" s="192" t="b">
        <v>0</v>
      </c>
    </row>
    <row r="127" ht="22.5" customHeight="1">
      <c r="A127" s="169"/>
      <c r="B127" s="184"/>
      <c r="C127" s="184"/>
      <c r="D127" s="184"/>
      <c r="E127" s="187" t="str">
        <f t="array" ref="E127">XLOOKUP(F127,'Step 1 Data Bank'!E:E,'Step 1 Data Bank'!F:F,"",0)</f>
        <v/>
      </c>
      <c r="F127" s="188"/>
      <c r="G127" s="171"/>
      <c r="H127" s="171"/>
      <c r="I127" s="184"/>
      <c r="J127" s="189"/>
      <c r="K127" s="184"/>
      <c r="L127" s="184"/>
      <c r="M127" s="192" t="b">
        <v>0</v>
      </c>
    </row>
    <row r="128" ht="22.5" customHeight="1">
      <c r="A128" s="169"/>
      <c r="B128" s="184"/>
      <c r="C128" s="184"/>
      <c r="D128" s="184"/>
      <c r="E128" s="187" t="str">
        <f t="array" ref="E128">XLOOKUP(F128,'Step 1 Data Bank'!E:E,'Step 1 Data Bank'!F:F,"",0)</f>
        <v/>
      </c>
      <c r="F128" s="188"/>
      <c r="G128" s="171"/>
      <c r="H128" s="171"/>
      <c r="I128" s="184"/>
      <c r="J128" s="189"/>
      <c r="K128" s="184"/>
      <c r="L128" s="184"/>
      <c r="M128" s="192" t="b">
        <v>0</v>
      </c>
    </row>
    <row r="129" ht="22.5" customHeight="1">
      <c r="A129" s="169"/>
      <c r="B129" s="184"/>
      <c r="C129" s="184"/>
      <c r="D129" s="184"/>
      <c r="E129" s="187" t="str">
        <f t="array" ref="E129">XLOOKUP(F129,'Step 1 Data Bank'!E:E,'Step 1 Data Bank'!F:F,"",0)</f>
        <v/>
      </c>
      <c r="F129" s="188"/>
      <c r="G129" s="171"/>
      <c r="H129" s="171"/>
      <c r="I129" s="184"/>
      <c r="J129" s="189"/>
      <c r="K129" s="184"/>
      <c r="L129" s="184"/>
      <c r="M129" s="192" t="b">
        <v>0</v>
      </c>
    </row>
    <row r="130" ht="22.5" customHeight="1">
      <c r="A130" s="169"/>
      <c r="B130" s="184"/>
      <c r="C130" s="184"/>
      <c r="D130" s="184"/>
      <c r="E130" s="187" t="str">
        <f t="array" ref="E130">XLOOKUP(F130,'Step 1 Data Bank'!E:E,'Step 1 Data Bank'!F:F,"",0)</f>
        <v/>
      </c>
      <c r="F130" s="188"/>
      <c r="G130" s="171"/>
      <c r="H130" s="171"/>
      <c r="I130" s="184"/>
      <c r="J130" s="189"/>
      <c r="K130" s="184"/>
      <c r="L130" s="184"/>
      <c r="M130" s="192" t="b">
        <v>0</v>
      </c>
    </row>
    <row r="131" ht="22.5" customHeight="1">
      <c r="A131" s="169"/>
      <c r="B131" s="184"/>
      <c r="C131" s="184"/>
      <c r="D131" s="184"/>
      <c r="E131" s="187" t="str">
        <f t="array" ref="E131">XLOOKUP(F131,'Step 1 Data Bank'!E:E,'Step 1 Data Bank'!F:F,"",0)</f>
        <v/>
      </c>
      <c r="F131" s="188"/>
      <c r="G131" s="171"/>
      <c r="H131" s="171"/>
      <c r="I131" s="184"/>
      <c r="J131" s="189"/>
      <c r="K131" s="184"/>
      <c r="L131" s="184"/>
      <c r="M131" s="192" t="b">
        <v>0</v>
      </c>
    </row>
    <row r="132" ht="22.5" customHeight="1">
      <c r="A132" s="169"/>
      <c r="B132" s="184"/>
      <c r="C132" s="184"/>
      <c r="D132" s="184"/>
      <c r="E132" s="187" t="str">
        <f t="array" ref="E132">XLOOKUP(F132,'Step 1 Data Bank'!E:E,'Step 1 Data Bank'!F:F,"",0)</f>
        <v/>
      </c>
      <c r="F132" s="188"/>
      <c r="G132" s="171"/>
      <c r="H132" s="171"/>
      <c r="I132" s="184"/>
      <c r="J132" s="189"/>
      <c r="K132" s="184"/>
      <c r="L132" s="184"/>
      <c r="M132" s="192" t="b">
        <v>0</v>
      </c>
    </row>
    <row r="133" ht="22.5" customHeight="1">
      <c r="A133" s="169"/>
      <c r="B133" s="184"/>
      <c r="C133" s="184"/>
      <c r="D133" s="184"/>
      <c r="E133" s="187" t="str">
        <f t="array" ref="E133">XLOOKUP(F133,'Step 1 Data Bank'!E:E,'Step 1 Data Bank'!F:F,"",0)</f>
        <v/>
      </c>
      <c r="F133" s="188"/>
      <c r="G133" s="171"/>
      <c r="H133" s="171"/>
      <c r="I133" s="184"/>
      <c r="J133" s="189"/>
      <c r="K133" s="184"/>
      <c r="L133" s="184"/>
      <c r="M133" s="192" t="b">
        <v>0</v>
      </c>
    </row>
    <row r="134" ht="22.5" customHeight="1">
      <c r="A134" s="169"/>
      <c r="B134" s="184"/>
      <c r="C134" s="184"/>
      <c r="D134" s="184"/>
      <c r="E134" s="187" t="str">
        <f t="array" ref="E134">XLOOKUP(F134,'Step 1 Data Bank'!E:E,'Step 1 Data Bank'!F:F,"",0)</f>
        <v/>
      </c>
      <c r="F134" s="188"/>
      <c r="G134" s="171"/>
      <c r="H134" s="171"/>
      <c r="I134" s="184"/>
      <c r="J134" s="189"/>
      <c r="K134" s="184"/>
      <c r="L134" s="184"/>
      <c r="M134" s="192" t="b">
        <v>0</v>
      </c>
    </row>
    <row r="135" ht="22.5" customHeight="1">
      <c r="A135" s="169"/>
      <c r="B135" s="184"/>
      <c r="C135" s="184"/>
      <c r="D135" s="184"/>
      <c r="E135" s="187" t="str">
        <f t="array" ref="E135">XLOOKUP(F135,'Step 1 Data Bank'!E:E,'Step 1 Data Bank'!F:F,"",0)</f>
        <v/>
      </c>
      <c r="F135" s="188"/>
      <c r="G135" s="171"/>
      <c r="H135" s="171"/>
      <c r="I135" s="184"/>
      <c r="J135" s="189"/>
      <c r="K135" s="184"/>
      <c r="L135" s="184"/>
      <c r="M135" s="192" t="b">
        <v>0</v>
      </c>
    </row>
    <row r="136" ht="22.5" customHeight="1">
      <c r="A136" s="169"/>
      <c r="B136" s="184"/>
      <c r="C136" s="184"/>
      <c r="D136" s="184"/>
      <c r="E136" s="187" t="str">
        <f t="array" ref="E136">XLOOKUP(F136,'Step 1 Data Bank'!E:E,'Step 1 Data Bank'!F:F,"",0)</f>
        <v/>
      </c>
      <c r="F136" s="188"/>
      <c r="G136" s="171"/>
      <c r="H136" s="171"/>
      <c r="I136" s="184"/>
      <c r="J136" s="189"/>
      <c r="K136" s="184"/>
      <c r="L136" s="184"/>
      <c r="M136" s="192" t="b">
        <v>0</v>
      </c>
    </row>
    <row r="137" ht="22.5" customHeight="1">
      <c r="A137" s="169"/>
      <c r="B137" s="184"/>
      <c r="C137" s="184"/>
      <c r="D137" s="184"/>
      <c r="E137" s="187" t="str">
        <f t="array" ref="E137">XLOOKUP(F137,'Step 1 Data Bank'!E:E,'Step 1 Data Bank'!F:F,"",0)</f>
        <v/>
      </c>
      <c r="F137" s="188"/>
      <c r="G137" s="171"/>
      <c r="H137" s="171"/>
      <c r="I137" s="184"/>
      <c r="J137" s="189"/>
      <c r="K137" s="184"/>
      <c r="L137" s="184"/>
      <c r="M137" s="192" t="b">
        <v>0</v>
      </c>
    </row>
    <row r="138" ht="22.5" customHeight="1">
      <c r="A138" s="169"/>
      <c r="B138" s="184"/>
      <c r="C138" s="184"/>
      <c r="D138" s="184"/>
      <c r="E138" s="187" t="str">
        <f t="array" ref="E138">XLOOKUP(F138,'Step 1 Data Bank'!E:E,'Step 1 Data Bank'!F:F,"",0)</f>
        <v/>
      </c>
      <c r="F138" s="188"/>
      <c r="G138" s="171"/>
      <c r="H138" s="171"/>
      <c r="I138" s="184"/>
      <c r="J138" s="189"/>
      <c r="K138" s="184"/>
      <c r="L138" s="184"/>
      <c r="M138" s="192" t="b">
        <v>0</v>
      </c>
    </row>
    <row r="139" ht="22.5" customHeight="1">
      <c r="A139" s="169"/>
      <c r="B139" s="184"/>
      <c r="C139" s="184"/>
      <c r="D139" s="184"/>
      <c r="E139" s="187" t="str">
        <f t="array" ref="E139">XLOOKUP(F139,'Step 1 Data Bank'!E:E,'Step 1 Data Bank'!F:F,"",0)</f>
        <v/>
      </c>
      <c r="F139" s="188"/>
      <c r="G139" s="171"/>
      <c r="H139" s="171"/>
      <c r="I139" s="184"/>
      <c r="J139" s="189"/>
      <c r="K139" s="184"/>
      <c r="L139" s="184"/>
      <c r="M139" s="192" t="b">
        <v>0</v>
      </c>
    </row>
    <row r="140" ht="22.5" customHeight="1">
      <c r="A140" s="169"/>
      <c r="B140" s="184"/>
      <c r="C140" s="184"/>
      <c r="D140" s="184"/>
      <c r="E140" s="187" t="str">
        <f t="array" ref="E140">XLOOKUP(F140,'Step 1 Data Bank'!E:E,'Step 1 Data Bank'!F:F,"",0)</f>
        <v/>
      </c>
      <c r="F140" s="188"/>
      <c r="G140" s="171"/>
      <c r="H140" s="171"/>
      <c r="I140" s="184"/>
      <c r="J140" s="189"/>
      <c r="K140" s="184"/>
      <c r="L140" s="184"/>
      <c r="M140" s="192" t="b">
        <v>0</v>
      </c>
    </row>
    <row r="141" ht="22.5" customHeight="1">
      <c r="A141" s="169"/>
      <c r="B141" s="184"/>
      <c r="C141" s="184"/>
      <c r="D141" s="184"/>
      <c r="E141" s="187" t="str">
        <f t="array" ref="E141">XLOOKUP(F141,'Step 1 Data Bank'!E:E,'Step 1 Data Bank'!F:F,"",0)</f>
        <v/>
      </c>
      <c r="F141" s="188"/>
      <c r="G141" s="171"/>
      <c r="H141" s="171"/>
      <c r="I141" s="184"/>
      <c r="J141" s="189"/>
      <c r="K141" s="184"/>
      <c r="L141" s="184"/>
      <c r="M141" s="192" t="b">
        <v>0</v>
      </c>
    </row>
    <row r="142" ht="22.5" customHeight="1">
      <c r="A142" s="169"/>
      <c r="B142" s="184"/>
      <c r="C142" s="184"/>
      <c r="D142" s="184"/>
      <c r="E142" s="187" t="str">
        <f t="array" ref="E142">XLOOKUP(F142,'Step 1 Data Bank'!E:E,'Step 1 Data Bank'!F:F,"",0)</f>
        <v/>
      </c>
      <c r="F142" s="188"/>
      <c r="G142" s="171"/>
      <c r="H142" s="171"/>
      <c r="I142" s="184"/>
      <c r="J142" s="189"/>
      <c r="K142" s="184"/>
      <c r="L142" s="184"/>
      <c r="M142" s="192" t="b">
        <v>0</v>
      </c>
    </row>
    <row r="143" ht="22.5" customHeight="1">
      <c r="A143" s="169"/>
      <c r="B143" s="184"/>
      <c r="C143" s="184"/>
      <c r="D143" s="184"/>
      <c r="E143" s="187" t="str">
        <f t="array" ref="E143">XLOOKUP(F143,'Step 1 Data Bank'!E:E,'Step 1 Data Bank'!F:F,"",0)</f>
        <v/>
      </c>
      <c r="F143" s="188"/>
      <c r="G143" s="171"/>
      <c r="H143" s="171"/>
      <c r="I143" s="184"/>
      <c r="J143" s="189"/>
      <c r="K143" s="184"/>
      <c r="L143" s="184"/>
      <c r="M143" s="192" t="b">
        <v>0</v>
      </c>
    </row>
    <row r="144" ht="22.5" customHeight="1">
      <c r="A144" s="169"/>
      <c r="B144" s="184"/>
      <c r="C144" s="184"/>
      <c r="D144" s="184"/>
      <c r="E144" s="187" t="str">
        <f t="array" ref="E144">XLOOKUP(F144,'Step 1 Data Bank'!E:E,'Step 1 Data Bank'!F:F,"",0)</f>
        <v/>
      </c>
      <c r="F144" s="188"/>
      <c r="G144" s="171"/>
      <c r="H144" s="171"/>
      <c r="I144" s="184"/>
      <c r="J144" s="189"/>
      <c r="K144" s="184"/>
      <c r="L144" s="184"/>
      <c r="M144" s="192" t="b">
        <v>0</v>
      </c>
    </row>
    <row r="145" ht="22.5" customHeight="1">
      <c r="A145" s="169"/>
      <c r="B145" s="184"/>
      <c r="C145" s="184"/>
      <c r="D145" s="184"/>
      <c r="E145" s="187" t="str">
        <f t="array" ref="E145">XLOOKUP(F145,'Step 1 Data Bank'!E:E,'Step 1 Data Bank'!F:F,"",0)</f>
        <v/>
      </c>
      <c r="F145" s="188"/>
      <c r="G145" s="171"/>
      <c r="H145" s="171"/>
      <c r="I145" s="184"/>
      <c r="J145" s="189"/>
      <c r="K145" s="184"/>
      <c r="L145" s="184"/>
      <c r="M145" s="192" t="b">
        <v>0</v>
      </c>
    </row>
    <row r="146" ht="22.5" customHeight="1">
      <c r="A146" s="169"/>
      <c r="B146" s="184"/>
      <c r="C146" s="184"/>
      <c r="D146" s="184"/>
      <c r="E146" s="187" t="str">
        <f t="array" ref="E146">XLOOKUP(F146,'Step 1 Data Bank'!E:E,'Step 1 Data Bank'!F:F,"",0)</f>
        <v/>
      </c>
      <c r="F146" s="188"/>
      <c r="G146" s="171"/>
      <c r="H146" s="171"/>
      <c r="I146" s="184"/>
      <c r="J146" s="189"/>
      <c r="K146" s="184"/>
      <c r="L146" s="184"/>
      <c r="M146" s="192" t="b">
        <v>0</v>
      </c>
    </row>
    <row r="147" ht="22.5" customHeight="1">
      <c r="A147" s="169"/>
      <c r="B147" s="184"/>
      <c r="C147" s="184"/>
      <c r="D147" s="184"/>
      <c r="E147" s="187" t="str">
        <f t="array" ref="E147">XLOOKUP(F147,'Step 1 Data Bank'!E:E,'Step 1 Data Bank'!F:F,"",0)</f>
        <v/>
      </c>
      <c r="F147" s="188"/>
      <c r="G147" s="171"/>
      <c r="H147" s="171"/>
      <c r="I147" s="184"/>
      <c r="J147" s="189"/>
      <c r="K147" s="184"/>
      <c r="L147" s="184"/>
      <c r="M147" s="192" t="b">
        <v>0</v>
      </c>
    </row>
    <row r="148" ht="22.5" customHeight="1">
      <c r="A148" s="169"/>
      <c r="B148" s="184"/>
      <c r="C148" s="184"/>
      <c r="D148" s="184"/>
      <c r="E148" s="187" t="str">
        <f t="array" ref="E148">XLOOKUP(F148,'Step 1 Data Bank'!E:E,'Step 1 Data Bank'!F:F,"",0)</f>
        <v/>
      </c>
      <c r="F148" s="188"/>
      <c r="G148" s="171"/>
      <c r="H148" s="171"/>
      <c r="I148" s="184"/>
      <c r="J148" s="189"/>
      <c r="K148" s="184"/>
      <c r="L148" s="184"/>
      <c r="M148" s="192" t="b">
        <v>0</v>
      </c>
    </row>
    <row r="149" ht="22.5" customHeight="1">
      <c r="A149" s="169"/>
      <c r="B149" s="184"/>
      <c r="C149" s="184"/>
      <c r="D149" s="184"/>
      <c r="E149" s="187" t="str">
        <f t="array" ref="E149">XLOOKUP(F149,'Step 1 Data Bank'!E:E,'Step 1 Data Bank'!F:F,"",0)</f>
        <v/>
      </c>
      <c r="F149" s="188"/>
      <c r="G149" s="171"/>
      <c r="H149" s="171"/>
      <c r="I149" s="184"/>
      <c r="J149" s="189"/>
      <c r="K149" s="184"/>
      <c r="L149" s="184"/>
      <c r="M149" s="192" t="b">
        <v>0</v>
      </c>
    </row>
    <row r="150" ht="22.5" customHeight="1">
      <c r="A150" s="169"/>
      <c r="B150" s="184"/>
      <c r="C150" s="184"/>
      <c r="D150" s="184"/>
      <c r="E150" s="187" t="str">
        <f t="array" ref="E150">XLOOKUP(F150,'Step 1 Data Bank'!E:E,'Step 1 Data Bank'!F:F,"",0)</f>
        <v/>
      </c>
      <c r="F150" s="188"/>
      <c r="G150" s="171"/>
      <c r="H150" s="171"/>
      <c r="I150" s="184"/>
      <c r="J150" s="189"/>
      <c r="K150" s="184"/>
      <c r="L150" s="184"/>
      <c r="M150" s="192" t="b">
        <v>0</v>
      </c>
    </row>
    <row r="151" ht="22.5" customHeight="1">
      <c r="A151" s="169"/>
      <c r="B151" s="184"/>
      <c r="C151" s="184"/>
      <c r="D151" s="184"/>
      <c r="E151" s="187" t="str">
        <f t="array" ref="E151">XLOOKUP(F151,'Step 1 Data Bank'!E:E,'Step 1 Data Bank'!F:F,"",0)</f>
        <v/>
      </c>
      <c r="F151" s="188"/>
      <c r="G151" s="171"/>
      <c r="H151" s="171"/>
      <c r="I151" s="184"/>
      <c r="J151" s="189"/>
      <c r="K151" s="184"/>
      <c r="L151" s="184"/>
      <c r="M151" s="192" t="b">
        <v>0</v>
      </c>
    </row>
  </sheetData>
  <conditionalFormatting sqref="F70 F109">
    <cfRule type="expression" dxfId="0" priority="1">
      <formula>COUNTIF(F:F,F70)&gt;1</formula>
    </cfRule>
  </conditionalFormatting>
  <dataValidations>
    <dataValidation type="custom" allowBlank="1" showDropDown="1" sqref="J2:J151">
      <formula1>OR(NOT(ISERROR(DATEVALUE(J2))), AND(ISNUMBER(J2), LEFT(CELL("format", J2))="D"))</formula1>
    </dataValidation>
    <dataValidation type="custom" allowBlank="1" showDropDown="1" sqref="A2:A151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5"/>
    <col customWidth="1" min="5" max="5" width="20.75"/>
    <col customWidth="1" min="6" max="7" width="18.88"/>
    <col customWidth="1" min="8" max="8" width="19.63"/>
    <col customWidth="1" min="9" max="15" width="18.88"/>
  </cols>
  <sheetData>
    <row r="1" ht="22.5" customHeight="1">
      <c r="A1" s="193" t="s">
        <v>1362</v>
      </c>
      <c r="B1" s="193" t="s">
        <v>1363</v>
      </c>
      <c r="C1" s="193" t="s">
        <v>1364</v>
      </c>
      <c r="D1" s="193" t="s">
        <v>1366</v>
      </c>
      <c r="E1" s="193" t="s">
        <v>1741</v>
      </c>
      <c r="F1" s="193" t="s">
        <v>1742</v>
      </c>
      <c r="G1" s="193" t="s">
        <v>1370</v>
      </c>
      <c r="H1" s="193" t="s">
        <v>1369</v>
      </c>
      <c r="I1" s="193" t="s">
        <v>1373</v>
      </c>
    </row>
    <row r="2">
      <c r="A2" s="119"/>
    </row>
    <row r="3">
      <c r="A3" s="194"/>
      <c r="F3" s="195"/>
      <c r="G3" s="195"/>
      <c r="H3" s="195"/>
      <c r="I3" s="196"/>
    </row>
    <row r="4">
      <c r="A4" s="119"/>
    </row>
    <row r="5">
      <c r="A5" s="119"/>
    </row>
    <row r="6">
      <c r="A6" s="119"/>
    </row>
    <row r="7">
      <c r="A7" s="119"/>
    </row>
    <row r="8">
      <c r="A8" s="119"/>
    </row>
    <row r="9">
      <c r="A9" s="119"/>
    </row>
    <row r="10">
      <c r="A10" s="119"/>
    </row>
    <row r="11">
      <c r="A11" s="119"/>
    </row>
    <row r="12">
      <c r="A12" s="119"/>
    </row>
    <row r="13">
      <c r="A13" s="119"/>
    </row>
    <row r="14">
      <c r="A14" s="119"/>
    </row>
    <row r="15">
      <c r="A15" s="119"/>
    </row>
    <row r="16">
      <c r="A16" s="119"/>
    </row>
    <row r="17">
      <c r="A17" s="119"/>
    </row>
    <row r="18">
      <c r="A18" s="119"/>
    </row>
    <row r="19">
      <c r="A19" s="119"/>
    </row>
    <row r="20">
      <c r="A20" s="119"/>
    </row>
    <row r="21">
      <c r="A21" s="119"/>
    </row>
    <row r="22">
      <c r="A22" s="119"/>
    </row>
    <row r="23">
      <c r="A23" s="119"/>
    </row>
    <row r="24">
      <c r="A24" s="119"/>
    </row>
    <row r="25">
      <c r="A25" s="119"/>
    </row>
    <row r="26">
      <c r="A26" s="119"/>
    </row>
    <row r="27">
      <c r="A27" s="119"/>
    </row>
    <row r="28">
      <c r="A28" s="119"/>
    </row>
    <row r="29">
      <c r="A29" s="119"/>
    </row>
    <row r="30">
      <c r="A30" s="119"/>
    </row>
    <row r="31">
      <c r="A31" s="119"/>
    </row>
    <row r="32">
      <c r="A32" s="119"/>
    </row>
    <row r="33">
      <c r="A33" s="119"/>
    </row>
    <row r="34">
      <c r="A34" s="119"/>
    </row>
    <row r="35">
      <c r="A35" s="119"/>
    </row>
    <row r="36">
      <c r="A36" s="119"/>
    </row>
    <row r="37">
      <c r="A37" s="119"/>
    </row>
    <row r="38">
      <c r="A38" s="119"/>
    </row>
    <row r="39">
      <c r="A39" s="119"/>
    </row>
    <row r="40">
      <c r="A40" s="119"/>
    </row>
    <row r="41">
      <c r="A41" s="119"/>
    </row>
    <row r="42">
      <c r="A42" s="119"/>
    </row>
    <row r="43">
      <c r="A43" s="119"/>
    </row>
    <row r="44">
      <c r="A44" s="119"/>
    </row>
    <row r="45">
      <c r="A45" s="119"/>
    </row>
    <row r="46">
      <c r="A46" s="119"/>
    </row>
    <row r="47">
      <c r="A47" s="119"/>
    </row>
    <row r="48">
      <c r="A48" s="119"/>
    </row>
    <row r="49">
      <c r="A49" s="119"/>
    </row>
    <row r="50">
      <c r="A50" s="119"/>
    </row>
    <row r="51">
      <c r="A51" s="119"/>
    </row>
    <row r="52">
      <c r="A52" s="119"/>
    </row>
    <row r="53">
      <c r="A53" s="119"/>
    </row>
    <row r="54">
      <c r="A54" s="119"/>
    </row>
    <row r="55">
      <c r="A55" s="119"/>
    </row>
    <row r="56">
      <c r="A56" s="119"/>
    </row>
    <row r="57">
      <c r="A57" s="119"/>
    </row>
    <row r="58">
      <c r="A58" s="119"/>
    </row>
    <row r="59">
      <c r="A59" s="119"/>
    </row>
    <row r="60">
      <c r="A60" s="119"/>
    </row>
    <row r="61">
      <c r="A61" s="119"/>
    </row>
    <row r="62">
      <c r="A62" s="119"/>
    </row>
    <row r="63">
      <c r="A63" s="119"/>
    </row>
    <row r="64">
      <c r="A64" s="119"/>
    </row>
    <row r="65">
      <c r="A65" s="119"/>
    </row>
    <row r="66">
      <c r="A66" s="119"/>
    </row>
    <row r="67">
      <c r="A67" s="119"/>
    </row>
    <row r="68">
      <c r="A68" s="119"/>
    </row>
    <row r="69">
      <c r="A69" s="119"/>
    </row>
    <row r="70">
      <c r="A70" s="119"/>
    </row>
    <row r="71">
      <c r="A71" s="119"/>
    </row>
    <row r="72">
      <c r="A72" s="119"/>
    </row>
    <row r="73">
      <c r="A73" s="119"/>
    </row>
    <row r="74">
      <c r="A74" s="119"/>
    </row>
    <row r="75">
      <c r="A75" s="119"/>
    </row>
    <row r="76">
      <c r="A76" s="119"/>
    </row>
    <row r="77">
      <c r="A77" s="119"/>
    </row>
    <row r="78">
      <c r="A78" s="119"/>
    </row>
    <row r="79">
      <c r="A79" s="119"/>
    </row>
    <row r="80">
      <c r="A80" s="119"/>
    </row>
    <row r="81">
      <c r="A81" s="119"/>
    </row>
    <row r="82">
      <c r="A82" s="119"/>
    </row>
    <row r="83">
      <c r="A83" s="119"/>
    </row>
    <row r="84">
      <c r="A84" s="119"/>
    </row>
    <row r="85">
      <c r="A85" s="119"/>
    </row>
    <row r="86">
      <c r="A86" s="119"/>
    </row>
    <row r="87">
      <c r="A87" s="119"/>
    </row>
    <row r="88">
      <c r="A88" s="119"/>
    </row>
    <row r="89">
      <c r="A89" s="119"/>
    </row>
    <row r="90">
      <c r="A90" s="119"/>
    </row>
    <row r="91">
      <c r="A91" s="119"/>
    </row>
    <row r="92">
      <c r="A92" s="119"/>
    </row>
    <row r="93">
      <c r="A93" s="119"/>
    </row>
    <row r="94">
      <c r="A94" s="119"/>
    </row>
    <row r="95">
      <c r="A95" s="119"/>
    </row>
    <row r="96">
      <c r="A96" s="119"/>
    </row>
    <row r="97">
      <c r="A97" s="119"/>
    </row>
    <row r="98">
      <c r="A98" s="119"/>
    </row>
    <row r="99">
      <c r="A99" s="119"/>
    </row>
    <row r="100">
      <c r="A100" s="119"/>
    </row>
  </sheetData>
  <dataValidations>
    <dataValidation type="custom" allowBlank="1" showDropDown="1" sqref="A2:A100">
      <formula1>OR(NOT(ISERROR(DATEVALUE(A2))), AND(ISNUMBER(A2), LEFT(CELL("format", A2))="D"))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hidden="1" min="2" max="2" width="9.63"/>
    <col customWidth="1" hidden="1" min="3" max="3" width="20.88"/>
    <col customWidth="1" min="5" max="5" width="16.88"/>
    <col customWidth="1" min="6" max="6" width="20.75"/>
    <col customWidth="1" hidden="1" min="7" max="7" width="18.0"/>
    <col customWidth="1" min="8" max="8" width="30.75"/>
    <col customWidth="1" min="11" max="11" width="22.13"/>
    <col customWidth="1" min="12" max="12" width="18.38"/>
    <col customWidth="1" hidden="1" min="13" max="13" width="17.5"/>
    <col hidden="1" min="14" max="14" width="12.63"/>
    <col customWidth="1" min="15" max="18" width="15.38"/>
    <col customWidth="1" min="19" max="21" width="12.63"/>
  </cols>
  <sheetData>
    <row r="1">
      <c r="A1" s="197" t="str">
        <f>IFERROR(__xludf.DUMMYFUNCTION("IMPORTRANGE(""15A99gUJB7IZCAV8yUKB99mOcb8wmz11Eb0x2lC2c7Ws"",""Overdue GOAT (26 Feb)!A:M"")"),"Return 
 (Month)")</f>
        <v>Return 
 (Month)</v>
      </c>
      <c r="B1" s="198" t="str">
        <f>IFERROR(__xludf.DUMMYFUNCTION("""COMPUTED_VALUE"""),"LOCATION")</f>
        <v>LOCATION</v>
      </c>
      <c r="C1" s="198" t="str">
        <f>IFERROR(__xludf.DUMMYFUNCTION("""COMPUTED_VALUE"""),"SEIN PIC 1")</f>
        <v>SEIN PIC 1</v>
      </c>
      <c r="D1" s="198" t="str">
        <f>IFERROR(__xludf.DUMMYFUNCTION("""COMPUTED_VALUE"""),"SEIN PIC 2")</f>
        <v>SEIN PIC 2</v>
      </c>
      <c r="E1" s="199" t="str">
        <f>IFERROR(__xludf.DUMMYFUNCTION("""COMPUTED_VALUE"""),"Contact Person")</f>
        <v>Contact Person</v>
      </c>
      <c r="F1" s="198" t="str">
        <f>IFERROR(__xludf.DUMMYFUNCTION("""COMPUTED_VALUE"""),"Serial Number")</f>
        <v>Serial Number</v>
      </c>
      <c r="G1" s="198" t="str">
        <f>IFERROR(__xludf.DUMMYFUNCTION("""COMPUTED_VALUE"""),"Material")</f>
        <v>Material</v>
      </c>
      <c r="H1" s="199" t="str">
        <f>IFERROR(__xludf.DUMMYFUNCTION("""COMPUTED_VALUE"""),"Material Description")</f>
        <v>Material Description</v>
      </c>
      <c r="I1" s="198" t="str">
        <f>IFERROR(__xludf.DUMMYFUNCTION("""COMPUTED_VALUE"""),"Plan Return Date")</f>
        <v>Plan Return Date</v>
      </c>
      <c r="J1" s="198" t="str">
        <f>IFERROR(__xludf.DUMMYFUNCTION("""COMPUTED_VALUE"""),"Overdue
 (days)")</f>
        <v>Overdue
 (days)</v>
      </c>
      <c r="K1" s="199" t="str">
        <f>IFERROR(__xludf.DUMMYFUNCTION("""COMPUTED_VALUE"""),"Status Update")</f>
        <v>Status Update</v>
      </c>
      <c r="L1" s="200" t="str">
        <f>IFERROR(__xludf.DUMMYFUNCTION("""COMPUTED_VALUE"""),"Overdue Name")</f>
        <v>Overdue Name</v>
      </c>
      <c r="M1" s="201" t="str">
        <f>IFERROR(__xludf.DUMMYFUNCTION("""COMPUTED_VALUE"""),"Link Timestamp")</f>
        <v>Link Timestamp</v>
      </c>
      <c r="N1" s="202" t="s">
        <v>1743</v>
      </c>
      <c r="O1" s="203" t="s">
        <v>1744</v>
      </c>
      <c r="P1" s="204" t="s">
        <v>1745</v>
      </c>
      <c r="Q1" s="204" t="s">
        <v>1746</v>
      </c>
      <c r="R1" s="204" t="s">
        <v>1747</v>
      </c>
      <c r="S1" s="205" t="s">
        <v>1748</v>
      </c>
      <c r="T1" s="205" t="s">
        <v>1746</v>
      </c>
      <c r="U1" s="205" t="s">
        <v>1747</v>
      </c>
      <c r="V1" s="206"/>
      <c r="W1" s="206"/>
      <c r="X1" s="206"/>
      <c r="Y1" s="206"/>
      <c r="Z1" s="206"/>
      <c r="AA1" s="206"/>
      <c r="AB1" s="206"/>
      <c r="AC1" s="206"/>
      <c r="AD1" s="206"/>
      <c r="AE1" s="206"/>
    </row>
    <row r="2">
      <c r="A2" s="207">
        <f>IFERROR(__xludf.DUMMYFUNCTION("""COMPUTED_VALUE"""),45931.0)</f>
        <v>45931</v>
      </c>
      <c r="B2" s="158" t="str">
        <f>IFERROR(__xludf.DUMMYFUNCTION("""COMPUTED_VALUE"""),"GOAT")</f>
        <v>GOAT</v>
      </c>
      <c r="C2" s="158" t="str">
        <f>IFERROR(__xludf.DUMMYFUNCTION("""COMPUTED_VALUE"""),"Anggi Paramita Gianieri")</f>
        <v>Anggi Paramita Gianieri</v>
      </c>
      <c r="D2" s="158" t="str">
        <f>IFERROR(__xludf.DUMMYFUNCTION("""COMPUTED_VALUE"""),"Cindana")</f>
        <v>Cindana</v>
      </c>
      <c r="E2" s="160" t="str">
        <f>IFERROR(__xludf.DUMMYFUNCTION("""COMPUTED_VALUE"""),"TASHYA FEBRIANI +62 812-9933-3295")</f>
        <v>TASHYA FEBRIANI +62 812-9933-3295</v>
      </c>
      <c r="F2" s="158">
        <f>IFERROR(__xludf.DUMMYFUNCTION("""COMPUTED_VALUE"""),3.54166470004087E14)</f>
        <v>354166470004087</v>
      </c>
      <c r="G2" s="158" t="str">
        <f>IFERROR(__xludf.DUMMYFUNCTION("""COMPUTED_VALUE"""),"SM-S936BLGBXID")</f>
        <v>SM-S936BLGBXID</v>
      </c>
      <c r="H2" s="160" t="str">
        <f>IFERROR(__xludf.DUMMYFUNCTION("""COMPUTED_VALUE"""),"G-S25+ (256GB) LIGHT GREEN (2025)")</f>
        <v>G-S25+ (256GB) LIGHT GREEN (2025)</v>
      </c>
      <c r="I2" s="208">
        <f>IFERROR(__xludf.DUMMYFUNCTION("""COMPUTED_VALUE"""),45960.0)</f>
        <v>45960</v>
      </c>
      <c r="J2" s="158">
        <f>IFERROR(__xludf.DUMMYFUNCTION("""COMPUTED_VALUE"""),121.0)</f>
        <v>121</v>
      </c>
      <c r="K2" s="160" t="str">
        <f>IFERROR(__xludf.DUMMYFUNCTION("""COMPUTED_VALUE"""),"Lost by KOL Nadzwaf Est. Payment Date 16.02.26")</f>
        <v>Lost by KOL Nadzwaf Est. Payment Date 16.02.26</v>
      </c>
      <c r="L2" s="158" t="str">
        <f>IFERROR(__xludf.DUMMYFUNCTION("""COMPUTED_VALUE"""),"Lost")</f>
        <v>Lost</v>
      </c>
      <c r="M2" s="152"/>
      <c r="N2" s="158"/>
      <c r="O2" s="158"/>
      <c r="P2" s="158" t="str">
        <f>IF(ISNUMBER(MATCH(F2,'Step 1 Data Bank'!E:E, 0)), "On Data Bank", "Not In Data Bank")</f>
        <v>Not In Data Bank</v>
      </c>
      <c r="Q2" s="158" t="str">
        <f t="array" ref="Q2">XLOOKUP(F2,'Step 1 Data Bank'!E:E,'Step 1 Data Bank'!M:M,"",0)</f>
        <v/>
      </c>
      <c r="R2" s="158"/>
      <c r="S2" s="158" t="str">
        <f>IF(ISNUMBER(MATCH(F2,'Step 1 Data Bank'!E:E, 0)), "On OLD Data", "Not In Old Data")</f>
        <v>Not In Old Data</v>
      </c>
      <c r="T2" s="158" t="str">
        <f t="array" ref="T2">XLOOKUP(F2,'OLD DATA'!H:H,'OLD DATA'!I:I,"",0)</f>
        <v>LOCKER</v>
      </c>
      <c r="U2" s="158" t="str">
        <f t="array" ref="U2">XLOOKUP(F2,'OLD DATA'!H:H,'OLD DATA'!J:J,"",0)</f>
        <v/>
      </c>
      <c r="V2" s="158"/>
      <c r="W2" s="158"/>
      <c r="X2" s="158"/>
      <c r="Y2" s="158"/>
      <c r="Z2" s="158"/>
      <c r="AA2" s="158"/>
      <c r="AB2" s="158"/>
      <c r="AC2" s="158"/>
      <c r="AD2" s="158"/>
      <c r="AE2" s="158"/>
    </row>
    <row r="3">
      <c r="A3" s="207">
        <f>IFERROR(__xludf.DUMMYFUNCTION("""COMPUTED_VALUE"""),45931.0)</f>
        <v>45931</v>
      </c>
      <c r="B3" s="158" t="str">
        <f>IFERROR(__xludf.DUMMYFUNCTION("""COMPUTED_VALUE"""),"GOAT")</f>
        <v>GOAT</v>
      </c>
      <c r="C3" s="158" t="str">
        <f>IFERROR(__xludf.DUMMYFUNCTION("""COMPUTED_VALUE"""),"Anggi Paramita Gianieri")</f>
        <v>Anggi Paramita Gianieri</v>
      </c>
      <c r="D3" s="158" t="str">
        <f>IFERROR(__xludf.DUMMYFUNCTION("""COMPUTED_VALUE"""),"Cindana")</f>
        <v>Cindana</v>
      </c>
      <c r="E3" s="160" t="str">
        <f>IFERROR(__xludf.DUMMYFUNCTION("""COMPUTED_VALUE"""),"TASHYA FEBRIANI +62 812-9933-3295")</f>
        <v>TASHYA FEBRIANI +62 812-9933-3295</v>
      </c>
      <c r="F3" s="158">
        <f>IFERROR(__xludf.DUMMYFUNCTION("""COMPUTED_VALUE"""),3.52901540003004E14)</f>
        <v>352901540003004</v>
      </c>
      <c r="G3" s="158" t="str">
        <f>IFERROR(__xludf.DUMMYFUNCTION("""COMPUTED_VALUE"""),"SM-S938BZKBXID")</f>
        <v>SM-S938BZKBXID</v>
      </c>
      <c r="H3" s="160" t="str">
        <f>IFERROR(__xludf.DUMMYFUNCTION("""COMPUTED_VALUE"""),"G-S25-ULTRA (256GB) BLACK (2025)")</f>
        <v>G-S25-ULTRA (256GB) BLACK (2025)</v>
      </c>
      <c r="I3" s="208">
        <f>IFERROR(__xludf.DUMMYFUNCTION("""COMPUTED_VALUE"""),45960.0)</f>
        <v>45960</v>
      </c>
      <c r="J3" s="158">
        <f>IFERROR(__xludf.DUMMYFUNCTION("""COMPUTED_VALUE"""),121.0)</f>
        <v>121</v>
      </c>
      <c r="K3" s="160" t="str">
        <f>IFERROR(__xludf.DUMMYFUNCTION("""COMPUTED_VALUE"""),"Lost by KOL Ningayu_ Est. Payment Date 13.02.26")</f>
        <v>Lost by KOL Ningayu_ Est. Payment Date 13.02.26</v>
      </c>
      <c r="L3" s="158" t="str">
        <f>IFERROR(__xludf.DUMMYFUNCTION("""COMPUTED_VALUE"""),"Lost")</f>
        <v>Lost</v>
      </c>
      <c r="M3" s="158"/>
      <c r="N3" s="158"/>
      <c r="O3" s="158"/>
      <c r="P3" s="158" t="str">
        <f>IF(ISNUMBER(MATCH(F3,'Step 1 Data Bank'!E:E, 0)), "On Data Bank", "Not In Data Bank")</f>
        <v>Not In Data Bank</v>
      </c>
      <c r="Q3" s="158" t="str">
        <f t="array" ref="Q3">XLOOKUP(F3,'Step 1 Data Bank'!E:E,'Step 1 Data Bank'!M:M,"",0)</f>
        <v/>
      </c>
      <c r="R3" s="158"/>
      <c r="S3" s="158" t="str">
        <f>IF(ISNUMBER(MATCH(F3,'Step 1 Data Bank'!E:E, 0)), "On OLD Data", "Not In Old Data")</f>
        <v>Not In Old Data</v>
      </c>
      <c r="T3" s="158" t="str">
        <f t="array" ref="T3">XLOOKUP(F3,'OLD DATA'!H:H,'OLD DATA'!I:I,"",0)</f>
        <v>LOCKER</v>
      </c>
      <c r="U3" s="158" t="str">
        <f t="array" ref="U3">XLOOKUP(F3,'OLD DATA'!H:H,'OLD DATA'!J:J,"",0)</f>
        <v/>
      </c>
      <c r="V3" s="158"/>
      <c r="W3" s="158"/>
      <c r="X3" s="158"/>
      <c r="Y3" s="158"/>
      <c r="Z3" s="158"/>
      <c r="AA3" s="158"/>
      <c r="AB3" s="158"/>
      <c r="AC3" s="158"/>
      <c r="AD3" s="158"/>
      <c r="AE3" s="158"/>
    </row>
    <row r="4">
      <c r="A4" s="207">
        <f>IFERROR(__xludf.DUMMYFUNCTION("""COMPUTED_VALUE"""),45931.0)</f>
        <v>45931</v>
      </c>
      <c r="B4" s="158" t="str">
        <f>IFERROR(__xludf.DUMMYFUNCTION("""COMPUTED_VALUE"""),"GOAT")</f>
        <v>GOAT</v>
      </c>
      <c r="C4" s="158" t="str">
        <f>IFERROR(__xludf.DUMMYFUNCTION("""COMPUTED_VALUE"""),"Anggi Paramita Gianieri")</f>
        <v>Anggi Paramita Gianieri</v>
      </c>
      <c r="D4" s="158" t="str">
        <f>IFERROR(__xludf.DUMMYFUNCTION("""COMPUTED_VALUE"""),"Cindana")</f>
        <v>Cindana</v>
      </c>
      <c r="E4" s="160" t="str">
        <f>IFERROR(__xludf.DUMMYFUNCTION("""COMPUTED_VALUE"""),"TASHYA FEBRIANI +62 812-9933-3295")</f>
        <v>TASHYA FEBRIANI +62 812-9933-3295</v>
      </c>
      <c r="F4" s="158">
        <f>IFERROR(__xludf.DUMMYFUNCTION("""COMPUTED_VALUE"""),3.52901540005447E14)</f>
        <v>352901540005447</v>
      </c>
      <c r="G4" s="158" t="str">
        <f>IFERROR(__xludf.DUMMYFUNCTION("""COMPUTED_VALUE"""),"SM-S938BZSBXID")</f>
        <v>SM-S938BZSBXID</v>
      </c>
      <c r="H4" s="160" t="str">
        <f>IFERROR(__xludf.DUMMYFUNCTION("""COMPUTED_VALUE"""),"G-S25-ULTRA (256GB) SILVER (2025)")</f>
        <v>G-S25-ULTRA (256GB) SILVER (2025)</v>
      </c>
      <c r="I4" s="208">
        <f>IFERROR(__xludf.DUMMYFUNCTION("""COMPUTED_VALUE"""),45960.0)</f>
        <v>45960</v>
      </c>
      <c r="J4" s="158">
        <f>IFERROR(__xludf.DUMMYFUNCTION("""COMPUTED_VALUE"""),121.0)</f>
        <v>121</v>
      </c>
      <c r="K4" s="160" t="str">
        <f>IFERROR(__xludf.DUMMYFUNCTION("""COMPUTED_VALUE"""),"Lost by KOL ratuashaa Est. Payment Date 13.02.26")</f>
        <v>Lost by KOL ratuashaa Est. Payment Date 13.02.26</v>
      </c>
      <c r="L4" s="158" t="str">
        <f>IFERROR(__xludf.DUMMYFUNCTION("""COMPUTED_VALUE"""),"Lost")</f>
        <v>Lost</v>
      </c>
      <c r="M4" s="158"/>
      <c r="N4" s="158"/>
      <c r="O4" s="158"/>
      <c r="P4" s="158" t="str">
        <f>IF(ISNUMBER(MATCH(F4,'Step 1 Data Bank'!E:E, 0)), "On Data Bank", "Not In Data Bank")</f>
        <v>Not In Data Bank</v>
      </c>
      <c r="Q4" s="158" t="str">
        <f t="array" ref="Q4">XLOOKUP(F4,'Step 1 Data Bank'!E:E,'Step 1 Data Bank'!M:M,"",0)</f>
        <v/>
      </c>
      <c r="R4" s="158"/>
      <c r="S4" s="158" t="str">
        <f>IF(ISNUMBER(MATCH(F4,'Step 1 Data Bank'!E:E, 0)), "On OLD Data", "Not In Old Data")</f>
        <v>Not In Old Data</v>
      </c>
      <c r="T4" s="158" t="str">
        <f t="array" ref="T4">XLOOKUP(F4,'OLD DATA'!H:H,'OLD DATA'!I:I,"",0)</f>
        <v>LOCKER</v>
      </c>
      <c r="U4" s="158" t="str">
        <f t="array" ref="U4">XLOOKUP(F4,'OLD DATA'!H:H,'OLD DATA'!J:J,"",0)</f>
        <v/>
      </c>
      <c r="V4" s="158"/>
      <c r="W4" s="158"/>
      <c r="X4" s="158"/>
      <c r="Y4" s="158"/>
      <c r="Z4" s="158"/>
      <c r="AA4" s="158"/>
      <c r="AB4" s="158"/>
      <c r="AC4" s="158"/>
      <c r="AD4" s="158"/>
      <c r="AE4" s="158"/>
    </row>
    <row r="5">
      <c r="A5" s="207">
        <f>IFERROR(__xludf.DUMMYFUNCTION("""COMPUTED_VALUE"""),45931.0)</f>
        <v>45931</v>
      </c>
      <c r="B5" s="158" t="str">
        <f>IFERROR(__xludf.DUMMYFUNCTION("""COMPUTED_VALUE"""),"GOAT")</f>
        <v>GOAT</v>
      </c>
      <c r="C5" s="158" t="str">
        <f>IFERROR(__xludf.DUMMYFUNCTION("""COMPUTED_VALUE"""),"Made Intan Deyana Wirata")</f>
        <v>Made Intan Deyana Wirata</v>
      </c>
      <c r="D5" s="158" t="str">
        <f>IFERROR(__xludf.DUMMYFUNCTION("""COMPUTED_VALUE"""),"Intan")</f>
        <v>Intan</v>
      </c>
      <c r="E5" s="160" t="str">
        <f>IFERROR(__xludf.DUMMYFUNCTION("""COMPUTED_VALUE"""),"CHRISYE MARGARETHA +62 8551745530")</f>
        <v>CHRISYE MARGARETHA +62 8551745530</v>
      </c>
      <c r="F5" s="158">
        <f>IFERROR(__xludf.DUMMYFUNCTION("""COMPUTED_VALUE"""),3.54922130003459E14)</f>
        <v>354922130003459</v>
      </c>
      <c r="G5" s="158" t="str">
        <f>IFERROR(__xludf.DUMMYFUNCTION("""COMPUTED_VALUE"""),"SM-S937BZSBXID")</f>
        <v>SM-S937BZSBXID</v>
      </c>
      <c r="H5" s="160" t="str">
        <f>IFERROR(__xludf.DUMMYFUNCTION("""COMPUTED_VALUE"""),"G-S25-EDGE 12/256 SILVER (2025)")</f>
        <v>G-S25-EDGE 12/256 SILVER (2025)</v>
      </c>
      <c r="I5" s="208">
        <f>IFERROR(__xludf.DUMMYFUNCTION("""COMPUTED_VALUE"""),45961.0)</f>
        <v>45961</v>
      </c>
      <c r="J5" s="158">
        <f>IFERROR(__xludf.DUMMYFUNCTION("""COMPUTED_VALUE"""),120.0)</f>
        <v>120</v>
      </c>
      <c r="K5" s="160" t="str">
        <f>IFERROR(__xludf.DUMMYFUNCTION("""COMPUTED_VALUE"""),"Lost by KOL Viozulistia Est. Payment Date 16.02.26")</f>
        <v>Lost by KOL Viozulistia Est. Payment Date 16.02.26</v>
      </c>
      <c r="L5" s="158" t="str">
        <f>IFERROR(__xludf.DUMMYFUNCTION("""COMPUTED_VALUE"""),"Lost")</f>
        <v>Lost</v>
      </c>
      <c r="M5" s="158"/>
      <c r="N5" s="158"/>
      <c r="O5" s="158"/>
      <c r="P5" s="158" t="str">
        <f>IF(ISNUMBER(MATCH(F5,'Step 1 Data Bank'!E:E, 0)), "On Data Bank", "Not In Data Bank")</f>
        <v>Not In Data Bank</v>
      </c>
      <c r="Q5" s="158" t="str">
        <f t="array" ref="Q5">XLOOKUP(F5,'Step 1 Data Bank'!E:E,'Step 1 Data Bank'!M:M,"",0)</f>
        <v/>
      </c>
      <c r="R5" s="158"/>
      <c r="S5" s="158" t="str">
        <f>IF(ISNUMBER(MATCH(F5,'Step 1 Data Bank'!E:E, 0)), "On OLD Data", "Not In Old Data")</f>
        <v>Not In Old Data</v>
      </c>
      <c r="T5" s="158" t="str">
        <f t="array" ref="T5">XLOOKUP(F5,'OLD DATA'!H:H,'OLD DATA'!I:I,"",0)</f>
        <v>Locker Mas Reza</v>
      </c>
      <c r="U5" s="158" t="str">
        <f t="array" ref="U5">XLOOKUP(F5,'OLD DATA'!H:H,'OLD DATA'!J:J,"",0)</f>
        <v>hptografi</v>
      </c>
      <c r="V5" s="158"/>
      <c r="W5" s="158"/>
      <c r="X5" s="158"/>
      <c r="Y5" s="158"/>
      <c r="Z5" s="158"/>
      <c r="AA5" s="158"/>
      <c r="AB5" s="158"/>
      <c r="AC5" s="158"/>
      <c r="AD5" s="158"/>
      <c r="AE5" s="158"/>
    </row>
    <row r="6">
      <c r="A6" s="207">
        <f>IFERROR(__xludf.DUMMYFUNCTION("""COMPUTED_VALUE"""),45992.0)</f>
        <v>45992</v>
      </c>
      <c r="B6" s="158" t="str">
        <f>IFERROR(__xludf.DUMMYFUNCTION("""COMPUTED_VALUE"""),"GOAT")</f>
        <v>GOAT</v>
      </c>
      <c r="C6" s="158" t="str">
        <f>IFERROR(__xludf.DUMMYFUNCTION("""COMPUTED_VALUE"""),"Made Intan Deyana Wirata")</f>
        <v>Made Intan Deyana Wirata</v>
      </c>
      <c r="D6" s="158" t="str">
        <f>IFERROR(__xludf.DUMMYFUNCTION("""COMPUTED_VALUE"""),"Intan")</f>
        <v>Intan</v>
      </c>
      <c r="E6" s="160" t="str">
        <f>IFERROR(__xludf.DUMMYFUNCTION("""COMPUTED_VALUE"""),"ALIA ALIFIA +62 822 9883 6303")</f>
        <v>ALIA ALIFIA +62 822 9883 6303</v>
      </c>
      <c r="F6" s="158">
        <f>IFERROR(__xludf.DUMMYFUNCTION("""COMPUTED_VALUE"""),3.53456152000011E14)</f>
        <v>353456152000011</v>
      </c>
      <c r="G6" s="158" t="str">
        <f>IFERROR(__xludf.DUMMYFUNCTION("""COMPUTED_VALUE"""),"SM-A366BLGSXID")</f>
        <v>SM-A366BLGSXID</v>
      </c>
      <c r="H6" s="160" t="str">
        <f>IFERROR(__xludf.DUMMYFUNCTION("""COMPUTED_VALUE"""),"G-A36-5G (8/128) LIGHT GREEN (2025)")</f>
        <v>G-A36-5G (8/128) LIGHT GREEN (2025)</v>
      </c>
      <c r="I6" s="208">
        <f>IFERROR(__xludf.DUMMYFUNCTION("""COMPUTED_VALUE"""),46006.0)</f>
        <v>46006</v>
      </c>
      <c r="J6" s="158">
        <f>IFERROR(__xludf.DUMMYFUNCTION("""COMPUTED_VALUE"""),75.0)</f>
        <v>75</v>
      </c>
      <c r="K6" s="160" t="str">
        <f>IFERROR(__xludf.DUMMYFUNCTION("""COMPUTED_VALUE"""),"Lost by KOL TLID Est. Payment Date 10.02.26")</f>
        <v>Lost by KOL TLID Est. Payment Date 10.02.26</v>
      </c>
      <c r="L6" s="158" t="str">
        <f>IFERROR(__xludf.DUMMYFUNCTION("""COMPUTED_VALUE"""),"Lost")</f>
        <v>Lost</v>
      </c>
      <c r="M6" s="158"/>
      <c r="N6" s="158"/>
      <c r="O6" s="158"/>
      <c r="P6" s="158" t="str">
        <f>IF(ISNUMBER(MATCH(F6,'Step 1 Data Bank'!E:E, 0)), "On Data Bank", "Not In Data Bank")</f>
        <v>Not In Data Bank</v>
      </c>
      <c r="Q6" s="158" t="str">
        <f t="array" ref="Q6">XLOOKUP(F6,'Step 1 Data Bank'!E:E,'Step 1 Data Bank'!M:M,"",0)</f>
        <v/>
      </c>
      <c r="R6" s="158"/>
      <c r="S6" s="158" t="str">
        <f>IF(ISNUMBER(MATCH(F6,'Step 1 Data Bank'!E:E, 0)), "On OLD Data", "Not In Old Data")</f>
        <v>Not In Old Data</v>
      </c>
      <c r="T6" s="158" t="str">
        <f t="array" ref="T6">XLOOKUP(F6,'OLD DATA'!H:H,'OLD DATA'!I:I,"",0)</f>
        <v>lost</v>
      </c>
      <c r="U6" s="158" t="str">
        <f t="array" ref="U6">XLOOKUP(F6,'OLD DATA'!H:H,'OLD DATA'!J:J,"",0)</f>
        <v>Liquid Vadella</v>
      </c>
      <c r="V6" s="158"/>
      <c r="W6" s="158"/>
      <c r="X6" s="158"/>
      <c r="Y6" s="158"/>
      <c r="Z6" s="158"/>
      <c r="AA6" s="158"/>
      <c r="AB6" s="158"/>
      <c r="AC6" s="158"/>
      <c r="AD6" s="158"/>
      <c r="AE6" s="158"/>
    </row>
    <row r="7">
      <c r="A7" s="207">
        <f>IFERROR(__xludf.DUMMYFUNCTION("""COMPUTED_VALUE"""),45992.0)</f>
        <v>45992</v>
      </c>
      <c r="B7" s="158" t="str">
        <f>IFERROR(__xludf.DUMMYFUNCTION("""COMPUTED_VALUE"""),"GOAT")</f>
        <v>GOAT</v>
      </c>
      <c r="C7" s="158" t="str">
        <f>IFERROR(__xludf.DUMMYFUNCTION("""COMPUTED_VALUE"""),"Made Intan Deyana Wirata")</f>
        <v>Made Intan Deyana Wirata</v>
      </c>
      <c r="D7" s="158" t="str">
        <f>IFERROR(__xludf.DUMMYFUNCTION("""COMPUTED_VALUE"""),"Yaya")</f>
        <v>Yaya</v>
      </c>
      <c r="E7" s="160" t="str">
        <f>IFERROR(__xludf.DUMMYFUNCTION("""COMPUTED_VALUE"""),"ASTERIXA ABIGAIL +62 821-1397-6882")</f>
        <v>ASTERIXA ABIGAIL +62 821-1397-6882</v>
      </c>
      <c r="F7" s="158" t="str">
        <f>IFERROR(__xludf.DUMMYFUNCTION("""COMPUTED_VALUE"""),"RFAY6197Q7N")</f>
        <v>RFAY6197Q7N</v>
      </c>
      <c r="G7" s="158" t="str">
        <f>IFERROR(__xludf.DUMMYFUNCTION("""COMPUTED_VALUE"""),"S-SM-L330NDAAXAA")</f>
        <v>S-SM-L330NDAAXAA</v>
      </c>
      <c r="H7" s="160" t="str">
        <f>IFERROR(__xludf.DUMMYFUNCTION("""COMPUTED_VALUE"""),"G-WATCH8 44MM DARK GRAY (2025)")</f>
        <v>G-WATCH8 44MM DARK GRAY (2025)</v>
      </c>
      <c r="I7" s="208">
        <f>IFERROR(__xludf.DUMMYFUNCTION("""COMPUTED_VALUE"""),46006.0)</f>
        <v>46006</v>
      </c>
      <c r="J7" s="158">
        <f>IFERROR(__xludf.DUMMYFUNCTION("""COMPUTED_VALUE"""),75.0)</f>
        <v>75</v>
      </c>
      <c r="K7" s="160" t="str">
        <f>IFERROR(__xludf.DUMMYFUNCTION("""COMPUTED_VALUE"""),"Lost by KOL Viozulistia Est. Payment Date 16.02.26")</f>
        <v>Lost by KOL Viozulistia Est. Payment Date 16.02.26</v>
      </c>
      <c r="L7" s="158" t="str">
        <f>IFERROR(__xludf.DUMMYFUNCTION("""COMPUTED_VALUE"""),"Lost")</f>
        <v>Lost</v>
      </c>
      <c r="M7" s="158"/>
      <c r="N7" s="158"/>
      <c r="O7" s="158"/>
      <c r="P7" s="158" t="str">
        <f>IF(ISNUMBER(MATCH(F7,'Step 1 Data Bank'!E:E, 0)), "On Data Bank", "Not In Data Bank")</f>
        <v>Not In Data Bank</v>
      </c>
      <c r="Q7" s="158" t="str">
        <f t="array" ref="Q7">XLOOKUP(F7,'Step 1 Data Bank'!E:E,'Step 1 Data Bank'!M:M,"",0)</f>
        <v/>
      </c>
      <c r="R7" s="158"/>
      <c r="S7" s="158" t="str">
        <f>IF(ISNUMBER(MATCH(F7,'Step 1 Data Bank'!E:E, 0)), "On OLD Data", "Not In Old Data")</f>
        <v>Not In Old Data</v>
      </c>
      <c r="T7" s="158" t="str">
        <f t="array" ref="T7">XLOOKUP(F7,'OLD DATA'!H:H,'OLD DATA'!I:I,"",0)</f>
        <v/>
      </c>
      <c r="U7" s="158" t="str">
        <f t="array" ref="U7">XLOOKUP(F7,'OLD DATA'!H:H,'OLD DATA'!J:J,"",0)</f>
        <v/>
      </c>
      <c r="V7" s="158"/>
      <c r="W7" s="158"/>
      <c r="X7" s="158"/>
      <c r="Y7" s="158"/>
      <c r="Z7" s="158"/>
      <c r="AA7" s="158"/>
      <c r="AB7" s="158"/>
      <c r="AC7" s="158"/>
      <c r="AD7" s="158"/>
      <c r="AE7" s="158"/>
    </row>
    <row r="8">
      <c r="A8" s="207">
        <f>IFERROR(__xludf.DUMMYFUNCTION("""COMPUTED_VALUE"""),46023.0)</f>
        <v>46023</v>
      </c>
      <c r="B8" s="158" t="str">
        <f>IFERROR(__xludf.DUMMYFUNCTION("""COMPUTED_VALUE"""),"GOAT")</f>
        <v>GOAT</v>
      </c>
      <c r="C8" s="158" t="str">
        <f>IFERROR(__xludf.DUMMYFUNCTION("""COMPUTED_VALUE"""),"Made Intan Deyana Wirata")</f>
        <v>Made Intan Deyana Wirata</v>
      </c>
      <c r="D8" s="158" t="str">
        <f>IFERROR(__xludf.DUMMYFUNCTION("""COMPUTED_VALUE"""),"Yaya")</f>
        <v>Yaya</v>
      </c>
      <c r="E8" s="160" t="str">
        <f>IFERROR(__xludf.DUMMYFUNCTION("""COMPUTED_VALUE"""),"FENNY MARIA +62 878-8521-3141")</f>
        <v>FENNY MARIA +62 878-8521-3141</v>
      </c>
      <c r="F8" s="158">
        <f>IFERROR(__xludf.DUMMYFUNCTION("""COMPUTED_VALUE"""),3.55626620019011E14)</f>
        <v>355626620019011</v>
      </c>
      <c r="G8" s="158" t="str">
        <f>IFERROR(__xludf.DUMMYFUNCTION("""COMPUTED_VALUE"""),"SM-F966BDBDXID")</f>
        <v>SM-F966BDBDXID</v>
      </c>
      <c r="H8" s="160" t="str">
        <f>IFERROR(__xludf.DUMMYFUNCTION("""COMPUTED_VALUE"""),"G-Z-FOLD7 256GB DARK BLUE (2025)")</f>
        <v>G-Z-FOLD7 256GB DARK BLUE (2025)</v>
      </c>
      <c r="I8" s="208">
        <f>IFERROR(__xludf.DUMMYFUNCTION("""COMPUTED_VALUE"""),46027.0)</f>
        <v>46027</v>
      </c>
      <c r="J8" s="158">
        <f>IFERROR(__xludf.DUMMYFUNCTION("""COMPUTED_VALUE"""),54.0)</f>
        <v>54</v>
      </c>
      <c r="K8" s="160" t="str">
        <f>IFERROR(__xludf.DUMMYFUNCTION("""COMPUTED_VALUE"""),"KOL Jessica : Already Extend")</f>
        <v>KOL Jessica : Already Extend</v>
      </c>
      <c r="L8" s="158" t="str">
        <f>IFERROR(__xludf.DUMMYFUNCTION("""COMPUTED_VALUE"""),"Overdue &gt; 30 days")</f>
        <v>Overdue &gt; 30 days</v>
      </c>
      <c r="M8" s="158"/>
      <c r="N8" s="158"/>
      <c r="O8" s="158"/>
      <c r="P8" s="158" t="str">
        <f>IFERROR(IF(ISNUMBER(MATCH(F8,'Step 1 Data Bank'!E:E, 0)), "On Data Bank", "Not In Data Bank"),"")</f>
        <v>Not In Data Bank</v>
      </c>
      <c r="Q8" s="158" t="str">
        <f t="array" ref="Q8">XLOOKUP(F8,'Step 1 Data Bank'!E:E,'Step 1 Data Bank'!M:M,"",0)</f>
        <v/>
      </c>
      <c r="R8" s="160" t="str">
        <f t="array" ref="R8">XLOOKUP(F8,'Step 1 Data Bank'!E:E,'Step 1 Data Bank'!N:N,"",0)</f>
        <v/>
      </c>
      <c r="S8" s="158" t="str">
        <f>IFERROR(IF(ISNUMBER(MATCH(F8,'OLD DATA'!H:H, 0)), "On OLD Data", "Not In Old Data"),"")</f>
        <v>On OLD Data</v>
      </c>
      <c r="T8" s="158" t="str">
        <f t="array" ref="T8">XLOOKUP(F8,'OLD DATA'!H:H,'OLD DATA'!I:I,"",0)</f>
        <v>Reza Angga</v>
      </c>
      <c r="U8" s="158" t="str">
        <f t="array" ref="U8">XLOOKUP(F8,'OLD DATA'!H:H,'OLD DATA'!J:J,"",0)</f>
        <v/>
      </c>
      <c r="V8" s="158" t="str">
        <f>IFERROR(IF(ISNUMBER(MATCH(F8,'OLD DATA Venni'!H:H, 0)), "Find", "Not Find"),"")</f>
        <v>Not Find</v>
      </c>
      <c r="W8" s="158" t="str">
        <f t="array" ref="W8">XLOOKUP(F8,'OLD DATA Venni'!H:H,'OLD DATA Venni'!J:J,"",0)</f>
        <v/>
      </c>
      <c r="X8" s="158"/>
      <c r="Y8" s="158"/>
      <c r="Z8" s="158"/>
      <c r="AA8" s="158"/>
      <c r="AB8" s="158"/>
      <c r="AC8" s="158"/>
      <c r="AD8" s="158"/>
      <c r="AE8" s="158"/>
    </row>
    <row r="9">
      <c r="A9" s="207">
        <f>IFERROR(__xludf.DUMMYFUNCTION("""COMPUTED_VALUE"""),46023.0)</f>
        <v>46023</v>
      </c>
      <c r="B9" s="158" t="str">
        <f>IFERROR(__xludf.DUMMYFUNCTION("""COMPUTED_VALUE"""),"GOAT")</f>
        <v>GOAT</v>
      </c>
      <c r="C9" s="158" t="str">
        <f>IFERROR(__xludf.DUMMYFUNCTION("""COMPUTED_VALUE"""),"Made Intan Deyana Wirata")</f>
        <v>Made Intan Deyana Wirata</v>
      </c>
      <c r="D9" s="158" t="str">
        <f>IFERROR(__xludf.DUMMYFUNCTION("""COMPUTED_VALUE"""),"Yaya")</f>
        <v>Yaya</v>
      </c>
      <c r="E9" s="160" t="str">
        <f>IFERROR(__xludf.DUMMYFUNCTION("""COMPUTED_VALUE"""),"FENNY MARIA +62 878-8521-3141")</f>
        <v>FENNY MARIA +62 878-8521-3141</v>
      </c>
      <c r="F9" s="158">
        <f>IFERROR(__xludf.DUMMYFUNCTION("""COMPUTED_VALUE"""),3.55626620002728E14)</f>
        <v>355626620002728</v>
      </c>
      <c r="G9" s="158" t="str">
        <f>IFERROR(__xludf.DUMMYFUNCTION("""COMPUTED_VALUE"""),"SM-F966BZKDXID")</f>
        <v>SM-F966BZKDXID</v>
      </c>
      <c r="H9" s="160" t="str">
        <f>IFERROR(__xludf.DUMMYFUNCTION("""COMPUTED_VALUE"""),"G-Z-FOLD7 256GB BLACK (2025)")</f>
        <v>G-Z-FOLD7 256GB BLACK (2025)</v>
      </c>
      <c r="I9" s="208">
        <f>IFERROR(__xludf.DUMMYFUNCTION("""COMPUTED_VALUE"""),46027.0)</f>
        <v>46027</v>
      </c>
      <c r="J9" s="158">
        <f>IFERROR(__xludf.DUMMYFUNCTION("""COMPUTED_VALUE"""),54.0)</f>
        <v>54</v>
      </c>
      <c r="K9" s="160" t="str">
        <f>IFERROR(__xludf.DUMMYFUNCTION("""COMPUTED_VALUE"""),"KOL Jennifer Bachdim")</f>
        <v>KOL Jennifer Bachdim</v>
      </c>
      <c r="L9" s="158" t="str">
        <f>IFERROR(__xludf.DUMMYFUNCTION("""COMPUTED_VALUE"""),"Overdue &gt; 30 days")</f>
        <v>Overdue &gt; 30 days</v>
      </c>
      <c r="M9" s="158"/>
      <c r="N9" s="158"/>
      <c r="O9" s="158"/>
      <c r="P9" s="158" t="str">
        <f>IFERROR(IF(ISNUMBER(MATCH(F9,'Step 1 Data Bank'!E:E, 0)), "On Data Bank", "Not In Data Bank"),"")</f>
        <v>Not In Data Bank</v>
      </c>
      <c r="Q9" s="158" t="str">
        <f t="array" ref="Q9">XLOOKUP(F9,'Step 1 Data Bank'!E:E,'Step 1 Data Bank'!M:M,"",0)</f>
        <v/>
      </c>
      <c r="R9" s="160" t="str">
        <f t="array" ref="R9">XLOOKUP(F9,'Step 1 Data Bank'!E:E,'Step 1 Data Bank'!N:N,"",0)</f>
        <v/>
      </c>
      <c r="S9" s="158" t="str">
        <f>IFERROR(IF(ISNUMBER(MATCH(F9,'OLD DATA'!H:H, 0)), "On OLD Data", "Not In Old Data"),"")</f>
        <v>On OLD Data</v>
      </c>
      <c r="T9" s="158" t="str">
        <f t="array" ref="T9">XLOOKUP(F9,'OLD DATA'!H:H,'OLD DATA'!I:I,"",0)</f>
        <v>Reza Angga</v>
      </c>
      <c r="U9" s="158" t="str">
        <f t="array" ref="U9">XLOOKUP(F9,'OLD DATA'!H:H,'OLD DATA'!J:J,"",0)</f>
        <v/>
      </c>
      <c r="V9" s="158" t="str">
        <f>IFERROR(IF(ISNUMBER(MATCH(F9,'OLD DATA Venni'!H:H, 0)), "Find", "Not Find"),"")</f>
        <v>Find</v>
      </c>
      <c r="W9" s="158" t="str">
        <f t="array" ref="W9">XLOOKUP(F9,'OLD DATA Venni'!H:H,'OLD DATA Venni'!J:J,"",0)</f>
        <v>Jennifer Bachdim</v>
      </c>
      <c r="X9" s="158"/>
      <c r="Y9" s="158"/>
      <c r="Z9" s="158"/>
      <c r="AA9" s="158"/>
      <c r="AB9" s="158"/>
      <c r="AC9" s="158"/>
      <c r="AD9" s="158"/>
      <c r="AE9" s="158"/>
    </row>
    <row r="10">
      <c r="A10" s="207">
        <f>IFERROR(__xludf.DUMMYFUNCTION("""COMPUTED_VALUE"""),46023.0)</f>
        <v>46023</v>
      </c>
      <c r="B10" s="158" t="str">
        <f>IFERROR(__xludf.DUMMYFUNCTION("""COMPUTED_VALUE"""),"GOAT")</f>
        <v>GOAT</v>
      </c>
      <c r="C10" s="158" t="str">
        <f>IFERROR(__xludf.DUMMYFUNCTION("""COMPUTED_VALUE"""),"Anggi Paramita Gianieri")</f>
        <v>Anggi Paramita Gianieri</v>
      </c>
      <c r="D10" s="158" t="str">
        <f>IFERROR(__xludf.DUMMYFUNCTION("""COMPUTED_VALUE"""),"Cindana")</f>
        <v>Cindana</v>
      </c>
      <c r="E10" s="160" t="str">
        <f>IFERROR(__xludf.DUMMYFUNCTION("""COMPUTED_VALUE"""),"TASHYA FEBRIANI +62 812-9933-3295")</f>
        <v>TASHYA FEBRIANI +62 812-9933-3295</v>
      </c>
      <c r="F10" s="158">
        <f>IFERROR(__xludf.DUMMYFUNCTION("""COMPUTED_VALUE"""),3.54166470024986E14)</f>
        <v>354166470024986</v>
      </c>
      <c r="G10" s="158" t="str">
        <f>IFERROR(__xludf.DUMMYFUNCTION("""COMPUTED_VALUE"""),"SM-S936BZSBXID")</f>
        <v>SM-S936BZSBXID</v>
      </c>
      <c r="H10" s="160" t="str">
        <f>IFERROR(__xludf.DUMMYFUNCTION("""COMPUTED_VALUE"""),"G-S25+ (256GB) SILVER (2025)")</f>
        <v>G-S25+ (256GB) SILVER (2025)</v>
      </c>
      <c r="I10" s="208">
        <f>IFERROR(__xludf.DUMMYFUNCTION("""COMPUTED_VALUE"""),46029.0)</f>
        <v>46029</v>
      </c>
      <c r="J10" s="158">
        <f>IFERROR(__xludf.DUMMYFUNCTION("""COMPUTED_VALUE"""),52.0)</f>
        <v>52</v>
      </c>
      <c r="K10" s="160"/>
      <c r="L10" s="158" t="str">
        <f>IFERROR(__xludf.DUMMYFUNCTION("""COMPUTED_VALUE"""),"Overdue &gt; 30 days")</f>
        <v>Overdue &gt; 30 days</v>
      </c>
      <c r="M10" s="158"/>
      <c r="N10" s="158"/>
      <c r="O10" s="158"/>
      <c r="P10" s="158" t="str">
        <f>IFERROR(IF(ISNUMBER(MATCH(F10,'Step 1 Data Bank'!E:E, 0)), "On Data Bank", "Not In Data Bank"),"")</f>
        <v>Not In Data Bank</v>
      </c>
      <c r="Q10" s="158" t="str">
        <f t="array" ref="Q10">XLOOKUP(F10,'Step 1 Data Bank'!E:E,'Step 1 Data Bank'!M:M,"",0)</f>
        <v/>
      </c>
      <c r="R10" s="160" t="str">
        <f t="array" ref="R10">XLOOKUP(F10,'Step 1 Data Bank'!E:E,'Step 1 Data Bank'!N:N,"",0)</f>
        <v/>
      </c>
      <c r="S10" s="158" t="str">
        <f>IFERROR(IF(ISNUMBER(MATCH(F10,'OLD DATA'!H:H, 0)), "On OLD Data", "Not In Old Data"),"")</f>
        <v>On OLD Data</v>
      </c>
      <c r="T10" s="158" t="str">
        <f t="array" ref="T10">XLOOKUP(F10,'OLD DATA'!H:H,'OLD DATA'!I:I,"",0)</f>
        <v>LOCKER</v>
      </c>
      <c r="U10" s="158" t="str">
        <f t="array" ref="U10">XLOOKUP(F10,'OLD DATA'!H:H,'OLD DATA'!J:J,"",0)</f>
        <v/>
      </c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</row>
    <row r="11">
      <c r="A11" s="207">
        <f>IFERROR(__xludf.DUMMYFUNCTION("""COMPUTED_VALUE"""),46023.0)</f>
        <v>46023</v>
      </c>
      <c r="B11" s="158" t="str">
        <f>IFERROR(__xludf.DUMMYFUNCTION("""COMPUTED_VALUE"""),"GOAT")</f>
        <v>GOAT</v>
      </c>
      <c r="C11" s="158" t="str">
        <f>IFERROR(__xludf.DUMMYFUNCTION("""COMPUTED_VALUE"""),"Anggi Paramita Gianieri")</f>
        <v>Anggi Paramita Gianieri</v>
      </c>
      <c r="D11" s="158" t="str">
        <f>IFERROR(__xludf.DUMMYFUNCTION("""COMPUTED_VALUE"""),"Cindana")</f>
        <v>Cindana</v>
      </c>
      <c r="E11" s="160" t="str">
        <f>IFERROR(__xludf.DUMMYFUNCTION("""COMPUTED_VALUE"""),"TASHYA FEBRIANI +62 812-9933-3295")</f>
        <v>TASHYA FEBRIANI +62 812-9933-3295</v>
      </c>
      <c r="F11" s="158">
        <f>IFERROR(__xludf.DUMMYFUNCTION("""COMPUTED_VALUE"""),3.5841018500545E14)</f>
        <v>358410185005450</v>
      </c>
      <c r="G11" s="158" t="str">
        <f>IFERROR(__xludf.DUMMYFUNCTION("""COMPUTED_VALUE"""),"SM-S931BLGCXID")</f>
        <v>SM-S931BLGCXID</v>
      </c>
      <c r="H11" s="160" t="str">
        <f>IFERROR(__xludf.DUMMYFUNCTION("""COMPUTED_VALUE"""),"G-S25 (256GB) LIGHT GREEN (2025)")</f>
        <v>G-S25 (256GB) LIGHT GREEN (2025)</v>
      </c>
      <c r="I11" s="208">
        <f>IFERROR(__xludf.DUMMYFUNCTION("""COMPUTED_VALUE"""),46029.0)</f>
        <v>46029</v>
      </c>
      <c r="J11" s="158">
        <f>IFERROR(__xludf.DUMMYFUNCTION("""COMPUTED_VALUE"""),52.0)</f>
        <v>52</v>
      </c>
      <c r="K11" s="160"/>
      <c r="L11" s="158" t="str">
        <f>IFERROR(__xludf.DUMMYFUNCTION("""COMPUTED_VALUE"""),"Overdue &gt; 30 days")</f>
        <v>Overdue &gt; 30 days</v>
      </c>
      <c r="M11" s="158" t="str">
        <f>IFERROR(__xludf.DUMMYFUNCTION("""COMPUTED_VALUE"""),"EDGE - 5450.jpg")</f>
        <v>EDGE - 5450.jpg</v>
      </c>
      <c r="N11" s="158"/>
      <c r="O11" s="158"/>
      <c r="P11" s="158" t="str">
        <f>IFERROR(IF(ISNUMBER(MATCH(F11,'Step 1 Data Bank'!E:E, 0)), "On Data Bank", "Not In Data Bank"),"")</f>
        <v>On Data Bank</v>
      </c>
      <c r="Q11" s="158" t="str">
        <f t="array" ref="Q11">XLOOKUP(F11,'Step 1 Data Bank'!E:E,'Step 1 Data Bank'!M:M,"",0)</f>
        <v>AVAILABLE</v>
      </c>
      <c r="R11" s="160" t="str">
        <f t="array" ref="R11">XLOOKUP(F11,'Step 1 Data Bank'!E:E,'Step 1 Data Bank'!N:N,"",0)</f>
        <v>-</v>
      </c>
      <c r="S11" s="158" t="str">
        <f>IFERROR(IF(ISNUMBER(MATCH(F11,'OLD DATA'!H:H, 0)), "On OLD Data", "Not In Old Data"),"")</f>
        <v>On OLD Data</v>
      </c>
      <c r="T11" s="158" t="str">
        <f t="array" ref="T11">XLOOKUP(F11,'OLD DATA'!H:H,'OLD DATA'!I:I,"",0)</f>
        <v>LOCKER</v>
      </c>
      <c r="U11" s="158" t="str">
        <f t="array" ref="U11">XLOOKUP(F11,'OLD DATA'!H:H,'OLD DATA'!J:J,"",0)</f>
        <v/>
      </c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</row>
    <row r="12">
      <c r="A12" s="207">
        <f>IFERROR(__xludf.DUMMYFUNCTION("""COMPUTED_VALUE"""),46023.0)</f>
        <v>46023</v>
      </c>
      <c r="B12" s="158" t="str">
        <f>IFERROR(__xludf.DUMMYFUNCTION("""COMPUTED_VALUE"""),"GOAT")</f>
        <v>GOAT</v>
      </c>
      <c r="C12" s="158" t="str">
        <f>IFERROR(__xludf.DUMMYFUNCTION("""COMPUTED_VALUE"""),"Anggi Paramita Gianieri")</f>
        <v>Anggi Paramita Gianieri</v>
      </c>
      <c r="D12" s="158" t="str">
        <f>IFERROR(__xludf.DUMMYFUNCTION("""COMPUTED_VALUE"""),"Cindana")</f>
        <v>Cindana</v>
      </c>
      <c r="E12" s="160" t="str">
        <f>IFERROR(__xludf.DUMMYFUNCTION("""COMPUTED_VALUE"""),"TASHYA FEBRIANI +62 812-9933-3295")</f>
        <v>TASHYA FEBRIANI +62 812-9933-3295</v>
      </c>
      <c r="F12" s="158">
        <f>IFERROR(__xludf.DUMMYFUNCTION("""COMPUTED_VALUE"""),3.58410185007423E14)</f>
        <v>358410185007423</v>
      </c>
      <c r="G12" s="158" t="str">
        <f>IFERROR(__xludf.DUMMYFUNCTION("""COMPUTED_VALUE"""),"SM-S931BZSCXID")</f>
        <v>SM-S931BZSCXID</v>
      </c>
      <c r="H12" s="160" t="str">
        <f>IFERROR(__xludf.DUMMYFUNCTION("""COMPUTED_VALUE"""),"G-S25 (256GB) SILVER (2025)")</f>
        <v>G-S25 (256GB) SILVER (2025)</v>
      </c>
      <c r="I12" s="208">
        <f>IFERROR(__xludf.DUMMYFUNCTION("""COMPUTED_VALUE"""),46029.0)</f>
        <v>46029</v>
      </c>
      <c r="J12" s="158">
        <f>IFERROR(__xludf.DUMMYFUNCTION("""COMPUTED_VALUE"""),52.0)</f>
        <v>52</v>
      </c>
      <c r="K12" s="160" t="str">
        <f>IFERROR(__xludf.DUMMYFUNCTION("""COMPUTED_VALUE"""),"Lost by KOL Piko.kembaren Est. Payment Date 13.02.26")</f>
        <v>Lost by KOL Piko.kembaren Est. Payment Date 13.02.26</v>
      </c>
      <c r="L12" s="158" t="str">
        <f>IFERROR(__xludf.DUMMYFUNCTION("""COMPUTED_VALUE"""),"Lost")</f>
        <v>Lost</v>
      </c>
      <c r="M12" s="158"/>
      <c r="N12" s="158"/>
      <c r="O12" s="158"/>
      <c r="P12" s="158" t="str">
        <f>IF(ISNUMBER(MATCH(F12,'Step 1 Data Bank'!E:E, 0)), "On Data Bank", "Not In Data Bank")</f>
        <v>Not In Data Bank</v>
      </c>
      <c r="Q12" s="158" t="str">
        <f t="array" ref="Q12">XLOOKUP(F12,'Step 1 Data Bank'!E:E,'Step 1 Data Bank'!M:M,"",0)</f>
        <v/>
      </c>
      <c r="R12" s="158"/>
      <c r="S12" s="158" t="str">
        <f>IF(ISNUMBER(MATCH(F12,'Step 1 Data Bank'!E:E, 0)), "On OLD Data", "Not In Old Data")</f>
        <v>Not In Old Data</v>
      </c>
      <c r="T12" s="158" t="str">
        <f t="array" ref="T12">XLOOKUP(F12,'OLD DATA'!H:H,'OLD DATA'!I:I,"",0)</f>
        <v>LOCKER</v>
      </c>
      <c r="U12" s="158" t="str">
        <f t="array" ref="U12">XLOOKUP(F12,'OLD DATA'!H:H,'OLD DATA'!J:J,"",0)</f>
        <v/>
      </c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</row>
    <row r="13">
      <c r="A13" s="207">
        <f>IFERROR(__xludf.DUMMYFUNCTION("""COMPUTED_VALUE"""),46023.0)</f>
        <v>46023</v>
      </c>
      <c r="B13" s="158" t="str">
        <f>IFERROR(__xludf.DUMMYFUNCTION("""COMPUTED_VALUE"""),"GOAT")</f>
        <v>GOAT</v>
      </c>
      <c r="C13" s="158" t="str">
        <f>IFERROR(__xludf.DUMMYFUNCTION("""COMPUTED_VALUE"""),"Anggi Paramita Gianieri")</f>
        <v>Anggi Paramita Gianieri</v>
      </c>
      <c r="D13" s="158" t="str">
        <f>IFERROR(__xludf.DUMMYFUNCTION("""COMPUTED_VALUE"""),"Cindana")</f>
        <v>Cindana</v>
      </c>
      <c r="E13" s="160" t="str">
        <f>IFERROR(__xludf.DUMMYFUNCTION("""COMPUTED_VALUE"""),"TASHYA FEBRIANI +62 812-9933-3295")</f>
        <v>TASHYA FEBRIANI +62 812-9933-3295</v>
      </c>
      <c r="F13" s="158">
        <f>IFERROR(__xludf.DUMMYFUNCTION("""COMPUTED_VALUE"""),3.54629200026498E14)</f>
        <v>354629200026498</v>
      </c>
      <c r="G13" s="158" t="str">
        <f>IFERROR(__xludf.DUMMYFUNCTION("""COMPUTED_VALUE"""),"SM-S936BZDCXID")</f>
        <v>SM-S936BZDCXID</v>
      </c>
      <c r="H13" s="160" t="str">
        <f>IFERROR(__xludf.DUMMYFUNCTION("""COMPUTED_VALUE"""),"G-S25+ (512GB) GOLD (2025)")</f>
        <v>G-S25+ (512GB) GOLD (2025)</v>
      </c>
      <c r="I13" s="208">
        <f>IFERROR(__xludf.DUMMYFUNCTION("""COMPUTED_VALUE"""),46029.0)</f>
        <v>46029</v>
      </c>
      <c r="J13" s="158">
        <f>IFERROR(__xludf.DUMMYFUNCTION("""COMPUTED_VALUE"""),52.0)</f>
        <v>52</v>
      </c>
      <c r="K13" s="160"/>
      <c r="L13" s="158" t="str">
        <f>IFERROR(__xludf.DUMMYFUNCTION("""COMPUTED_VALUE"""),"Overdue &gt; 30 days")</f>
        <v>Overdue &gt; 30 days</v>
      </c>
      <c r="M13" s="158"/>
      <c r="N13" s="158"/>
      <c r="O13" s="158"/>
      <c r="P13" s="158" t="str">
        <f>IFERROR(IF(ISNUMBER(MATCH(F13,'Step 1 Data Bank'!E:E, 0)), "On Data Bank", "Not In Data Bank"),"")</f>
        <v>Not In Data Bank</v>
      </c>
      <c r="Q13" s="158" t="str">
        <f t="array" ref="Q13">XLOOKUP(F13,'Step 1 Data Bank'!E:E,'Step 1 Data Bank'!M:M,"",0)</f>
        <v/>
      </c>
      <c r="R13" s="160" t="str">
        <f t="array" ref="R13">XLOOKUP(F13,'Step 1 Data Bank'!E:E,'Step 1 Data Bank'!N:N,"",0)</f>
        <v/>
      </c>
      <c r="S13" s="158" t="str">
        <f>IFERROR(IF(ISNUMBER(MATCH(F13,'OLD DATA'!H:H, 0)), "On OLD Data", "Not In Old Data"),"")</f>
        <v>On OLD Data</v>
      </c>
      <c r="T13" s="158" t="str">
        <f t="array" ref="T13">XLOOKUP(F13,'OLD DATA'!H:H,'OLD DATA'!I:I,"",0)</f>
        <v>Locker</v>
      </c>
      <c r="U13" s="158" t="str">
        <f t="array" ref="U13">XLOOKUP(F13,'OLD DATA'!H:H,'OLD DATA'!J:J,"",0)</f>
        <v/>
      </c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</row>
    <row r="14">
      <c r="A14" s="207">
        <f>IFERROR(__xludf.DUMMYFUNCTION("""COMPUTED_VALUE"""),46023.0)</f>
        <v>46023</v>
      </c>
      <c r="B14" s="158" t="str">
        <f>IFERROR(__xludf.DUMMYFUNCTION("""COMPUTED_VALUE"""),"GOAT")</f>
        <v>GOAT</v>
      </c>
      <c r="C14" s="158" t="str">
        <f>IFERROR(__xludf.DUMMYFUNCTION("""COMPUTED_VALUE"""),"Anggi Paramita Gianieri")</f>
        <v>Anggi Paramita Gianieri</v>
      </c>
      <c r="D14" s="158" t="str">
        <f>IFERROR(__xludf.DUMMYFUNCTION("""COMPUTED_VALUE"""),"Cindana")</f>
        <v>Cindana</v>
      </c>
      <c r="E14" s="160" t="str">
        <f>IFERROR(__xludf.DUMMYFUNCTION("""COMPUTED_VALUE"""),"TASHYA FEBRIANI +62 812-9933-3295")</f>
        <v>TASHYA FEBRIANI +62 812-9933-3295</v>
      </c>
      <c r="F14" s="158">
        <f>IFERROR(__xludf.DUMMYFUNCTION("""COMPUTED_VALUE"""),3.54629200026142E14)</f>
        <v>354629200026142</v>
      </c>
      <c r="G14" s="158" t="str">
        <f>IFERROR(__xludf.DUMMYFUNCTION("""COMPUTED_VALUE"""),"SM-S936BZDCXID")</f>
        <v>SM-S936BZDCXID</v>
      </c>
      <c r="H14" s="160" t="str">
        <f>IFERROR(__xludf.DUMMYFUNCTION("""COMPUTED_VALUE"""),"G-S25+ (512GB) GOLD (2025)")</f>
        <v>G-S25+ (512GB) GOLD (2025)</v>
      </c>
      <c r="I14" s="208">
        <f>IFERROR(__xludf.DUMMYFUNCTION("""COMPUTED_VALUE"""),46029.0)</f>
        <v>46029</v>
      </c>
      <c r="J14" s="158">
        <f>IFERROR(__xludf.DUMMYFUNCTION("""COMPUTED_VALUE"""),52.0)</f>
        <v>52</v>
      </c>
      <c r="K14" s="160"/>
      <c r="L14" s="158" t="str">
        <f>IFERROR(__xludf.DUMMYFUNCTION("""COMPUTED_VALUE"""),"Overdue &gt; 30 days")</f>
        <v>Overdue &gt; 30 days</v>
      </c>
      <c r="M14" s="158" t="str">
        <f>IFERROR(__xludf.DUMMYFUNCTION("""COMPUTED_VALUE"""),"S25PLUS-6142.jpg")</f>
        <v>S25PLUS-6142.jpg</v>
      </c>
      <c r="N14" s="158"/>
      <c r="O14" s="158"/>
      <c r="P14" s="158" t="str">
        <f>IFERROR(IF(ISNUMBER(MATCH(F14,'Step 1 Data Bank'!E:E, 0)), "On Data Bank", "Not In Data Bank"),"")</f>
        <v>Not In Data Bank</v>
      </c>
      <c r="Q14" s="158" t="str">
        <f t="array" ref="Q14">XLOOKUP(F14,'Step 1 Data Bank'!E:E,'Step 1 Data Bank'!M:M,"",0)</f>
        <v/>
      </c>
      <c r="R14" s="160" t="str">
        <f t="array" ref="R14">XLOOKUP(F14,'Step 1 Data Bank'!E:E,'Step 1 Data Bank'!N:N,"",0)</f>
        <v/>
      </c>
      <c r="S14" s="158" t="str">
        <f>IFERROR(IF(ISNUMBER(MATCH(F14,'OLD DATA'!H:H, 0)), "On OLD Data", "Not In Old Data"),"")</f>
        <v>On OLD Data</v>
      </c>
      <c r="T14" s="158" t="str">
        <f t="array" ref="T14">XLOOKUP(F14,'OLD DATA'!H:H,'OLD DATA'!I:I,"",0)</f>
        <v>WITH KOL</v>
      </c>
      <c r="U14" s="158" t="str">
        <f t="array" ref="U14">XLOOKUP(F14,'OLD DATA'!H:H,'OLD DATA'!J:J,"",0)</f>
        <v/>
      </c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</row>
    <row r="15">
      <c r="A15" s="207">
        <f>IFERROR(__xludf.DUMMYFUNCTION("""COMPUTED_VALUE"""),46023.0)</f>
        <v>46023</v>
      </c>
      <c r="B15" s="158" t="str">
        <f>IFERROR(__xludf.DUMMYFUNCTION("""COMPUTED_VALUE"""),"GOAT")</f>
        <v>GOAT</v>
      </c>
      <c r="C15" s="158" t="str">
        <f>IFERROR(__xludf.DUMMYFUNCTION("""COMPUTED_VALUE"""),"Anggi Paramita Gianieri")</f>
        <v>Anggi Paramita Gianieri</v>
      </c>
      <c r="D15" s="158" t="str">
        <f>IFERROR(__xludf.DUMMYFUNCTION("""COMPUTED_VALUE"""),"Cindana")</f>
        <v>Cindana</v>
      </c>
      <c r="E15" s="160" t="str">
        <f>IFERROR(__xludf.DUMMYFUNCTION("""COMPUTED_VALUE"""),"TASHYA FEBRIANI +62 812-9933-3295")</f>
        <v>TASHYA FEBRIANI +62 812-9933-3295</v>
      </c>
      <c r="F15" s="158">
        <f>IFERROR(__xludf.DUMMYFUNCTION("""COMPUTED_VALUE"""),3.54166470003055E14)</f>
        <v>354166470003055</v>
      </c>
      <c r="G15" s="158" t="str">
        <f>IFERROR(__xludf.DUMMYFUNCTION("""COMPUTED_VALUE"""),"SM-S936BLBBXID")</f>
        <v>SM-S936BLBBXID</v>
      </c>
      <c r="H15" s="160" t="str">
        <f>IFERROR(__xludf.DUMMYFUNCTION("""COMPUTED_VALUE"""),"G-S25+ (256GB) LIGHT BLUE (2025)")</f>
        <v>G-S25+ (256GB) LIGHT BLUE (2025)</v>
      </c>
      <c r="I15" s="208">
        <f>IFERROR(__xludf.DUMMYFUNCTION("""COMPUTED_VALUE"""),46029.0)</f>
        <v>46029</v>
      </c>
      <c r="J15" s="158">
        <f>IFERROR(__xludf.DUMMYFUNCTION("""COMPUTED_VALUE"""),52.0)</f>
        <v>52</v>
      </c>
      <c r="K15" s="160"/>
      <c r="L15" s="158" t="str">
        <f>IFERROR(__xludf.DUMMYFUNCTION("""COMPUTED_VALUE"""),"Overdue &gt; 30 days")</f>
        <v>Overdue &gt; 30 days</v>
      </c>
      <c r="M15" s="158" t="str">
        <f>IFERROR(__xludf.DUMMYFUNCTION("""COMPUTED_VALUE"""),"EDGE - 3055.jpg")</f>
        <v>EDGE - 3055.jpg</v>
      </c>
      <c r="N15" s="158"/>
      <c r="O15" s="158"/>
      <c r="P15" s="158" t="str">
        <f>IFERROR(IF(ISNUMBER(MATCH(F15,'Step 1 Data Bank'!E:E, 0)), "On Data Bank", "Not In Data Bank"),"")</f>
        <v>On Data Bank</v>
      </c>
      <c r="Q15" s="158" t="str">
        <f t="array" ref="Q15">XLOOKUP(F15,'Step 1 Data Bank'!E:E,'Step 1 Data Bank'!M:M,"",0)</f>
        <v>AVAILABLE</v>
      </c>
      <c r="R15" s="160" t="str">
        <f t="array" ref="R15">XLOOKUP(F15,'Step 1 Data Bank'!E:E,'Step 1 Data Bank'!N:N,"",0)</f>
        <v>-</v>
      </c>
      <c r="S15" s="158" t="str">
        <f>IFERROR(IF(ISNUMBER(MATCH(F15,'OLD DATA'!H:H, 0)), "On OLD Data", "Not In Old Data"),"")</f>
        <v>On OLD Data</v>
      </c>
      <c r="T15" s="158" t="str">
        <f t="array" ref="T15">XLOOKUP(F15,'OLD DATA'!H:H,'OLD DATA'!I:I,"",0)</f>
        <v>WITH KOL</v>
      </c>
      <c r="U15" s="158" t="str">
        <f t="array" ref="U15">XLOOKUP(F15,'OLD DATA'!H:H,'OLD DATA'!J:J,"",0)</f>
        <v/>
      </c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</row>
    <row r="16">
      <c r="A16" s="207">
        <f>IFERROR(__xludf.DUMMYFUNCTION("""COMPUTED_VALUE"""),46023.0)</f>
        <v>46023</v>
      </c>
      <c r="B16" s="158" t="str">
        <f>IFERROR(__xludf.DUMMYFUNCTION("""COMPUTED_VALUE"""),"GOAT")</f>
        <v>GOAT</v>
      </c>
      <c r="C16" s="158" t="str">
        <f>IFERROR(__xludf.DUMMYFUNCTION("""COMPUTED_VALUE"""),"Anggi Paramita Gianieri")</f>
        <v>Anggi Paramita Gianieri</v>
      </c>
      <c r="D16" s="158" t="str">
        <f>IFERROR(__xludf.DUMMYFUNCTION("""COMPUTED_VALUE"""),"Cindana")</f>
        <v>Cindana</v>
      </c>
      <c r="E16" s="160" t="str">
        <f>IFERROR(__xludf.DUMMYFUNCTION("""COMPUTED_VALUE"""),"TASHYA FEBRIANI +62 812-9933-3295")</f>
        <v>TASHYA FEBRIANI +62 812-9933-3295</v>
      </c>
      <c r="F16" s="158">
        <f>IFERROR(__xludf.DUMMYFUNCTION("""COMPUTED_VALUE"""),3.54922130015792E14)</f>
        <v>354922130015792</v>
      </c>
      <c r="G16" s="158" t="str">
        <f>IFERROR(__xludf.DUMMYFUNCTION("""COMPUTED_VALUE"""),"SM-S937BZSBXID")</f>
        <v>SM-S937BZSBXID</v>
      </c>
      <c r="H16" s="160" t="str">
        <f>IFERROR(__xludf.DUMMYFUNCTION("""COMPUTED_VALUE"""),"G-S25-EDGE 12/256 SILVER (2025)")</f>
        <v>G-S25-EDGE 12/256 SILVER (2025)</v>
      </c>
      <c r="I16" s="208">
        <f>IFERROR(__xludf.DUMMYFUNCTION("""COMPUTED_VALUE"""),46029.0)</f>
        <v>46029</v>
      </c>
      <c r="J16" s="158">
        <f>IFERROR(__xludf.DUMMYFUNCTION("""COMPUTED_VALUE"""),52.0)</f>
        <v>52</v>
      </c>
      <c r="K16" s="160"/>
      <c r="L16" s="158" t="str">
        <f>IFERROR(__xludf.DUMMYFUNCTION("""COMPUTED_VALUE"""),"Overdue &gt; 30 days")</f>
        <v>Overdue &gt; 30 days</v>
      </c>
      <c r="M16" s="158"/>
      <c r="N16" s="158"/>
      <c r="O16" s="158"/>
      <c r="P16" s="158" t="str">
        <f>IFERROR(IF(ISNUMBER(MATCH(F16,'Step 1 Data Bank'!E:E, 0)), "On Data Bank", "Not In Data Bank"),"")</f>
        <v>On Data Bank</v>
      </c>
      <c r="Q16" s="158" t="str">
        <f t="array" ref="Q16">XLOOKUP(F16,'Step 1 Data Bank'!E:E,'Step 1 Data Bank'!M:M,"",0)</f>
        <v>LOANED / ON KOL</v>
      </c>
      <c r="R16" s="160" t="str">
        <f t="array" ref="R16">XLOOKUP(F16,'Step 1 Data Bank'!E:E,'Step 1 Data Bank'!N:N,"",0)</f>
        <v>Salma (carry untuk event galaxy studio)</v>
      </c>
      <c r="S16" s="158" t="str">
        <f>IFERROR(IF(ISNUMBER(MATCH(F16,'OLD DATA'!H:H, 0)), "On OLD Data", "Not In Old Data"),"")</f>
        <v>On OLD Data</v>
      </c>
      <c r="T16" s="158" t="str">
        <f t="array" ref="T16">XLOOKUP(F16,'OLD DATA'!H:H,'OLD DATA'!I:I,"",0)</f>
        <v>Locker</v>
      </c>
      <c r="U16" s="158" t="str">
        <f t="array" ref="U16">XLOOKUP(F16,'OLD DATA'!H:H,'OLD DATA'!J:J,"",0)</f>
        <v/>
      </c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</row>
    <row r="17">
      <c r="A17" s="207">
        <f>IFERROR(__xludf.DUMMYFUNCTION("""COMPUTED_VALUE"""),46023.0)</f>
        <v>46023</v>
      </c>
      <c r="B17" s="158" t="str">
        <f>IFERROR(__xludf.DUMMYFUNCTION("""COMPUTED_VALUE"""),"GOAT")</f>
        <v>GOAT</v>
      </c>
      <c r="C17" s="158" t="str">
        <f>IFERROR(__xludf.DUMMYFUNCTION("""COMPUTED_VALUE"""),"Anggi Paramita Gianieri")</f>
        <v>Anggi Paramita Gianieri</v>
      </c>
      <c r="D17" s="158" t="str">
        <f>IFERROR(__xludf.DUMMYFUNCTION("""COMPUTED_VALUE"""),"Cindana")</f>
        <v>Cindana</v>
      </c>
      <c r="E17" s="160" t="str">
        <f>IFERROR(__xludf.DUMMYFUNCTION("""COMPUTED_VALUE"""),"TASHYA FEBRIANI +62 812-9933-3295")</f>
        <v>TASHYA FEBRIANI +62 812-9933-3295</v>
      </c>
      <c r="F17" s="158">
        <f>IFERROR(__xludf.DUMMYFUNCTION("""COMPUTED_VALUE"""),3.54922130011429E14)</f>
        <v>354922130011429</v>
      </c>
      <c r="G17" s="158" t="str">
        <f>IFERROR(__xludf.DUMMYFUNCTION("""COMPUTED_VALUE"""),"SM-S937BZSBXID")</f>
        <v>SM-S937BZSBXID</v>
      </c>
      <c r="H17" s="160" t="str">
        <f>IFERROR(__xludf.DUMMYFUNCTION("""COMPUTED_VALUE"""),"G-S25-EDGE 12/256 SILVER (2025)")</f>
        <v>G-S25-EDGE 12/256 SILVER (2025)</v>
      </c>
      <c r="I17" s="208">
        <f>IFERROR(__xludf.DUMMYFUNCTION("""COMPUTED_VALUE"""),46029.0)</f>
        <v>46029</v>
      </c>
      <c r="J17" s="158">
        <f>IFERROR(__xludf.DUMMYFUNCTION("""COMPUTED_VALUE"""),52.0)</f>
        <v>52</v>
      </c>
      <c r="K17" s="160"/>
      <c r="L17" s="158" t="str">
        <f>IFERROR(__xludf.DUMMYFUNCTION("""COMPUTED_VALUE"""),"Overdue &gt; 30 days")</f>
        <v>Overdue &gt; 30 days</v>
      </c>
      <c r="M17" s="158" t="str">
        <f>IFERROR(__xludf.DUMMYFUNCTION("""COMPUTED_VALUE"""),"EDGE - 1429.jpg")</f>
        <v>EDGE - 1429.jpg</v>
      </c>
      <c r="N17" s="158"/>
      <c r="O17" s="158"/>
      <c r="P17" s="158" t="str">
        <f>IFERROR(IF(ISNUMBER(MATCH(F17,'Step 1 Data Bank'!E:E, 0)), "On Data Bank", "Not In Data Bank"),"")</f>
        <v>On Data Bank</v>
      </c>
      <c r="Q17" s="158" t="str">
        <f t="array" ref="Q17">XLOOKUP(F17,'Step 1 Data Bank'!E:E,'Step 1 Data Bank'!M:M,"",0)</f>
        <v>AVAILABLE</v>
      </c>
      <c r="R17" s="160" t="str">
        <f t="array" ref="R17">XLOOKUP(F17,'Step 1 Data Bank'!E:E,'Step 1 Data Bank'!N:N,"",0)</f>
        <v>-</v>
      </c>
      <c r="S17" s="158" t="str">
        <f>IFERROR(IF(ISNUMBER(MATCH(F17,'OLD DATA'!H:H, 0)), "On OLD Data", "Not In Old Data"),"")</f>
        <v>On OLD Data</v>
      </c>
      <c r="T17" s="158" t="str">
        <f t="array" ref="T17">XLOOKUP(F17,'OLD DATA'!H:H,'OLD DATA'!I:I,"",0)</f>
        <v>Locker</v>
      </c>
      <c r="U17" s="158" t="str">
        <f t="array" ref="U17">XLOOKUP(F17,'OLD DATA'!H:H,'OLD DATA'!J:J,"",0)</f>
        <v/>
      </c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</row>
    <row r="18">
      <c r="A18" s="207">
        <f>IFERROR(__xludf.DUMMYFUNCTION("""COMPUTED_VALUE"""),46023.0)</f>
        <v>46023</v>
      </c>
      <c r="B18" s="158" t="str">
        <f>IFERROR(__xludf.DUMMYFUNCTION("""COMPUTED_VALUE"""),"GOAT")</f>
        <v>GOAT</v>
      </c>
      <c r="C18" s="158" t="str">
        <f>IFERROR(__xludf.DUMMYFUNCTION("""COMPUTED_VALUE"""),"Anggi Paramita Gianieri")</f>
        <v>Anggi Paramita Gianieri</v>
      </c>
      <c r="D18" s="158" t="str">
        <f>IFERROR(__xludf.DUMMYFUNCTION("""COMPUTED_VALUE"""),"Cindana")</f>
        <v>Cindana</v>
      </c>
      <c r="E18" s="160" t="str">
        <f>IFERROR(__xludf.DUMMYFUNCTION("""COMPUTED_VALUE"""),"TASHYA FEBRIANI +62 812-9933-3295")</f>
        <v>TASHYA FEBRIANI +62 812-9933-3295</v>
      </c>
      <c r="F18" s="158">
        <f>IFERROR(__xludf.DUMMYFUNCTION("""COMPUTED_VALUE"""),3.5492213001622E14)</f>
        <v>354922130016220</v>
      </c>
      <c r="G18" s="158" t="str">
        <f>IFERROR(__xludf.DUMMYFUNCTION("""COMPUTED_VALUE"""),"SM-S937BZSBXID")</f>
        <v>SM-S937BZSBXID</v>
      </c>
      <c r="H18" s="160" t="str">
        <f>IFERROR(__xludf.DUMMYFUNCTION("""COMPUTED_VALUE"""),"G-S25-EDGE 12/256 SILVER (2025)")</f>
        <v>G-S25-EDGE 12/256 SILVER (2025)</v>
      </c>
      <c r="I18" s="208">
        <f>IFERROR(__xludf.DUMMYFUNCTION("""COMPUTED_VALUE"""),46029.0)</f>
        <v>46029</v>
      </c>
      <c r="J18" s="158">
        <f>IFERROR(__xludf.DUMMYFUNCTION("""COMPUTED_VALUE"""),52.0)</f>
        <v>52</v>
      </c>
      <c r="K18" s="160"/>
      <c r="L18" s="158" t="str">
        <f>IFERROR(__xludf.DUMMYFUNCTION("""COMPUTED_VALUE"""),"Overdue &gt; 30 days")</f>
        <v>Overdue &gt; 30 days</v>
      </c>
      <c r="M18" s="158"/>
      <c r="N18" s="158"/>
      <c r="O18" s="158"/>
      <c r="P18" s="158" t="str">
        <f>IFERROR(IF(ISNUMBER(MATCH(F18,'Step 1 Data Bank'!E:E, 0)), "On Data Bank", "Not In Data Bank"),"")</f>
        <v>Not In Data Bank</v>
      </c>
      <c r="Q18" s="158" t="str">
        <f t="array" ref="Q18">XLOOKUP(F18,'Step 1 Data Bank'!E:E,'Step 1 Data Bank'!M:M,"",0)</f>
        <v/>
      </c>
      <c r="R18" s="160" t="str">
        <f t="array" ref="R18">XLOOKUP(F18,'Step 1 Data Bank'!E:E,'Step 1 Data Bank'!N:N,"",0)</f>
        <v/>
      </c>
      <c r="S18" s="158" t="str">
        <f>IFERROR(IF(ISNUMBER(MATCH(F18,'OLD DATA'!H:H, 0)), "On OLD Data", "Not In Old Data"),"")</f>
        <v>On OLD Data</v>
      </c>
      <c r="T18" s="158" t="str">
        <f t="array" ref="T18">XLOOKUP(F18,'OLD DATA'!H:H,'OLD DATA'!I:I,"",0)</f>
        <v>Locker</v>
      </c>
      <c r="U18" s="158" t="str">
        <f t="array" ref="U18">XLOOKUP(F18,'OLD DATA'!H:H,'OLD DATA'!J:J,"",0)</f>
        <v/>
      </c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</row>
    <row r="19">
      <c r="A19" s="207">
        <f>IFERROR(__xludf.DUMMYFUNCTION("""COMPUTED_VALUE"""),46023.0)</f>
        <v>46023</v>
      </c>
      <c r="B19" s="158" t="str">
        <f>IFERROR(__xludf.DUMMYFUNCTION("""COMPUTED_VALUE"""),"GOAT")</f>
        <v>GOAT</v>
      </c>
      <c r="C19" s="158" t="str">
        <f>IFERROR(__xludf.DUMMYFUNCTION("""COMPUTED_VALUE"""),"Anggi Paramita Gianieri")</f>
        <v>Anggi Paramita Gianieri</v>
      </c>
      <c r="D19" s="158" t="str">
        <f>IFERROR(__xludf.DUMMYFUNCTION("""COMPUTED_VALUE"""),"Cindana")</f>
        <v>Cindana</v>
      </c>
      <c r="E19" s="160" t="str">
        <f>IFERROR(__xludf.DUMMYFUNCTION("""COMPUTED_VALUE"""),"TASHYA FEBRIANI +62 812-9933-3295")</f>
        <v>TASHYA FEBRIANI +62 812-9933-3295</v>
      </c>
      <c r="F19" s="158">
        <f>IFERROR(__xludf.DUMMYFUNCTION("""COMPUTED_VALUE"""),3.54922130009894E14)</f>
        <v>354922130009894</v>
      </c>
      <c r="G19" s="158" t="str">
        <f>IFERROR(__xludf.DUMMYFUNCTION("""COMPUTED_VALUE"""),"SM-S937BZSBXID")</f>
        <v>SM-S937BZSBXID</v>
      </c>
      <c r="H19" s="160" t="str">
        <f>IFERROR(__xludf.DUMMYFUNCTION("""COMPUTED_VALUE"""),"G-S25-EDGE 12/256 SILVER (2025)")</f>
        <v>G-S25-EDGE 12/256 SILVER (2025)</v>
      </c>
      <c r="I19" s="208">
        <f>IFERROR(__xludf.DUMMYFUNCTION("""COMPUTED_VALUE"""),46029.0)</f>
        <v>46029</v>
      </c>
      <c r="J19" s="158">
        <f>IFERROR(__xludf.DUMMYFUNCTION("""COMPUTED_VALUE"""),52.0)</f>
        <v>52</v>
      </c>
      <c r="K19" s="160"/>
      <c r="L19" s="158" t="str">
        <f>IFERROR(__xludf.DUMMYFUNCTION("""COMPUTED_VALUE"""),"Overdue &gt; 30 days")</f>
        <v>Overdue &gt; 30 days</v>
      </c>
      <c r="M19" s="158"/>
      <c r="N19" s="158"/>
      <c r="O19" s="158"/>
      <c r="P19" s="158" t="str">
        <f>IFERROR(IF(ISNUMBER(MATCH(F19,'Step 1 Data Bank'!E:E, 0)), "On Data Bank", "Not In Data Bank"),"")</f>
        <v>On Data Bank</v>
      </c>
      <c r="Q19" s="158" t="str">
        <f t="array" ref="Q19">XLOOKUP(F19,'Step 1 Data Bank'!E:E,'Step 1 Data Bank'!M:M,"",0)</f>
        <v>AVAILABLE</v>
      </c>
      <c r="R19" s="160" t="str">
        <f t="array" ref="R19">XLOOKUP(F19,'Step 1 Data Bank'!E:E,'Step 1 Data Bank'!N:N,"",0)</f>
        <v>-</v>
      </c>
      <c r="S19" s="158" t="str">
        <f>IFERROR(IF(ISNUMBER(MATCH(F19,'OLD DATA'!H:H, 0)), "On OLD Data", "Not In Old Data"),"")</f>
        <v>On OLD Data</v>
      </c>
      <c r="T19" s="158" t="str">
        <f t="array" ref="T19">XLOOKUP(F19,'OLD DATA'!H:H,'OLD DATA'!I:I,"",0)</f>
        <v>Locker</v>
      </c>
      <c r="U19" s="158" t="str">
        <f t="array" ref="U19">XLOOKUP(F19,'OLD DATA'!H:H,'OLD DATA'!J:J,"",0)</f>
        <v/>
      </c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</row>
    <row r="20">
      <c r="A20" s="207">
        <f>IFERROR(__xludf.DUMMYFUNCTION("""COMPUTED_VALUE"""),46023.0)</f>
        <v>46023</v>
      </c>
      <c r="B20" s="158" t="str">
        <f>IFERROR(__xludf.DUMMYFUNCTION("""COMPUTED_VALUE"""),"GOAT")</f>
        <v>GOAT</v>
      </c>
      <c r="C20" s="158" t="str">
        <f>IFERROR(__xludf.DUMMYFUNCTION("""COMPUTED_VALUE"""),"Anggi Paramita Gianieri")</f>
        <v>Anggi Paramita Gianieri</v>
      </c>
      <c r="D20" s="158" t="str">
        <f>IFERROR(__xludf.DUMMYFUNCTION("""COMPUTED_VALUE"""),"Cindana")</f>
        <v>Cindana</v>
      </c>
      <c r="E20" s="160" t="str">
        <f>IFERROR(__xludf.DUMMYFUNCTION("""COMPUTED_VALUE"""),"TASHYA FEBRIANI +62 812-9933-3295")</f>
        <v>TASHYA FEBRIANI +62 812-9933-3295</v>
      </c>
      <c r="F20" s="158">
        <f>IFERROR(__xludf.DUMMYFUNCTION("""COMPUTED_VALUE"""),3.54922130012054E14)</f>
        <v>354922130012054</v>
      </c>
      <c r="G20" s="158" t="str">
        <f>IFERROR(__xludf.DUMMYFUNCTION("""COMPUTED_VALUE"""),"SM-S937BZSBXID")</f>
        <v>SM-S937BZSBXID</v>
      </c>
      <c r="H20" s="160" t="str">
        <f>IFERROR(__xludf.DUMMYFUNCTION("""COMPUTED_VALUE"""),"G-S25-EDGE 12/256 SILVER (2025)")</f>
        <v>G-S25-EDGE 12/256 SILVER (2025)</v>
      </c>
      <c r="I20" s="208">
        <f>IFERROR(__xludf.DUMMYFUNCTION("""COMPUTED_VALUE"""),46029.0)</f>
        <v>46029</v>
      </c>
      <c r="J20" s="158">
        <f>IFERROR(__xludf.DUMMYFUNCTION("""COMPUTED_VALUE"""),52.0)</f>
        <v>52</v>
      </c>
      <c r="K20" s="160"/>
      <c r="L20" s="158" t="str">
        <f>IFERROR(__xludf.DUMMYFUNCTION("""COMPUTED_VALUE"""),"Overdue &gt; 30 days")</f>
        <v>Overdue &gt; 30 days</v>
      </c>
      <c r="M20" s="158"/>
      <c r="N20" s="158"/>
      <c r="O20" s="158"/>
      <c r="P20" s="158" t="str">
        <f>IFERROR(IF(ISNUMBER(MATCH(F20,'Step 1 Data Bank'!E:E, 0)), "On Data Bank", "Not In Data Bank"),"")</f>
        <v>On Data Bank</v>
      </c>
      <c r="Q20" s="158" t="str">
        <f t="array" ref="Q20">XLOOKUP(F20,'Step 1 Data Bank'!E:E,'Step 1 Data Bank'!M:M,"",0)</f>
        <v>LOANED / ON KOL</v>
      </c>
      <c r="R20" s="160" t="str">
        <f t="array" ref="R20">XLOOKUP(F20,'Step 1 Data Bank'!E:E,'Step 1 Data Bank'!N:N,"",0)</f>
        <v>Jevin Julian</v>
      </c>
      <c r="S20" s="158" t="str">
        <f>IFERROR(IF(ISNUMBER(MATCH(F20,'OLD DATA'!H:H, 0)), "On OLD Data", "Not In Old Data"),"")</f>
        <v>On OLD Data</v>
      </c>
      <c r="T20" s="158" t="str">
        <f t="array" ref="T20">XLOOKUP(F20,'OLD DATA'!H:H,'OLD DATA'!I:I,"",0)</f>
        <v>Locker</v>
      </c>
      <c r="U20" s="158" t="str">
        <f t="array" ref="U20">XLOOKUP(F20,'OLD DATA'!H:H,'OLD DATA'!J:J,"",0)</f>
        <v/>
      </c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</row>
    <row r="21">
      <c r="A21" s="207">
        <f>IFERROR(__xludf.DUMMYFUNCTION("""COMPUTED_VALUE"""),46023.0)</f>
        <v>46023</v>
      </c>
      <c r="B21" s="158" t="str">
        <f>IFERROR(__xludf.DUMMYFUNCTION("""COMPUTED_VALUE"""),"GOAT")</f>
        <v>GOAT</v>
      </c>
      <c r="C21" s="158" t="str">
        <f>IFERROR(__xludf.DUMMYFUNCTION("""COMPUTED_VALUE"""),"Anggi Paramita Gianieri")</f>
        <v>Anggi Paramita Gianieri</v>
      </c>
      <c r="D21" s="158" t="str">
        <f>IFERROR(__xludf.DUMMYFUNCTION("""COMPUTED_VALUE"""),"Cindana")</f>
        <v>Cindana</v>
      </c>
      <c r="E21" s="160" t="str">
        <f>IFERROR(__xludf.DUMMYFUNCTION("""COMPUTED_VALUE"""),"TASHYA FEBRIANI +62 812-9933-3295")</f>
        <v>TASHYA FEBRIANI +62 812-9933-3295</v>
      </c>
      <c r="F21" s="158">
        <f>IFERROR(__xludf.DUMMYFUNCTION("""COMPUTED_VALUE"""),3.5492213001189E14)</f>
        <v>354922130011890</v>
      </c>
      <c r="G21" s="158" t="str">
        <f>IFERROR(__xludf.DUMMYFUNCTION("""COMPUTED_VALUE"""),"SM-S937BZSBXID")</f>
        <v>SM-S937BZSBXID</v>
      </c>
      <c r="H21" s="160" t="str">
        <f>IFERROR(__xludf.DUMMYFUNCTION("""COMPUTED_VALUE"""),"G-S25-EDGE 12/256 SILVER (2025)")</f>
        <v>G-S25-EDGE 12/256 SILVER (2025)</v>
      </c>
      <c r="I21" s="208">
        <f>IFERROR(__xludf.DUMMYFUNCTION("""COMPUTED_VALUE"""),46029.0)</f>
        <v>46029</v>
      </c>
      <c r="J21" s="158">
        <f>IFERROR(__xludf.DUMMYFUNCTION("""COMPUTED_VALUE"""),52.0)</f>
        <v>52</v>
      </c>
      <c r="K21" s="160"/>
      <c r="L21" s="158" t="str">
        <f>IFERROR(__xludf.DUMMYFUNCTION("""COMPUTED_VALUE"""),"Overdue &gt; 30 days")</f>
        <v>Overdue &gt; 30 days</v>
      </c>
      <c r="M21" s="158" t="str">
        <f>IFERROR(__xludf.DUMMYFUNCTION("""COMPUTED_VALUE"""),"EDGE - 1890.jpg")</f>
        <v>EDGE - 1890.jpg</v>
      </c>
      <c r="N21" s="158"/>
      <c r="O21" s="158"/>
      <c r="P21" s="158" t="str">
        <f>IFERROR(IF(ISNUMBER(MATCH(F21,'Step 1 Data Bank'!E:E, 0)), "On Data Bank", "Not In Data Bank"),"")</f>
        <v>On Data Bank</v>
      </c>
      <c r="Q21" s="158" t="str">
        <f t="array" ref="Q21">XLOOKUP(F21,'Step 1 Data Bank'!E:E,'Step 1 Data Bank'!M:M,"",0)</f>
        <v>AVAILABLE</v>
      </c>
      <c r="R21" s="160" t="str">
        <f t="array" ref="R21">XLOOKUP(F21,'Step 1 Data Bank'!E:E,'Step 1 Data Bank'!N:N,"",0)</f>
        <v>-</v>
      </c>
      <c r="S21" s="158" t="str">
        <f>IFERROR(IF(ISNUMBER(MATCH(F21,'OLD DATA'!H:H, 0)), "On OLD Data", "Not In Old Data"),"")</f>
        <v>On OLD Data</v>
      </c>
      <c r="T21" s="158" t="str">
        <f t="array" ref="T21">XLOOKUP(F21,'OLD DATA'!H:H,'OLD DATA'!I:I,"",0)</f>
        <v>Locker</v>
      </c>
      <c r="U21" s="158" t="str">
        <f t="array" ref="U21">XLOOKUP(F21,'OLD DATA'!H:H,'OLD DATA'!J:J,"",0)</f>
        <v/>
      </c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</row>
    <row r="22">
      <c r="A22" s="207">
        <f>IFERROR(__xludf.DUMMYFUNCTION("""COMPUTED_VALUE"""),46023.0)</f>
        <v>46023</v>
      </c>
      <c r="B22" s="158" t="str">
        <f>IFERROR(__xludf.DUMMYFUNCTION("""COMPUTED_VALUE"""),"GOAT")</f>
        <v>GOAT</v>
      </c>
      <c r="C22" s="158" t="str">
        <f>IFERROR(__xludf.DUMMYFUNCTION("""COMPUTED_VALUE"""),"Anggi Paramita Gianieri")</f>
        <v>Anggi Paramita Gianieri</v>
      </c>
      <c r="D22" s="158" t="str">
        <f>IFERROR(__xludf.DUMMYFUNCTION("""COMPUTED_VALUE"""),"Cindana")</f>
        <v>Cindana</v>
      </c>
      <c r="E22" s="160" t="str">
        <f>IFERROR(__xludf.DUMMYFUNCTION("""COMPUTED_VALUE"""),"TASHYA FEBRIANI +62 812-9933-3295")</f>
        <v>TASHYA FEBRIANI +62 812-9933-3295</v>
      </c>
      <c r="F22" s="158">
        <f>IFERROR(__xludf.DUMMYFUNCTION("""COMPUTED_VALUE"""),3.54922130003558E14)</f>
        <v>354922130003558</v>
      </c>
      <c r="G22" s="158" t="str">
        <f>IFERROR(__xludf.DUMMYFUNCTION("""COMPUTED_VALUE"""),"SM-S937BZSBXID")</f>
        <v>SM-S937BZSBXID</v>
      </c>
      <c r="H22" s="160" t="str">
        <f>IFERROR(__xludf.DUMMYFUNCTION("""COMPUTED_VALUE"""),"G-S25-EDGE 12/256 SILVER (2025)")</f>
        <v>G-S25-EDGE 12/256 SILVER (2025)</v>
      </c>
      <c r="I22" s="208">
        <f>IFERROR(__xludf.DUMMYFUNCTION("""COMPUTED_VALUE"""),46029.0)</f>
        <v>46029</v>
      </c>
      <c r="J22" s="158">
        <f>IFERROR(__xludf.DUMMYFUNCTION("""COMPUTED_VALUE"""),52.0)</f>
        <v>52</v>
      </c>
      <c r="K22" s="160"/>
      <c r="L22" s="158" t="str">
        <f>IFERROR(__xludf.DUMMYFUNCTION("""COMPUTED_VALUE"""),"Overdue &gt; 30 days")</f>
        <v>Overdue &gt; 30 days</v>
      </c>
      <c r="M22" s="158" t="str">
        <f>IFERROR(__xludf.DUMMYFUNCTION("""COMPUTED_VALUE"""),"EDGE - 3558.jpg")</f>
        <v>EDGE - 3558.jpg</v>
      </c>
      <c r="N22" s="158"/>
      <c r="O22" s="158"/>
      <c r="P22" s="158" t="str">
        <f>IFERROR(IF(ISNUMBER(MATCH(F22,'Step 1 Data Bank'!E:E, 0)), "On Data Bank", "Not In Data Bank"),"")</f>
        <v>On Data Bank</v>
      </c>
      <c r="Q22" s="158" t="str">
        <f t="array" ref="Q22">XLOOKUP(F22,'Step 1 Data Bank'!E:E,'Step 1 Data Bank'!M:M,"",0)</f>
        <v>LOANED / ON KOL</v>
      </c>
      <c r="R22" s="160" t="str">
        <f t="array" ref="R22">XLOOKUP(F22,'Step 1 Data Bank'!E:E,'Step 1 Data Bank'!N:N,"",0)</f>
        <v>gaby saputra</v>
      </c>
      <c r="S22" s="158" t="str">
        <f>IFERROR(IF(ISNUMBER(MATCH(F22,'OLD DATA'!H:H, 0)), "On OLD Data", "Not In Old Data"),"")</f>
        <v>On OLD Data</v>
      </c>
      <c r="T22" s="158" t="str">
        <f t="array" ref="T22">XLOOKUP(F22,'OLD DATA'!H:H,'OLD DATA'!I:I,"",0)</f>
        <v>Locker</v>
      </c>
      <c r="U22" s="158" t="str">
        <f t="array" ref="U22">XLOOKUP(F22,'OLD DATA'!H:H,'OLD DATA'!J:J,"",0)</f>
        <v/>
      </c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</row>
    <row r="23">
      <c r="A23" s="207">
        <f>IFERROR(__xludf.DUMMYFUNCTION("""COMPUTED_VALUE"""),46023.0)</f>
        <v>46023</v>
      </c>
      <c r="B23" s="158" t="str">
        <f>IFERROR(__xludf.DUMMYFUNCTION("""COMPUTED_VALUE"""),"GOAT")</f>
        <v>GOAT</v>
      </c>
      <c r="C23" s="158" t="str">
        <f>IFERROR(__xludf.DUMMYFUNCTION("""COMPUTED_VALUE"""),"Anggi Paramita Gianieri")</f>
        <v>Anggi Paramita Gianieri</v>
      </c>
      <c r="D23" s="158" t="str">
        <f>IFERROR(__xludf.DUMMYFUNCTION("""COMPUTED_VALUE"""),"Cindana")</f>
        <v>Cindana</v>
      </c>
      <c r="E23" s="160" t="str">
        <f>IFERROR(__xludf.DUMMYFUNCTION("""COMPUTED_VALUE"""),"TASHYA FEBRIANI +62 812-9933-3295")</f>
        <v>TASHYA FEBRIANI +62 812-9933-3295</v>
      </c>
      <c r="F23" s="158">
        <f>IFERROR(__xludf.DUMMYFUNCTION("""COMPUTED_VALUE"""),3.5492213001603E14)</f>
        <v>354922130016030</v>
      </c>
      <c r="G23" s="158" t="str">
        <f>IFERROR(__xludf.DUMMYFUNCTION("""COMPUTED_VALUE"""),"SM-S937BZSBXID")</f>
        <v>SM-S937BZSBXID</v>
      </c>
      <c r="H23" s="160" t="str">
        <f>IFERROR(__xludf.DUMMYFUNCTION("""COMPUTED_VALUE"""),"G-S25-EDGE 12/256 SILVER (2025)")</f>
        <v>G-S25-EDGE 12/256 SILVER (2025)</v>
      </c>
      <c r="I23" s="208">
        <f>IFERROR(__xludf.DUMMYFUNCTION("""COMPUTED_VALUE"""),46029.0)</f>
        <v>46029</v>
      </c>
      <c r="J23" s="158">
        <f>IFERROR(__xludf.DUMMYFUNCTION("""COMPUTED_VALUE"""),52.0)</f>
        <v>52</v>
      </c>
      <c r="K23" s="160"/>
      <c r="L23" s="158" t="str">
        <f>IFERROR(__xludf.DUMMYFUNCTION("""COMPUTED_VALUE"""),"Overdue &gt; 30 days")</f>
        <v>Overdue &gt; 30 days</v>
      </c>
      <c r="M23" s="158" t="str">
        <f>IFERROR(__xludf.DUMMYFUNCTION("""COMPUTED_VALUE"""),"EDGE - 6030.jpg")</f>
        <v>EDGE - 6030.jpg</v>
      </c>
      <c r="N23" s="158"/>
      <c r="O23" s="158"/>
      <c r="P23" s="158" t="str">
        <f>IFERROR(IF(ISNUMBER(MATCH(F23,'Step 1 Data Bank'!E:E, 0)), "On Data Bank", "Not In Data Bank"),"")</f>
        <v>On Data Bank</v>
      </c>
      <c r="Q23" s="158" t="str">
        <f t="array" ref="Q23">XLOOKUP(F23,'Step 1 Data Bank'!E:E,'Step 1 Data Bank'!M:M,"",0)</f>
        <v>AVAILABLE</v>
      </c>
      <c r="R23" s="160" t="str">
        <f t="array" ref="R23">XLOOKUP(F23,'Step 1 Data Bank'!E:E,'Step 1 Data Bank'!N:N,"",0)</f>
        <v>-</v>
      </c>
      <c r="S23" s="158" t="str">
        <f>IFERROR(IF(ISNUMBER(MATCH(F23,'OLD DATA'!H:H, 0)), "On OLD Data", "Not In Old Data"),"")</f>
        <v>On OLD Data</v>
      </c>
      <c r="T23" s="158" t="str">
        <f t="array" ref="T23">XLOOKUP(F23,'OLD DATA'!H:H,'OLD DATA'!I:I,"",0)</f>
        <v>Locker</v>
      </c>
      <c r="U23" s="158" t="str">
        <f t="array" ref="U23">XLOOKUP(F23,'OLD DATA'!H:H,'OLD DATA'!J:J,"",0)</f>
        <v/>
      </c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</row>
    <row r="24">
      <c r="A24" s="207">
        <f>IFERROR(__xludf.DUMMYFUNCTION("""COMPUTED_VALUE"""),46023.0)</f>
        <v>46023</v>
      </c>
      <c r="B24" s="158" t="str">
        <f>IFERROR(__xludf.DUMMYFUNCTION("""COMPUTED_VALUE"""),"GOAT")</f>
        <v>GOAT</v>
      </c>
      <c r="C24" s="158" t="str">
        <f>IFERROR(__xludf.DUMMYFUNCTION("""COMPUTED_VALUE"""),"Anggi Paramita Gianieri")</f>
        <v>Anggi Paramita Gianieri</v>
      </c>
      <c r="D24" s="158" t="str">
        <f>IFERROR(__xludf.DUMMYFUNCTION("""COMPUTED_VALUE"""),"Cindana")</f>
        <v>Cindana</v>
      </c>
      <c r="E24" s="160" t="str">
        <f>IFERROR(__xludf.DUMMYFUNCTION("""COMPUTED_VALUE"""),"TASHYA FEBRIANI +62 812-9933-3295")</f>
        <v>TASHYA FEBRIANI +62 812-9933-3295</v>
      </c>
      <c r="F24" s="158">
        <f>IFERROR(__xludf.DUMMYFUNCTION("""COMPUTED_VALUE"""),3.54922130011403E14)</f>
        <v>354922130011403</v>
      </c>
      <c r="G24" s="158" t="str">
        <f>IFERROR(__xludf.DUMMYFUNCTION("""COMPUTED_VALUE"""),"SM-S937BZSBXID")</f>
        <v>SM-S937BZSBXID</v>
      </c>
      <c r="H24" s="160" t="str">
        <f>IFERROR(__xludf.DUMMYFUNCTION("""COMPUTED_VALUE"""),"G-S25-EDGE 12/256 SILVER (2025)")</f>
        <v>G-S25-EDGE 12/256 SILVER (2025)</v>
      </c>
      <c r="I24" s="208">
        <f>IFERROR(__xludf.DUMMYFUNCTION("""COMPUTED_VALUE"""),46029.0)</f>
        <v>46029</v>
      </c>
      <c r="J24" s="158">
        <f>IFERROR(__xludf.DUMMYFUNCTION("""COMPUTED_VALUE"""),52.0)</f>
        <v>52</v>
      </c>
      <c r="K24" s="160"/>
      <c r="L24" s="158" t="str">
        <f>IFERROR(__xludf.DUMMYFUNCTION("""COMPUTED_VALUE"""),"Overdue &gt; 30 days")</f>
        <v>Overdue &gt; 30 days</v>
      </c>
      <c r="M24" s="158" t="str">
        <f>IFERROR(__xludf.DUMMYFUNCTION("""COMPUTED_VALUE"""),"EDGE - 1403.jpg")</f>
        <v>EDGE - 1403.jpg</v>
      </c>
      <c r="N24" s="158"/>
      <c r="O24" s="158"/>
      <c r="P24" s="158" t="str">
        <f>IFERROR(IF(ISNUMBER(MATCH(F24,'Step 1 Data Bank'!E:E, 0)), "On Data Bank", "Not In Data Bank"),"")</f>
        <v>On Data Bank</v>
      </c>
      <c r="Q24" s="158" t="str">
        <f t="array" ref="Q24">XLOOKUP(F24,'Step 1 Data Bank'!E:E,'Step 1 Data Bank'!M:M,"",0)</f>
        <v>LOANED / ON KOL</v>
      </c>
      <c r="R24" s="160" t="str">
        <f t="array" ref="R24">XLOOKUP(F24,'Step 1 Data Bank'!E:E,'Step 1 Data Bank'!N:N,"",0)</f>
        <v>PH (Syndicate) - 5</v>
      </c>
      <c r="S24" s="158" t="str">
        <f>IFERROR(IF(ISNUMBER(MATCH(F24,'OLD DATA'!H:H, 0)), "On OLD Data", "Not In Old Data"),"")</f>
        <v>On OLD Data</v>
      </c>
      <c r="T24" s="158" t="str">
        <f t="array" ref="T24">XLOOKUP(F24,'OLD DATA'!H:H,'OLD DATA'!I:I,"",0)</f>
        <v>Locker</v>
      </c>
      <c r="U24" s="158" t="str">
        <f t="array" ref="U24">XLOOKUP(F24,'OLD DATA'!H:H,'OLD DATA'!J:J,"",0)</f>
        <v/>
      </c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</row>
    <row r="25">
      <c r="A25" s="207">
        <f>IFERROR(__xludf.DUMMYFUNCTION("""COMPUTED_VALUE"""),46023.0)</f>
        <v>46023</v>
      </c>
      <c r="B25" s="158" t="str">
        <f>IFERROR(__xludf.DUMMYFUNCTION("""COMPUTED_VALUE"""),"GOAT")</f>
        <v>GOAT</v>
      </c>
      <c r="C25" s="158" t="str">
        <f>IFERROR(__xludf.DUMMYFUNCTION("""COMPUTED_VALUE"""),"Anggi Paramita Gianieri")</f>
        <v>Anggi Paramita Gianieri</v>
      </c>
      <c r="D25" s="158" t="str">
        <f>IFERROR(__xludf.DUMMYFUNCTION("""COMPUTED_VALUE"""),"Cindana")</f>
        <v>Cindana</v>
      </c>
      <c r="E25" s="160" t="str">
        <f>IFERROR(__xludf.DUMMYFUNCTION("""COMPUTED_VALUE"""),"TASHYA FEBRIANI +62 812-9933-3295")</f>
        <v>TASHYA FEBRIANI +62 812-9933-3295</v>
      </c>
      <c r="F25" s="158">
        <f>IFERROR(__xludf.DUMMYFUNCTION("""COMPUTED_VALUE"""),3.54922130011205E14)</f>
        <v>354922130011205</v>
      </c>
      <c r="G25" s="158" t="str">
        <f>IFERROR(__xludf.DUMMYFUNCTION("""COMPUTED_VALUE"""),"SM-S937BZSBXID")</f>
        <v>SM-S937BZSBXID</v>
      </c>
      <c r="H25" s="160" t="str">
        <f>IFERROR(__xludf.DUMMYFUNCTION("""COMPUTED_VALUE"""),"G-S25-EDGE 12/256 SILVER (2025)")</f>
        <v>G-S25-EDGE 12/256 SILVER (2025)</v>
      </c>
      <c r="I25" s="208">
        <f>IFERROR(__xludf.DUMMYFUNCTION("""COMPUTED_VALUE"""),46029.0)</f>
        <v>46029</v>
      </c>
      <c r="J25" s="158">
        <f>IFERROR(__xludf.DUMMYFUNCTION("""COMPUTED_VALUE"""),52.0)</f>
        <v>52</v>
      </c>
      <c r="K25" s="160"/>
      <c r="L25" s="158" t="str">
        <f>IFERROR(__xludf.DUMMYFUNCTION("""COMPUTED_VALUE"""),"Overdue &gt; 30 days")</f>
        <v>Overdue &gt; 30 days</v>
      </c>
      <c r="M25" s="158" t="str">
        <f>IFERROR(__xludf.DUMMYFUNCTION("""COMPUTED_VALUE"""),"EDGE - 1205.jpg")</f>
        <v>EDGE - 1205.jpg</v>
      </c>
      <c r="N25" s="158"/>
      <c r="O25" s="158"/>
      <c r="P25" s="158" t="str">
        <f>IFERROR(IF(ISNUMBER(MATCH(F25,'Step 1 Data Bank'!E:E, 0)), "On Data Bank", "Not In Data Bank"),"")</f>
        <v>On Data Bank</v>
      </c>
      <c r="Q25" s="158" t="str">
        <f t="array" ref="Q25">XLOOKUP(F25,'Step 1 Data Bank'!E:E,'Step 1 Data Bank'!M:M,"",0)</f>
        <v>AVAILABLE</v>
      </c>
      <c r="R25" s="160" t="str">
        <f t="array" ref="R25">XLOOKUP(F25,'Step 1 Data Bank'!E:E,'Step 1 Data Bank'!N:N,"",0)</f>
        <v>-</v>
      </c>
      <c r="S25" s="158" t="str">
        <f>IFERROR(IF(ISNUMBER(MATCH(F25,'OLD DATA'!H:H, 0)), "On OLD Data", "Not In Old Data"),"")</f>
        <v>On OLD Data</v>
      </c>
      <c r="T25" s="158" t="str">
        <f t="array" ref="T25">XLOOKUP(F25,'OLD DATA'!H:H,'OLD DATA'!I:I,"",0)</f>
        <v>Locker</v>
      </c>
      <c r="U25" s="158" t="str">
        <f t="array" ref="U25">XLOOKUP(F25,'OLD DATA'!H:H,'OLD DATA'!J:J,"",0)</f>
        <v/>
      </c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</row>
    <row r="26">
      <c r="A26" s="207">
        <f>IFERROR(__xludf.DUMMYFUNCTION("""COMPUTED_VALUE"""),46023.0)</f>
        <v>46023</v>
      </c>
      <c r="B26" s="158" t="str">
        <f>IFERROR(__xludf.DUMMYFUNCTION("""COMPUTED_VALUE"""),"GOAT")</f>
        <v>GOAT</v>
      </c>
      <c r="C26" s="158" t="str">
        <f>IFERROR(__xludf.DUMMYFUNCTION("""COMPUTED_VALUE"""),"Made Intan Deyana Wirata")</f>
        <v>Made Intan Deyana Wirata</v>
      </c>
      <c r="D26" s="158" t="str">
        <f>IFERROR(__xludf.DUMMYFUNCTION("""COMPUTED_VALUE"""),"Intan")</f>
        <v>Intan</v>
      </c>
      <c r="E26" s="160" t="str">
        <f>IFERROR(__xludf.DUMMYFUNCTION("""COMPUTED_VALUE"""),"ALIA ALIFIA +62 822 9883 6303")</f>
        <v>ALIA ALIFIA +62 822 9883 6303</v>
      </c>
      <c r="F26" s="158">
        <f>IFERROR(__xludf.DUMMYFUNCTION("""COMPUTED_VALUE"""),3.53456152006828E14)</f>
        <v>353456152006828</v>
      </c>
      <c r="G26" s="158" t="str">
        <f>IFERROR(__xludf.DUMMYFUNCTION("""COMPUTED_VALUE"""),"SM-A366BZKSXID")</f>
        <v>SM-A366BZKSXID</v>
      </c>
      <c r="H26" s="160" t="str">
        <f>IFERROR(__xludf.DUMMYFUNCTION("""COMPUTED_VALUE"""),"G-A36-5G (8/128) BLACK (2025)")</f>
        <v>G-A36-5G (8/128) BLACK (2025)</v>
      </c>
      <c r="I26" s="208">
        <f>IFERROR(__xludf.DUMMYFUNCTION("""COMPUTED_VALUE"""),46029.0)</f>
        <v>46029</v>
      </c>
      <c r="J26" s="158">
        <f>IFERROR(__xludf.DUMMYFUNCTION("""COMPUTED_VALUE"""),52.0)</f>
        <v>52</v>
      </c>
      <c r="K26" s="160" t="str">
        <f>IFERROR(__xludf.DUMMYFUNCTION("""COMPUTED_VALUE"""),"Lost by KOL TLID Est. Payment Date 10.02.26")</f>
        <v>Lost by KOL TLID Est. Payment Date 10.02.26</v>
      </c>
      <c r="L26" s="158" t="str">
        <f>IFERROR(__xludf.DUMMYFUNCTION("""COMPUTED_VALUE"""),"Lost")</f>
        <v>Lost</v>
      </c>
      <c r="M26" s="158"/>
      <c r="N26" s="158"/>
      <c r="O26" s="158"/>
      <c r="P26" s="158" t="str">
        <f>IF(ISNUMBER(MATCH(F26,'Step 1 Data Bank'!E:E, 0)), "On Data Bank", "Not In Data Bank")</f>
        <v>Not In Data Bank</v>
      </c>
      <c r="Q26" s="158" t="str">
        <f t="array" ref="Q26">XLOOKUP(F26,'Step 1 Data Bank'!E:E,'Step 1 Data Bank'!M:M,"",0)</f>
        <v/>
      </c>
      <c r="R26" s="158"/>
      <c r="S26" s="158" t="str">
        <f>IF(ISNUMBER(MATCH(F26,'Step 1 Data Bank'!E:E, 0)), "On OLD Data", "Not In Old Data")</f>
        <v>Not In Old Data</v>
      </c>
      <c r="T26" s="158" t="str">
        <f t="array" ref="T26">XLOOKUP(F26,'OLD DATA'!H:H,'OLD DATA'!I:I,"",0)</f>
        <v>WITH KOL</v>
      </c>
      <c r="U26" s="158" t="str">
        <f t="array" ref="U26">XLOOKUP(F26,'OLD DATA'!H:H,'OLD DATA'!J:J,"",0)</f>
        <v>liquid aran</v>
      </c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</row>
    <row r="27">
      <c r="A27" s="207">
        <f>IFERROR(__xludf.DUMMYFUNCTION("""COMPUTED_VALUE"""),46023.0)</f>
        <v>46023</v>
      </c>
      <c r="B27" s="158" t="str">
        <f>IFERROR(__xludf.DUMMYFUNCTION("""COMPUTED_VALUE"""),"GOAT")</f>
        <v>GOAT</v>
      </c>
      <c r="C27" s="158" t="str">
        <f>IFERROR(__xludf.DUMMYFUNCTION("""COMPUTED_VALUE"""),"Made Intan Deyana Wirata")</f>
        <v>Made Intan Deyana Wirata</v>
      </c>
      <c r="D27" s="158" t="str">
        <f>IFERROR(__xludf.DUMMYFUNCTION("""COMPUTED_VALUE"""),"Intan")</f>
        <v>Intan</v>
      </c>
      <c r="E27" s="160" t="str">
        <f>IFERROR(__xludf.DUMMYFUNCTION("""COMPUTED_VALUE"""),"ALIA ALIFIA +62 822 9883 6303")</f>
        <v>ALIA ALIFIA +62 822 9883 6303</v>
      </c>
      <c r="F27" s="158">
        <f>IFERROR(__xludf.DUMMYFUNCTION("""COMPUTED_VALUE"""),3.53456152005952E14)</f>
        <v>353456152005952</v>
      </c>
      <c r="G27" s="158" t="str">
        <f>IFERROR(__xludf.DUMMYFUNCTION("""COMPUTED_VALUE"""),"SM-A366BZKSXID")</f>
        <v>SM-A366BZKSXID</v>
      </c>
      <c r="H27" s="160" t="str">
        <f>IFERROR(__xludf.DUMMYFUNCTION("""COMPUTED_VALUE"""),"G-A36-5G (8/128) BLACK (2025)")</f>
        <v>G-A36-5G (8/128) BLACK (2025)</v>
      </c>
      <c r="I27" s="208">
        <f>IFERROR(__xludf.DUMMYFUNCTION("""COMPUTED_VALUE"""),46029.0)</f>
        <v>46029</v>
      </c>
      <c r="J27" s="158">
        <f>IFERROR(__xludf.DUMMYFUNCTION("""COMPUTED_VALUE"""),52.0)</f>
        <v>52</v>
      </c>
      <c r="K27" s="160" t="str">
        <f>IFERROR(__xludf.DUMMYFUNCTION("""COMPUTED_VALUE"""),"Lost by KOL TLID Est. Payment Date 10.02.26")</f>
        <v>Lost by KOL TLID Est. Payment Date 10.02.26</v>
      </c>
      <c r="L27" s="158" t="str">
        <f>IFERROR(__xludf.DUMMYFUNCTION("""COMPUTED_VALUE"""),"Lost")</f>
        <v>Lost</v>
      </c>
      <c r="M27" s="158"/>
      <c r="N27" s="158"/>
      <c r="O27" s="158"/>
      <c r="P27" s="158" t="str">
        <f>IF(ISNUMBER(MATCH(F27,'Step 1 Data Bank'!E:E, 0)), "On Data Bank", "Not In Data Bank")</f>
        <v>Not In Data Bank</v>
      </c>
      <c r="Q27" s="158" t="str">
        <f t="array" ref="Q27">XLOOKUP(F27,'Step 1 Data Bank'!E:E,'Step 1 Data Bank'!M:M,"",0)</f>
        <v/>
      </c>
      <c r="R27" s="158"/>
      <c r="S27" s="158" t="str">
        <f>IF(ISNUMBER(MATCH(F27,'Step 1 Data Bank'!E:E, 0)), "On OLD Data", "Not In Old Data")</f>
        <v>Not In Old Data</v>
      </c>
      <c r="T27" s="158" t="str">
        <f t="array" ref="T27">XLOOKUP(F27,'OLD DATA'!H:H,'OLD DATA'!I:I,"",0)</f>
        <v>WITH KOL</v>
      </c>
      <c r="U27" s="158" t="str">
        <f t="array" ref="U27">XLOOKUP(F27,'OLD DATA'!H:H,'OLD DATA'!J:J,"",0)</f>
        <v>kyou</v>
      </c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</row>
    <row r="28">
      <c r="A28" s="207">
        <f>IFERROR(__xludf.DUMMYFUNCTION("""COMPUTED_VALUE"""),46023.0)</f>
        <v>46023</v>
      </c>
      <c r="B28" s="158" t="str">
        <f>IFERROR(__xludf.DUMMYFUNCTION("""COMPUTED_VALUE"""),"GOAT")</f>
        <v>GOAT</v>
      </c>
      <c r="C28" s="158" t="str">
        <f>IFERROR(__xludf.DUMMYFUNCTION("""COMPUTED_VALUE"""),"Made Intan Deyana Wirata")</f>
        <v>Made Intan Deyana Wirata</v>
      </c>
      <c r="D28" s="158" t="str">
        <f>IFERROR(__xludf.DUMMYFUNCTION("""COMPUTED_VALUE"""),"Yaya")</f>
        <v>Yaya</v>
      </c>
      <c r="E28" s="160" t="str">
        <f>IFERROR(__xludf.DUMMYFUNCTION("""COMPUTED_VALUE"""),"FENNY MARIA +62 878-8521-3141")</f>
        <v>FENNY MARIA +62 878-8521-3141</v>
      </c>
      <c r="F28" s="158">
        <f>IFERROR(__xludf.DUMMYFUNCTION("""COMPUTED_VALUE"""),3.54312420025786E14)</f>
        <v>354312420025786</v>
      </c>
      <c r="G28" s="158" t="str">
        <f>IFERROR(__xludf.DUMMYFUNCTION("""COMPUTED_VALUE"""),"SM-F766BDBAXID")</f>
        <v>SM-F766BDBAXID</v>
      </c>
      <c r="H28" s="160" t="str">
        <f>IFERROR(__xludf.DUMMYFUNCTION("""COMPUTED_VALUE"""),"G-Z-FLIP7 256GB DARK BLUE (2025)")</f>
        <v>G-Z-FLIP7 256GB DARK BLUE (2025)</v>
      </c>
      <c r="I28" s="208">
        <f>IFERROR(__xludf.DUMMYFUNCTION("""COMPUTED_VALUE"""),46030.0)</f>
        <v>46030</v>
      </c>
      <c r="J28" s="158">
        <f>IFERROR(__xludf.DUMMYFUNCTION("""COMPUTED_VALUE"""),51.0)</f>
        <v>51</v>
      </c>
      <c r="K28" s="160" t="str">
        <f>IFERROR(__xludf.DUMMYFUNCTION("""COMPUTED_VALUE"""),"Already Extend")</f>
        <v>Already Extend</v>
      </c>
      <c r="L28" s="158" t="str">
        <f>IFERROR(__xludf.DUMMYFUNCTION("""COMPUTED_VALUE"""),"Overdue &gt; 30 days")</f>
        <v>Overdue &gt; 30 days</v>
      </c>
      <c r="M28" s="158"/>
      <c r="N28" s="158"/>
      <c r="O28" s="158"/>
      <c r="P28" s="158" t="str">
        <f>IFERROR(IF(ISNUMBER(MATCH(F28,'Step 1 Data Bank'!E:E, 0)), "On Data Bank", "Not In Data Bank"),"")</f>
        <v>Not In Data Bank</v>
      </c>
      <c r="Q28" s="158" t="str">
        <f t="array" ref="Q28">XLOOKUP(F28,'Step 1 Data Bank'!E:E,'Step 1 Data Bank'!M:M,"",0)</f>
        <v/>
      </c>
      <c r="R28" s="160" t="str">
        <f t="array" ref="R28">XLOOKUP(F28,'Step 1 Data Bank'!E:E,'Step 1 Data Bank'!N:N,"",0)</f>
        <v/>
      </c>
      <c r="S28" s="158" t="str">
        <f>IFERROR(IF(ISNUMBER(MATCH(F28,'OLD DATA'!H:H, 0)), "On OLD Data", "Not In Old Data"),"")</f>
        <v>On OLD Data</v>
      </c>
      <c r="T28" s="158" t="str">
        <f t="array" ref="T28">XLOOKUP(F28,'OLD DATA'!H:H,'OLD DATA'!I:I,"",0)</f>
        <v>Fenny</v>
      </c>
      <c r="U28" s="158" t="str">
        <f t="array" ref="U28">XLOOKUP(F28,'OLD DATA'!H:H,'OLD DATA'!J:J,"",0)</f>
        <v/>
      </c>
      <c r="V28" s="158" t="str">
        <f>IFERROR(IF(ISNUMBER(MATCH(F28,'OLD DATA Venni'!H:H, 0)), "Find", "Not Find"),"")</f>
        <v>Find</v>
      </c>
      <c r="W28" s="158" t="str">
        <f t="array" ref="W28">XLOOKUP(F28,'OLD DATA Venni'!H:H,'OLD DATA Venni'!J:J,"",0)</f>
        <v>Thessa</v>
      </c>
      <c r="X28" s="158"/>
      <c r="Y28" s="158"/>
      <c r="Z28" s="158"/>
      <c r="AA28" s="158"/>
      <c r="AB28" s="158"/>
      <c r="AC28" s="158"/>
      <c r="AD28" s="158"/>
      <c r="AE28" s="158"/>
    </row>
    <row r="29">
      <c r="A29" s="207">
        <f>IFERROR(__xludf.DUMMYFUNCTION("""COMPUTED_VALUE"""),46023.0)</f>
        <v>46023</v>
      </c>
      <c r="B29" s="158" t="str">
        <f>IFERROR(__xludf.DUMMYFUNCTION("""COMPUTED_VALUE"""),"GOAT")</f>
        <v>GOAT</v>
      </c>
      <c r="C29" s="158" t="str">
        <f>IFERROR(__xludf.DUMMYFUNCTION("""COMPUTED_VALUE"""),"Made Intan Deyana Wirata")</f>
        <v>Made Intan Deyana Wirata</v>
      </c>
      <c r="D29" s="158" t="str">
        <f>IFERROR(__xludf.DUMMYFUNCTION("""COMPUTED_VALUE"""),"Yaya")</f>
        <v>Yaya</v>
      </c>
      <c r="E29" s="160" t="str">
        <f>IFERROR(__xludf.DUMMYFUNCTION("""COMPUTED_VALUE"""),"FENNY MARIA +62 878-8521-3141")</f>
        <v>FENNY MARIA +62 878-8521-3141</v>
      </c>
      <c r="F29" s="158">
        <f>IFERROR(__xludf.DUMMYFUNCTION("""COMPUTED_VALUE"""),3.54312420025398E14)</f>
        <v>354312420025398</v>
      </c>
      <c r="G29" s="158" t="str">
        <f>IFERROR(__xludf.DUMMYFUNCTION("""COMPUTED_VALUE"""),"SM-F766BDBAXID")</f>
        <v>SM-F766BDBAXID</v>
      </c>
      <c r="H29" s="160" t="str">
        <f>IFERROR(__xludf.DUMMYFUNCTION("""COMPUTED_VALUE"""),"G-Z-FLIP7 256GB DARK BLUE (2025)")</f>
        <v>G-Z-FLIP7 256GB DARK BLUE (2025)</v>
      </c>
      <c r="I29" s="208">
        <f>IFERROR(__xludf.DUMMYFUNCTION("""COMPUTED_VALUE"""),46030.0)</f>
        <v>46030</v>
      </c>
      <c r="J29" s="158">
        <f>IFERROR(__xludf.DUMMYFUNCTION("""COMPUTED_VALUE"""),51.0)</f>
        <v>51</v>
      </c>
      <c r="K29" s="160" t="str">
        <f>IFERROR(__xludf.DUMMYFUNCTION("""COMPUTED_VALUE"""),"Di Claim Hilang")</f>
        <v>Di Claim Hilang</v>
      </c>
      <c r="L29" s="158" t="str">
        <f>IFERROR(__xludf.DUMMYFUNCTION("""COMPUTED_VALUE"""),"Overdue &gt; 30 days")</f>
        <v>Overdue &gt; 30 days</v>
      </c>
      <c r="M29" s="158"/>
      <c r="N29" s="158"/>
      <c r="O29" s="158"/>
      <c r="P29" s="158" t="str">
        <f>IFERROR(IF(ISNUMBER(MATCH(F29,'Step 1 Data Bank'!E:E, 0)), "On Data Bank", "Not In Data Bank"),"")</f>
        <v>Not In Data Bank</v>
      </c>
      <c r="Q29" s="158" t="str">
        <f t="array" ref="Q29">XLOOKUP(F29,'Step 1 Data Bank'!E:E,'Step 1 Data Bank'!M:M,"",0)</f>
        <v/>
      </c>
      <c r="R29" s="160" t="str">
        <f t="array" ref="R29">XLOOKUP(F29,'Step 1 Data Bank'!E:E,'Step 1 Data Bank'!N:N,"",0)</f>
        <v/>
      </c>
      <c r="S29" s="158" t="str">
        <f>IFERROR(IF(ISNUMBER(MATCH(F29,'OLD DATA'!H:H, 0)), "On OLD Data", "Not In Old Data"),"")</f>
        <v>On OLD Data</v>
      </c>
      <c r="T29" s="158" t="str">
        <f t="array" ref="T29">XLOOKUP(F29,'OLD DATA'!H:H,'OLD DATA'!I:I,"",0)</f>
        <v>Fenny</v>
      </c>
      <c r="U29" s="158" t="str">
        <f t="array" ref="U29">XLOOKUP(F29,'OLD DATA'!H:H,'OLD DATA'!J:J,"",0)</f>
        <v/>
      </c>
      <c r="V29" s="158" t="str">
        <f>IFERROR(IF(ISNUMBER(MATCH(F29,'OLD DATA Venni'!H:H, 0)), "Find", "Not Find"),"")</f>
        <v>Find</v>
      </c>
      <c r="W29" s="158" t="str">
        <f t="array" ref="W29">XLOOKUP(F29,'OLD DATA Venni'!H:H,'OLD DATA Venni'!J:J,"",0)</f>
        <v>Tiara (Gemini)</v>
      </c>
      <c r="X29" s="158"/>
      <c r="Y29" s="158"/>
      <c r="Z29" s="158"/>
      <c r="AA29" s="158"/>
      <c r="AB29" s="158"/>
      <c r="AC29" s="158"/>
      <c r="AD29" s="158"/>
      <c r="AE29" s="158"/>
    </row>
    <row r="30" hidden="1">
      <c r="A30" s="207">
        <f>IFERROR(__xludf.DUMMYFUNCTION("""COMPUTED_VALUE"""),46023.0)</f>
        <v>46023</v>
      </c>
      <c r="B30" s="158" t="str">
        <f>IFERROR(__xludf.DUMMYFUNCTION("""COMPUTED_VALUE"""),"GOAT")</f>
        <v>GOAT</v>
      </c>
      <c r="C30" s="158" t="str">
        <f>IFERROR(__xludf.DUMMYFUNCTION("""COMPUTED_VALUE"""),"Made Intan Deyana Wirata")</f>
        <v>Made Intan Deyana Wirata</v>
      </c>
      <c r="D30" s="158" t="str">
        <f>IFERROR(__xludf.DUMMYFUNCTION("""COMPUTED_VALUE"""),"Yaya")</f>
        <v>Yaya</v>
      </c>
      <c r="E30" s="160" t="str">
        <f>IFERROR(__xludf.DUMMYFUNCTION("""COMPUTED_VALUE"""),"FENNY MARIA +62 878-8521-3141")</f>
        <v>FENNY MARIA +62 878-8521-3141</v>
      </c>
      <c r="F30" s="158">
        <f>IFERROR(__xludf.DUMMYFUNCTION("""COMPUTED_VALUE"""),3.5431242000558E14)</f>
        <v>354312420005580</v>
      </c>
      <c r="G30" s="158" t="str">
        <f>IFERROR(__xludf.DUMMYFUNCTION("""COMPUTED_VALUE"""),"SM-F766BZRAXID")</f>
        <v>SM-F766BZRAXID</v>
      </c>
      <c r="H30" s="160" t="str">
        <f>IFERROR(__xludf.DUMMYFUNCTION("""COMPUTED_VALUE"""),"G-Z-FLIP7 256GB RED (2025)")</f>
        <v>G-Z-FLIP7 256GB RED (2025)</v>
      </c>
      <c r="I30" s="208">
        <f>IFERROR(__xludf.DUMMYFUNCTION("""COMPUTED_VALUE"""),46030.0)</f>
        <v>46030</v>
      </c>
      <c r="J30" s="158">
        <f>IFERROR(__xludf.DUMMYFUNCTION("""COMPUTED_VALUE"""),51.0)</f>
        <v>51</v>
      </c>
      <c r="K30" s="160" t="str">
        <f>IFERROR(__xludf.DUMMYFUNCTION("""COMPUTED_VALUE"""),"ON AGENCY")</f>
        <v>ON AGENCY</v>
      </c>
      <c r="L30" s="158" t="str">
        <f>IFERROR(__xludf.DUMMYFUNCTION("""COMPUTED_VALUE"""),"Overdue &gt; 30 days")</f>
        <v>Overdue &gt; 30 days</v>
      </c>
      <c r="M30" s="158" t="str">
        <f>IFERROR(__xludf.DUMMYFUNCTION("""COMPUTED_VALUE"""),"G-Z-FLIP7 256GB RED (2025)")</f>
        <v>G-Z-FLIP7 256GB RED (2025)</v>
      </c>
      <c r="N30" s="158"/>
      <c r="O30" s="158"/>
      <c r="P30" s="158" t="str">
        <f>IFERROR(IF(ISNUMBER(MATCH(F30,'Step 1 Data Bank'!E:E, 0)), "On Data Bank", "Not In Data Bank"),"")</f>
        <v>On Data Bank</v>
      </c>
      <c r="Q30" s="158" t="str">
        <f t="array" ref="Q30">XLOOKUP(F30,'Step 1 Data Bank'!E:E,'Step 1 Data Bank'!M:M,"",0)</f>
        <v>AVAILABLE</v>
      </c>
      <c r="R30" s="160" t="str">
        <f t="array" ref="R30">XLOOKUP(F30,'Step 1 Data Bank'!E:E,'Step 1 Data Bank'!N:N,"",0)</f>
        <v>-</v>
      </c>
      <c r="S30" s="158" t="str">
        <f>IFERROR(IF(ISNUMBER(MATCH(F30,'OLD DATA'!H:H, 0)), "On OLD Data", "Not In Old Data"),"")</f>
        <v>On OLD Data</v>
      </c>
      <c r="T30" s="158" t="str">
        <f t="array" ref="T30">XLOOKUP(F30,'OLD DATA'!H:H,'OLD DATA'!I:I,"",0)</f>
        <v>Fenny</v>
      </c>
      <c r="U30" s="158" t="str">
        <f t="array" ref="U30">XLOOKUP(F30,'OLD DATA'!H:H,'OLD DATA'!J:J,"",0)</f>
        <v/>
      </c>
      <c r="V30" s="158" t="str">
        <f>IFERROR(IF(ISNUMBER(MATCH(F30,'OLD DATA Venni'!H:H, 0)), "Find", "Not Find"),"")</f>
        <v>Find</v>
      </c>
      <c r="W30" s="158" t="str">
        <f t="array" ref="W30">XLOOKUP(F30,'OLD DATA Venni'!H:H,'OLD DATA Venni'!J:J,"",0)</f>
        <v>Di Kantor</v>
      </c>
      <c r="X30" s="158"/>
      <c r="Y30" s="158"/>
      <c r="Z30" s="158"/>
      <c r="AA30" s="158"/>
      <c r="AB30" s="158"/>
      <c r="AC30" s="158"/>
      <c r="AD30" s="158"/>
      <c r="AE30" s="158"/>
    </row>
    <row r="31">
      <c r="A31" s="207">
        <f>IFERROR(__xludf.DUMMYFUNCTION("""COMPUTED_VALUE"""),46023.0)</f>
        <v>46023</v>
      </c>
      <c r="B31" s="158" t="str">
        <f>IFERROR(__xludf.DUMMYFUNCTION("""COMPUTED_VALUE"""),"GOAT")</f>
        <v>GOAT</v>
      </c>
      <c r="C31" s="158" t="str">
        <f>IFERROR(__xludf.DUMMYFUNCTION("""COMPUTED_VALUE"""),"Anggi Paramita Gianieri")</f>
        <v>Anggi Paramita Gianieri</v>
      </c>
      <c r="D31" s="158" t="str">
        <f>IFERROR(__xludf.DUMMYFUNCTION("""COMPUTED_VALUE"""),"Cindana")</f>
        <v>Cindana</v>
      </c>
      <c r="E31" s="160" t="str">
        <f>IFERROR(__xludf.DUMMYFUNCTION("""COMPUTED_VALUE"""),"TASHYA FEBRIANI +62 812-9933-3295")</f>
        <v>TASHYA FEBRIANI +62 812-9933-3295</v>
      </c>
      <c r="F31" s="158">
        <f>IFERROR(__xludf.DUMMYFUNCTION("""COMPUTED_VALUE"""),3.52901540005314E14)</f>
        <v>352901540005314</v>
      </c>
      <c r="G31" s="158" t="str">
        <f>IFERROR(__xludf.DUMMYFUNCTION("""COMPUTED_VALUE"""),"SM-S938BZSBXID")</f>
        <v>SM-S938BZSBXID</v>
      </c>
      <c r="H31" s="160" t="str">
        <f>IFERROR(__xludf.DUMMYFUNCTION("""COMPUTED_VALUE"""),"G-S25-ULTRA (256GB) SILVER (2025)")</f>
        <v>G-S25-ULTRA (256GB) SILVER (2025)</v>
      </c>
      <c r="I31" s="208">
        <f>IFERROR(__xludf.DUMMYFUNCTION("""COMPUTED_VALUE"""),46032.0)</f>
        <v>46032</v>
      </c>
      <c r="J31" s="158">
        <f>IFERROR(__xludf.DUMMYFUNCTION("""COMPUTED_VALUE"""),49.0)</f>
        <v>49</v>
      </c>
      <c r="K31" s="160" t="str">
        <f>IFERROR(__xludf.DUMMYFUNCTION("""COMPUTED_VALUE"""),"Will Be Extend")</f>
        <v>Will Be Extend</v>
      </c>
      <c r="L31" s="158" t="str">
        <f>IFERROR(__xludf.DUMMYFUNCTION("""COMPUTED_VALUE"""),"Overdue &gt; 30 days")</f>
        <v>Overdue &gt; 30 days</v>
      </c>
      <c r="M31" s="158"/>
      <c r="N31" s="158"/>
      <c r="O31" s="158"/>
      <c r="P31" s="158" t="str">
        <f>IFERROR(IF(ISNUMBER(MATCH(F31,'Step 1 Data Bank'!E:E, 0)), "On Data Bank", "Not In Data Bank"),"")</f>
        <v>On Data Bank</v>
      </c>
      <c r="Q31" s="158" t="str">
        <f t="array" ref="Q31">XLOOKUP(F31,'Step 1 Data Bank'!E:E,'Step 1 Data Bank'!M:M,"",0)</f>
        <v>LOANED / ON KOL</v>
      </c>
      <c r="R31" s="160" t="str">
        <f t="array" ref="R31">XLOOKUP(F31,'Step 1 Data Bank'!E:E,'Step 1 Data Bank'!N:N,"",0)</f>
        <v>Luddy</v>
      </c>
      <c r="S31" s="158" t="str">
        <f>IFERROR(IF(ISNUMBER(MATCH(F31,'OLD DATA'!H:H, 0)), "On OLD Data", "Not In Old Data"),"")</f>
        <v>On OLD Data</v>
      </c>
      <c r="T31" s="158" t="str">
        <f t="array" ref="T31">XLOOKUP(F31,'OLD DATA'!H:H,'OLD DATA'!I:I,"",0)</f>
        <v>LOCKER</v>
      </c>
      <c r="U31" s="158" t="str">
        <f t="array" ref="U31">XLOOKUP(F31,'OLD DATA'!H:H,'OLD DATA'!J:J,"",0)</f>
        <v/>
      </c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</row>
    <row r="32">
      <c r="A32" s="207">
        <f>IFERROR(__xludf.DUMMYFUNCTION("""COMPUTED_VALUE"""),46023.0)</f>
        <v>46023</v>
      </c>
      <c r="B32" s="158" t="str">
        <f>IFERROR(__xludf.DUMMYFUNCTION("""COMPUTED_VALUE"""),"GOAT")</f>
        <v>GOAT</v>
      </c>
      <c r="C32" s="158" t="str">
        <f>IFERROR(__xludf.DUMMYFUNCTION("""COMPUTED_VALUE"""),"Anggi Paramita Gianieri")</f>
        <v>Anggi Paramita Gianieri</v>
      </c>
      <c r="D32" s="158" t="str">
        <f>IFERROR(__xludf.DUMMYFUNCTION("""COMPUTED_VALUE"""),"Cindana")</f>
        <v>Cindana</v>
      </c>
      <c r="E32" s="160" t="str">
        <f>IFERROR(__xludf.DUMMYFUNCTION("""COMPUTED_VALUE"""),"TASHYA FEBRIANI +62 812-9933-3295")</f>
        <v>TASHYA FEBRIANI +62 812-9933-3295</v>
      </c>
      <c r="F32" s="158">
        <f>IFERROR(__xludf.DUMMYFUNCTION("""COMPUTED_VALUE"""),3.52901540005744E14)</f>
        <v>352901540005744</v>
      </c>
      <c r="G32" s="158" t="str">
        <f>IFERROR(__xludf.DUMMYFUNCTION("""COMPUTED_VALUE"""),"SM-S938BZSBXID")</f>
        <v>SM-S938BZSBXID</v>
      </c>
      <c r="H32" s="160" t="str">
        <f>IFERROR(__xludf.DUMMYFUNCTION("""COMPUTED_VALUE"""),"G-S25-ULTRA (256GB) SILVER (2025)")</f>
        <v>G-S25-ULTRA (256GB) SILVER (2025)</v>
      </c>
      <c r="I32" s="208">
        <f>IFERROR(__xludf.DUMMYFUNCTION("""COMPUTED_VALUE"""),46032.0)</f>
        <v>46032</v>
      </c>
      <c r="J32" s="158">
        <f>IFERROR(__xludf.DUMMYFUNCTION("""COMPUTED_VALUE"""),49.0)</f>
        <v>49</v>
      </c>
      <c r="K32" s="160" t="str">
        <f>IFERROR(__xludf.DUMMYFUNCTION("""COMPUTED_VALUE"""),"Will Be Extend")</f>
        <v>Will Be Extend</v>
      </c>
      <c r="L32" s="158" t="str">
        <f>IFERROR(__xludf.DUMMYFUNCTION("""COMPUTED_VALUE"""),"Overdue &gt; 30 days")</f>
        <v>Overdue &gt; 30 days</v>
      </c>
      <c r="M32" s="158"/>
      <c r="N32" s="158"/>
      <c r="O32" s="158"/>
      <c r="P32" s="158" t="str">
        <f>IFERROR(IF(ISNUMBER(MATCH(F32,'Step 1 Data Bank'!E:E, 0)), "On Data Bank", "Not In Data Bank"),"")</f>
        <v>On Data Bank</v>
      </c>
      <c r="Q32" s="158" t="str">
        <f t="array" ref="Q32">XLOOKUP(F32,'Step 1 Data Bank'!E:E,'Step 1 Data Bank'!M:M,"",0)</f>
        <v>LOANED / ON KOL</v>
      </c>
      <c r="R32" s="160" t="str">
        <f t="array" ref="R32">XLOOKUP(F32,'Step 1 Data Bank'!E:E,'Step 1 Data Bank'!N:N,"",0)</f>
        <v>Rere Regita</v>
      </c>
      <c r="S32" s="158" t="str">
        <f>IFERROR(IF(ISNUMBER(MATCH(F32,'OLD DATA'!H:H, 0)), "On OLD Data", "Not In Old Data"),"")</f>
        <v>On OLD Data</v>
      </c>
      <c r="T32" s="158" t="str">
        <f t="array" ref="T32">XLOOKUP(F32,'OLD DATA'!H:H,'OLD DATA'!I:I,"",0)</f>
        <v>TASHYA</v>
      </c>
      <c r="U32" s="158" t="str">
        <f t="array" ref="U32">XLOOKUP(F32,'OLD DATA'!H:H,'OLD DATA'!J:J,"",0)</f>
        <v/>
      </c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</row>
    <row r="33">
      <c r="A33" s="207">
        <f>IFERROR(__xludf.DUMMYFUNCTION("""COMPUTED_VALUE"""),46023.0)</f>
        <v>46023</v>
      </c>
      <c r="B33" s="158" t="str">
        <f>IFERROR(__xludf.DUMMYFUNCTION("""COMPUTED_VALUE"""),"GOAT")</f>
        <v>GOAT</v>
      </c>
      <c r="C33" s="158" t="str">
        <f>IFERROR(__xludf.DUMMYFUNCTION("""COMPUTED_VALUE"""),"Anggi Paramita Gianieri")</f>
        <v>Anggi Paramita Gianieri</v>
      </c>
      <c r="D33" s="158" t="str">
        <f>IFERROR(__xludf.DUMMYFUNCTION("""COMPUTED_VALUE"""),"Cindana")</f>
        <v>Cindana</v>
      </c>
      <c r="E33" s="160" t="str">
        <f>IFERROR(__xludf.DUMMYFUNCTION("""COMPUTED_VALUE"""),"TASHYA FEBRIANI +62 812-9933-3295")</f>
        <v>TASHYA FEBRIANI +62 812-9933-3295</v>
      </c>
      <c r="F33" s="158">
        <f>IFERROR(__xludf.DUMMYFUNCTION("""COMPUTED_VALUE"""),3.58410185006722E14)</f>
        <v>358410185006722</v>
      </c>
      <c r="G33" s="158" t="str">
        <f>IFERROR(__xludf.DUMMYFUNCTION("""COMPUTED_VALUE"""),"SM-S931BZSCXID")</f>
        <v>SM-S931BZSCXID</v>
      </c>
      <c r="H33" s="160" t="str">
        <f>IFERROR(__xludf.DUMMYFUNCTION("""COMPUTED_VALUE"""),"G-S25 (256GB) SILVER (2025)")</f>
        <v>G-S25 (256GB) SILVER (2025)</v>
      </c>
      <c r="I33" s="208">
        <f>IFERROR(__xludf.DUMMYFUNCTION("""COMPUTED_VALUE"""),46032.0)</f>
        <v>46032</v>
      </c>
      <c r="J33" s="158">
        <f>IFERROR(__xludf.DUMMYFUNCTION("""COMPUTED_VALUE"""),49.0)</f>
        <v>49</v>
      </c>
      <c r="K33" s="160"/>
      <c r="L33" s="158" t="str">
        <f>IFERROR(__xludf.DUMMYFUNCTION("""COMPUTED_VALUE"""),"Overdue &gt; 30 days")</f>
        <v>Overdue &gt; 30 days</v>
      </c>
      <c r="M33" s="158" t="str">
        <f>IFERROR(__xludf.DUMMYFUNCTION("""COMPUTED_VALUE"""),"EDGE - 6722.jpg")</f>
        <v>EDGE - 6722.jpg</v>
      </c>
      <c r="N33" s="158"/>
      <c r="O33" s="158"/>
      <c r="P33" s="158" t="str">
        <f>IFERROR(IF(ISNUMBER(MATCH(F33,'Step 1 Data Bank'!E:E, 0)), "On Data Bank", "Not In Data Bank"),"")</f>
        <v>On Data Bank</v>
      </c>
      <c r="Q33" s="158" t="str">
        <f t="array" ref="Q33">XLOOKUP(F33,'Step 1 Data Bank'!E:E,'Step 1 Data Bank'!M:M,"",0)</f>
        <v>AVAILABLE</v>
      </c>
      <c r="R33" s="160" t="str">
        <f t="array" ref="R33">XLOOKUP(F33,'Step 1 Data Bank'!E:E,'Step 1 Data Bank'!N:N,"",0)</f>
        <v>-</v>
      </c>
      <c r="S33" s="158" t="str">
        <f>IFERROR(IF(ISNUMBER(MATCH(F33,'OLD DATA'!H:H, 0)), "On OLD Data", "Not In Old Data"),"")</f>
        <v>On OLD Data</v>
      </c>
      <c r="T33" s="158" t="str">
        <f t="array" ref="T33">XLOOKUP(F33,'OLD DATA'!H:H,'OLD DATA'!I:I,"",0)</f>
        <v>Locker</v>
      </c>
      <c r="U33" s="158" t="str">
        <f t="array" ref="U33">XLOOKUP(F33,'OLD DATA'!H:H,'OLD DATA'!J:J,"",0)</f>
        <v/>
      </c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</row>
    <row r="34">
      <c r="A34" s="207">
        <f>IFERROR(__xludf.DUMMYFUNCTION("""COMPUTED_VALUE"""),46023.0)</f>
        <v>46023</v>
      </c>
      <c r="B34" s="158" t="str">
        <f>IFERROR(__xludf.DUMMYFUNCTION("""COMPUTED_VALUE"""),"GOAT")</f>
        <v>GOAT</v>
      </c>
      <c r="C34" s="158" t="str">
        <f>IFERROR(__xludf.DUMMYFUNCTION("""COMPUTED_VALUE"""),"Made Intan Deyana Wirata")</f>
        <v>Made Intan Deyana Wirata</v>
      </c>
      <c r="D34" s="158" t="str">
        <f>IFERROR(__xludf.DUMMYFUNCTION("""COMPUTED_VALUE"""),"Yaya")</f>
        <v>Yaya</v>
      </c>
      <c r="E34" s="160" t="str">
        <f>IFERROR(__xludf.DUMMYFUNCTION("""COMPUTED_VALUE"""),"ASTERIXA ABIGAIL +62 821-1397-6882")</f>
        <v>ASTERIXA ABIGAIL +62 821-1397-6882</v>
      </c>
      <c r="F34" s="158" t="str">
        <f>IFERROR(__xludf.DUMMYFUNCTION("""COMPUTED_VALUE"""),"R3AY100HNGY")</f>
        <v>R3AY100HNGY</v>
      </c>
      <c r="G34" s="158" t="str">
        <f>IFERROR(__xludf.DUMMYFUNCTION("""COMPUTED_VALUE"""),"S-SM-L330")</f>
        <v>S-SM-L330</v>
      </c>
      <c r="H34" s="160" t="str">
        <f>IFERROR(__xludf.DUMMYFUNCTION("""COMPUTED_VALUE"""),"G-WATCH8 44MM (2025)")</f>
        <v>G-WATCH8 44MM (2025)</v>
      </c>
      <c r="I34" s="208">
        <f>IFERROR(__xludf.DUMMYFUNCTION("""COMPUTED_VALUE"""),46032.0)</f>
        <v>46032</v>
      </c>
      <c r="J34" s="158">
        <f>IFERROR(__xludf.DUMMYFUNCTION("""COMPUTED_VALUE"""),49.0)</f>
        <v>49</v>
      </c>
      <c r="K34" s="160"/>
      <c r="L34" s="158" t="str">
        <f>IFERROR(__xludf.DUMMYFUNCTION("""COMPUTED_VALUE"""),"Overdue &gt; 30 days")</f>
        <v>Overdue &gt; 30 days</v>
      </c>
      <c r="M34" s="158"/>
      <c r="N34" s="158"/>
      <c r="O34" s="158"/>
      <c r="P34" s="158" t="str">
        <f>IFERROR(IF(ISNUMBER(MATCH(F34,'Step 1 Data Bank'!E:E, 0)), "On Data Bank", "Not In Data Bank"),"")</f>
        <v>Not In Data Bank</v>
      </c>
      <c r="Q34" s="158" t="str">
        <f t="array" ref="Q34">XLOOKUP(F34,'Step 1 Data Bank'!E:E,'Step 1 Data Bank'!M:M,"",0)</f>
        <v/>
      </c>
      <c r="R34" s="160" t="str">
        <f t="array" ref="R34">XLOOKUP(F34,'Step 1 Data Bank'!E:E,'Step 1 Data Bank'!N:N,"",0)</f>
        <v/>
      </c>
      <c r="S34" s="158" t="str">
        <f>IFERROR(IF(ISNUMBER(MATCH(F34,'OLD DATA'!H:H, 0)), "On OLD Data", "Not In Old Data"),"")</f>
        <v>On OLD Data</v>
      </c>
      <c r="T34" s="158" t="str">
        <f t="array" ref="T34">XLOOKUP(F34,'OLD DATA'!H:H,'OLD DATA'!I:I,"",0)</f>
        <v>WITH KOL</v>
      </c>
      <c r="U34" s="158" t="str">
        <f t="array" ref="U34">XLOOKUP(F34,'OLD DATA'!H:H,'OLD DATA'!J:J,"",0)</f>
        <v/>
      </c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</row>
    <row r="35">
      <c r="A35" s="207">
        <f>IFERROR(__xludf.DUMMYFUNCTION("""COMPUTED_VALUE"""),46023.0)</f>
        <v>46023</v>
      </c>
      <c r="B35" s="158" t="str">
        <f>IFERROR(__xludf.DUMMYFUNCTION("""COMPUTED_VALUE"""),"GOAT")</f>
        <v>GOAT</v>
      </c>
      <c r="C35" s="158" t="str">
        <f>IFERROR(__xludf.DUMMYFUNCTION("""COMPUTED_VALUE"""),"Made Intan Deyana Wirata")</f>
        <v>Made Intan Deyana Wirata</v>
      </c>
      <c r="D35" s="158" t="str">
        <f>IFERROR(__xludf.DUMMYFUNCTION("""COMPUTED_VALUE"""),"Yaya")</f>
        <v>Yaya</v>
      </c>
      <c r="E35" s="160" t="str">
        <f>IFERROR(__xludf.DUMMYFUNCTION("""COMPUTED_VALUE"""),"ASTERIXA ABIGAIL +62 821-1397-6882")</f>
        <v>ASTERIXA ABIGAIL +62 821-1397-6882</v>
      </c>
      <c r="F35" s="158" t="str">
        <f>IFERROR(__xludf.DUMMYFUNCTION("""COMPUTED_VALUE"""),"RFAY618VN2H")</f>
        <v>RFAY618VN2H</v>
      </c>
      <c r="G35" s="158" t="str">
        <f>IFERROR(__xludf.DUMMYFUNCTION("""COMPUTED_VALUE"""),"S-SM-L320NDAAXAA")</f>
        <v>S-SM-L320NDAAXAA</v>
      </c>
      <c r="H35" s="160" t="str">
        <f>IFERROR(__xludf.DUMMYFUNCTION("""COMPUTED_VALUE"""),"G-WATCH8 40MM DARK GRAY (2025)")</f>
        <v>G-WATCH8 40MM DARK GRAY (2025)</v>
      </c>
      <c r="I35" s="208">
        <f>IFERROR(__xludf.DUMMYFUNCTION("""COMPUTED_VALUE"""),46032.0)</f>
        <v>46032</v>
      </c>
      <c r="J35" s="158">
        <f>IFERROR(__xludf.DUMMYFUNCTION("""COMPUTED_VALUE"""),49.0)</f>
        <v>49</v>
      </c>
      <c r="K35" s="160"/>
      <c r="L35" s="158" t="str">
        <f>IFERROR(__xludf.DUMMYFUNCTION("""COMPUTED_VALUE"""),"Overdue &gt; 30 days")</f>
        <v>Overdue &gt; 30 days</v>
      </c>
      <c r="M35" s="158"/>
      <c r="N35" s="158"/>
      <c r="O35" s="158"/>
      <c r="P35" s="158" t="str">
        <f>IFERROR(IF(ISNUMBER(MATCH(F35,'Step 1 Data Bank'!E:E, 0)), "On Data Bank", "Not In Data Bank"),"")</f>
        <v>Not In Data Bank</v>
      </c>
      <c r="Q35" s="158" t="str">
        <f t="array" ref="Q35">XLOOKUP(F35,'Step 1 Data Bank'!E:E,'Step 1 Data Bank'!M:M,"",0)</f>
        <v/>
      </c>
      <c r="R35" s="160" t="str">
        <f t="array" ref="R35">XLOOKUP(F35,'Step 1 Data Bank'!E:E,'Step 1 Data Bank'!N:N,"",0)</f>
        <v/>
      </c>
      <c r="S35" s="158" t="str">
        <f>IFERROR(IF(ISNUMBER(MATCH(F35,'OLD DATA'!H:H, 0)), "On OLD Data", "Not In Old Data"),"")</f>
        <v>Not In Old Data</v>
      </c>
      <c r="T35" s="158" t="str">
        <f t="array" ref="T35">XLOOKUP(F35,'OLD DATA'!H:H,'OLD DATA'!I:I,"",0)</f>
        <v/>
      </c>
      <c r="U35" s="158" t="str">
        <f t="array" ref="U35">XLOOKUP(F35,'OLD DATA'!H:H,'OLD DATA'!J:J,"",0)</f>
        <v/>
      </c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</row>
    <row r="36">
      <c r="A36" s="207">
        <f>IFERROR(__xludf.DUMMYFUNCTION("""COMPUTED_VALUE"""),46023.0)</f>
        <v>46023</v>
      </c>
      <c r="B36" s="158" t="str">
        <f>IFERROR(__xludf.DUMMYFUNCTION("""COMPUTED_VALUE"""),"GOAT")</f>
        <v>GOAT</v>
      </c>
      <c r="C36" s="158" t="str">
        <f>IFERROR(__xludf.DUMMYFUNCTION("""COMPUTED_VALUE"""),"Made Intan Deyana Wirata")</f>
        <v>Made Intan Deyana Wirata</v>
      </c>
      <c r="D36" s="158" t="str">
        <f>IFERROR(__xludf.DUMMYFUNCTION("""COMPUTED_VALUE"""),"Yaya")</f>
        <v>Yaya</v>
      </c>
      <c r="E36" s="160" t="str">
        <f>IFERROR(__xludf.DUMMYFUNCTION("""COMPUTED_VALUE"""),"ASTERIXA ABIGAIL +62 821-1397-6882")</f>
        <v>ASTERIXA ABIGAIL +62 821-1397-6882</v>
      </c>
      <c r="F36" s="158" t="str">
        <f>IFERROR(__xludf.DUMMYFUNCTION("""COMPUTED_VALUE"""),"RFAY6197JTN")</f>
        <v>RFAY6197JTN</v>
      </c>
      <c r="G36" s="158" t="str">
        <f>IFERROR(__xludf.DUMMYFUNCTION("""COMPUTED_VALUE"""),"S-SM-L330NDAAXAA")</f>
        <v>S-SM-L330NDAAXAA</v>
      </c>
      <c r="H36" s="160" t="str">
        <f>IFERROR(__xludf.DUMMYFUNCTION("""COMPUTED_VALUE"""),"G-WATCH8 44MM DARK GRAY (2025)")</f>
        <v>G-WATCH8 44MM DARK GRAY (2025)</v>
      </c>
      <c r="I36" s="208">
        <f>IFERROR(__xludf.DUMMYFUNCTION("""COMPUTED_VALUE"""),46032.0)</f>
        <v>46032</v>
      </c>
      <c r="J36" s="158">
        <f>IFERROR(__xludf.DUMMYFUNCTION("""COMPUTED_VALUE"""),49.0)</f>
        <v>49</v>
      </c>
      <c r="K36" s="160"/>
      <c r="L36" s="158" t="str">
        <f>IFERROR(__xludf.DUMMYFUNCTION("""COMPUTED_VALUE"""),"Overdue &gt; 30 days")</f>
        <v>Overdue &gt; 30 days</v>
      </c>
      <c r="M36" s="158"/>
      <c r="N36" s="158"/>
      <c r="O36" s="158"/>
      <c r="P36" s="158" t="str">
        <f>IFERROR(IF(ISNUMBER(MATCH(F36,'Step 1 Data Bank'!E:E, 0)), "On Data Bank", "Not In Data Bank"),"")</f>
        <v>Not In Data Bank</v>
      </c>
      <c r="Q36" s="158" t="str">
        <f t="array" ref="Q36">XLOOKUP(F36,'Step 1 Data Bank'!E:E,'Step 1 Data Bank'!M:M,"",0)</f>
        <v/>
      </c>
      <c r="R36" s="160" t="str">
        <f t="array" ref="R36">XLOOKUP(F36,'Step 1 Data Bank'!E:E,'Step 1 Data Bank'!N:N,"",0)</f>
        <v/>
      </c>
      <c r="S36" s="158" t="str">
        <f>IFERROR(IF(ISNUMBER(MATCH(F36,'OLD DATA'!H:H, 0)), "On OLD Data", "Not In Old Data"),"")</f>
        <v>On OLD Data</v>
      </c>
      <c r="T36" s="158" t="str">
        <f t="array" ref="T36">XLOOKUP(F36,'OLD DATA'!H:H,'OLD DATA'!I:I,"",0)</f>
        <v>WITH KOL</v>
      </c>
      <c r="U36" s="158" t="str">
        <f t="array" ref="U36">XLOOKUP(F36,'OLD DATA'!H:H,'OLD DATA'!J:J,"",0)</f>
        <v>CINDY GULLA</v>
      </c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</row>
    <row r="37">
      <c r="A37" s="207">
        <f>IFERROR(__xludf.DUMMYFUNCTION("""COMPUTED_VALUE"""),46023.0)</f>
        <v>46023</v>
      </c>
      <c r="B37" s="158" t="str">
        <f>IFERROR(__xludf.DUMMYFUNCTION("""COMPUTED_VALUE"""),"GOAT")</f>
        <v>GOAT</v>
      </c>
      <c r="C37" s="158" t="str">
        <f>IFERROR(__xludf.DUMMYFUNCTION("""COMPUTED_VALUE"""),"Anggi Paramita Gianieri")</f>
        <v>Anggi Paramita Gianieri</v>
      </c>
      <c r="D37" s="158" t="str">
        <f>IFERROR(__xludf.DUMMYFUNCTION("""COMPUTED_VALUE"""),"Yaya")</f>
        <v>Yaya</v>
      </c>
      <c r="E37" s="160" t="str">
        <f>IFERROR(__xludf.DUMMYFUNCTION("""COMPUTED_VALUE"""),"ALIA ALIFIA +62 822 9883 6303")</f>
        <v>ALIA ALIFIA +62 822 9883 6303</v>
      </c>
      <c r="F37" s="158">
        <f>IFERROR(__xludf.DUMMYFUNCTION("""COMPUTED_VALUE"""),3.55851150331715E14)</f>
        <v>355851150331715</v>
      </c>
      <c r="G37" s="158" t="str">
        <f>IFERROR(__xludf.DUMMYFUNCTION("""COMPUTED_VALUE"""),"SM-A176BZKKXID")</f>
        <v>SM-A176BZKKXID</v>
      </c>
      <c r="H37" s="160" t="str">
        <f>IFERROR(__xludf.DUMMYFUNCTION("""COMPUTED_VALUE"""),"G-A17-5G (8/256) BLACK (2025)")</f>
        <v>G-A17-5G (8/256) BLACK (2025)</v>
      </c>
      <c r="I37" s="208">
        <f>IFERROR(__xludf.DUMMYFUNCTION("""COMPUTED_VALUE"""),46037.0)</f>
        <v>46037</v>
      </c>
      <c r="J37" s="158">
        <f>IFERROR(__xludf.DUMMYFUNCTION("""COMPUTED_VALUE"""),44.0)</f>
        <v>44</v>
      </c>
      <c r="K37" s="160" t="str">
        <f>IFERROR(__xludf.DUMMYFUNCTION("""COMPUTED_VALUE"""),"LOST")</f>
        <v>LOST</v>
      </c>
      <c r="L37" s="158" t="str">
        <f>IFERROR(__xludf.DUMMYFUNCTION("""COMPUTED_VALUE"""),"Overdue &gt; 30 days")</f>
        <v>Overdue &gt; 30 days</v>
      </c>
      <c r="M37" s="158" t="str">
        <f>IFERROR(__xludf.DUMMYFUNCTION("""COMPUTED_VALUE"""),"LOST")</f>
        <v>LOST</v>
      </c>
      <c r="N37" s="158"/>
      <c r="O37" s="158"/>
      <c r="P37" s="158" t="str">
        <f>IFERROR(IF(ISNUMBER(MATCH(F37,'Step 1 Data Bank'!E:E, 0)), "On Data Bank", "Not In Data Bank"),"")</f>
        <v>Not In Data Bank</v>
      </c>
      <c r="Q37" s="158" t="str">
        <f t="array" ref="Q37">XLOOKUP(F37,'Step 1 Data Bank'!E:E,'Step 1 Data Bank'!M:M,"",0)</f>
        <v/>
      </c>
      <c r="R37" s="160" t="str">
        <f t="array" ref="R37">XLOOKUP(F37,'Step 1 Data Bank'!E:E,'Step 1 Data Bank'!N:N,"",0)</f>
        <v/>
      </c>
      <c r="S37" s="158" t="str">
        <f>IFERROR(IF(ISNUMBER(MATCH(F37,'OLD DATA'!H:H, 0)), "On OLD Data", "Not In Old Data"),"")</f>
        <v>Not In Old Data</v>
      </c>
      <c r="T37" s="158" t="str">
        <f t="array" ref="T37">XLOOKUP(F37,'OLD DATA'!H:H,'OLD DATA'!I:I,"",0)</f>
        <v/>
      </c>
      <c r="U37" s="158" t="str">
        <f t="array" ref="U37">XLOOKUP(F37,'OLD DATA'!H:H,'OLD DATA'!J:J,"",0)</f>
        <v/>
      </c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</row>
    <row r="38">
      <c r="A38" s="207">
        <f>IFERROR(__xludf.DUMMYFUNCTION("""COMPUTED_VALUE"""),46023.0)</f>
        <v>46023</v>
      </c>
      <c r="B38" s="158" t="str">
        <f>IFERROR(__xludf.DUMMYFUNCTION("""COMPUTED_VALUE"""),"GOAT")</f>
        <v>GOAT</v>
      </c>
      <c r="C38" s="158" t="str">
        <f>IFERROR(__xludf.DUMMYFUNCTION("""COMPUTED_VALUE"""),"Anggi Paramita Gianieri")</f>
        <v>Anggi Paramita Gianieri</v>
      </c>
      <c r="D38" s="158" t="str">
        <f>IFERROR(__xludf.DUMMYFUNCTION("""COMPUTED_VALUE"""),"Cindana")</f>
        <v>Cindana</v>
      </c>
      <c r="E38" s="160" t="str">
        <f>IFERROR(__xludf.DUMMYFUNCTION("""COMPUTED_VALUE"""),"TASHYA FEBRIANI +62 812-9933-3295")</f>
        <v>TASHYA FEBRIANI +62 812-9933-3295</v>
      </c>
      <c r="F38" s="158">
        <f>IFERROR(__xludf.DUMMYFUNCTION("""COMPUTED_VALUE"""),3.54166470027385E14)</f>
        <v>354166470027385</v>
      </c>
      <c r="G38" s="158" t="str">
        <f>IFERROR(__xludf.DUMMYFUNCTION("""COMPUTED_VALUE"""),"SM-S936BZSBXID")</f>
        <v>SM-S936BZSBXID</v>
      </c>
      <c r="H38" s="160" t="str">
        <f>IFERROR(__xludf.DUMMYFUNCTION("""COMPUTED_VALUE"""),"G-S25+ (256GB) SILVER (2025)")</f>
        <v>G-S25+ (256GB) SILVER (2025)</v>
      </c>
      <c r="I38" s="208">
        <f>IFERROR(__xludf.DUMMYFUNCTION("""COMPUTED_VALUE"""),46037.0)</f>
        <v>46037</v>
      </c>
      <c r="J38" s="158">
        <f>IFERROR(__xludf.DUMMYFUNCTION("""COMPUTED_VALUE"""),44.0)</f>
        <v>44</v>
      </c>
      <c r="K38" s="160" t="str">
        <f>IFERROR(__xludf.DUMMYFUNCTION("""COMPUTED_VALUE"""),"ON AGENCY/Ok")</f>
        <v>ON AGENCY/Ok</v>
      </c>
      <c r="L38" s="158" t="str">
        <f>IFERROR(__xludf.DUMMYFUNCTION("""COMPUTED_VALUE"""),"Overdue &gt; 30 days")</f>
        <v>Overdue &gt; 30 days</v>
      </c>
      <c r="M38" s="158" t="str">
        <f>IFERROR(__xludf.DUMMYFUNCTION("""COMPUTED_VALUE"""),"S25PLUS-7385.jpg")</f>
        <v>S25PLUS-7385.jpg</v>
      </c>
      <c r="N38" s="158"/>
      <c r="O38" s="158"/>
      <c r="P38" s="158" t="str">
        <f>IFERROR(IF(ISNUMBER(MATCH(F38,'Step 1 Data Bank'!E:E, 0)), "On Data Bank", "Not In Data Bank"),"")</f>
        <v>On Data Bank</v>
      </c>
      <c r="Q38" s="158" t="str">
        <f t="array" ref="Q38">XLOOKUP(F38,'Step 1 Data Bank'!E:E,'Step 1 Data Bank'!M:M,"",0)</f>
        <v>AVAILABLE</v>
      </c>
      <c r="R38" s="160" t="str">
        <f t="array" ref="R38">XLOOKUP(F38,'Step 1 Data Bank'!E:E,'Step 1 Data Bank'!N:N,"",0)</f>
        <v>-</v>
      </c>
      <c r="S38" s="158" t="str">
        <f>IFERROR(IF(ISNUMBER(MATCH(F38,'OLD DATA'!H:H, 0)), "On OLD Data", "Not In Old Data"),"")</f>
        <v>On OLD Data</v>
      </c>
      <c r="T38" s="158" t="str">
        <f t="array" ref="T38">XLOOKUP(F38,'OLD DATA'!H:H,'OLD DATA'!I:I,"",0)</f>
        <v>TASHYA</v>
      </c>
      <c r="U38" s="158" t="str">
        <f t="array" ref="U38">XLOOKUP(F38,'OLD DATA'!H:H,'OLD DATA'!J:J,"",0)</f>
        <v/>
      </c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</row>
    <row r="39">
      <c r="A39" s="207">
        <f>IFERROR(__xludf.DUMMYFUNCTION("""COMPUTED_VALUE"""),46023.0)</f>
        <v>46023</v>
      </c>
      <c r="B39" s="158" t="str">
        <f>IFERROR(__xludf.DUMMYFUNCTION("""COMPUTED_VALUE"""),"GOAT")</f>
        <v>GOAT</v>
      </c>
      <c r="C39" s="158" t="str">
        <f>IFERROR(__xludf.DUMMYFUNCTION("""COMPUTED_VALUE"""),"Made Intan Deyana Wirata")</f>
        <v>Made Intan Deyana Wirata</v>
      </c>
      <c r="D39" s="158" t="str">
        <f>IFERROR(__xludf.DUMMYFUNCTION("""COMPUTED_VALUE"""),"Intan")</f>
        <v>Intan</v>
      </c>
      <c r="E39" s="160" t="str">
        <f>IFERROR(__xludf.DUMMYFUNCTION("""COMPUTED_VALUE"""),"ALIA ALIFIA +62 822 9883 6303")</f>
        <v>ALIA ALIFIA +62 822 9883 6303</v>
      </c>
      <c r="F39" s="158">
        <f>IFERROR(__xludf.DUMMYFUNCTION("""COMPUTED_VALUE"""),3.57703230001024E14)</f>
        <v>357703230001024</v>
      </c>
      <c r="G39" s="158" t="str">
        <f>IFERROR(__xludf.DUMMYFUNCTION("""COMPUTED_VALUE"""),"SM-A566BLISXID")</f>
        <v>SM-A566BLISXID</v>
      </c>
      <c r="H39" s="160" t="str">
        <f>IFERROR(__xludf.DUMMYFUNCTION("""COMPUTED_VALUE"""),"G-A56-5G (8/128) LIGHT PINK (2025)")</f>
        <v>G-A56-5G (8/128) LIGHT PINK (2025)</v>
      </c>
      <c r="I39" s="208">
        <f>IFERROR(__xludf.DUMMYFUNCTION("""COMPUTED_VALUE"""),46037.0)</f>
        <v>46037</v>
      </c>
      <c r="J39" s="158">
        <f>IFERROR(__xludf.DUMMYFUNCTION("""COMPUTED_VALUE"""),44.0)</f>
        <v>44</v>
      </c>
      <c r="K39" s="160" t="str">
        <f>IFERROR(__xludf.DUMMYFUNCTION("""COMPUTED_VALUE"""),"RETURNED TO SEIN 5 jan 2026")</f>
        <v>RETURNED TO SEIN 5 jan 2026</v>
      </c>
      <c r="L39" s="158" t="str">
        <f>IFERROR(__xludf.DUMMYFUNCTION("""COMPUTED_VALUE"""),"Overdue &gt; 30 days")</f>
        <v>Overdue &gt; 30 days</v>
      </c>
      <c r="M39" s="158"/>
      <c r="N39" s="158"/>
      <c r="O39" s="158"/>
      <c r="P39" s="158" t="str">
        <f>IFERROR(IF(ISNUMBER(MATCH(F39,'Step 1 Data Bank'!E:E, 0)), "On Data Bank", "Not In Data Bank"),"")</f>
        <v>On Data Bank</v>
      </c>
      <c r="Q39" s="158" t="str">
        <f t="array" ref="Q39">XLOOKUP(F39,'Step 1 Data Bank'!E:E,'Step 1 Data Bank'!M:M,"",0)</f>
        <v>AVAILABLE</v>
      </c>
      <c r="R39" s="160" t="str">
        <f t="array" ref="R39">XLOOKUP(F39,'Step 1 Data Bank'!E:E,'Step 1 Data Bank'!N:N,"",0)</f>
        <v>-</v>
      </c>
      <c r="S39" s="158" t="str">
        <f>IFERROR(IF(ISNUMBER(MATCH(F39,'OLD DATA'!H:H, 0)), "On OLD Data", "Not In Old Data"),"")</f>
        <v>On OLD Data</v>
      </c>
      <c r="T39" s="158" t="str">
        <f t="array" ref="T39">XLOOKUP(F39,'OLD DATA'!H:H,'OLD DATA'!I:I,"",0)</f>
        <v/>
      </c>
      <c r="U39" s="158" t="str">
        <f t="array" ref="U39">XLOOKUP(F39,'OLD DATA'!H:H,'OLD DATA'!J:J,"",0)</f>
        <v/>
      </c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</row>
    <row r="40">
      <c r="A40" s="207">
        <f>IFERROR(__xludf.DUMMYFUNCTION("""COMPUTED_VALUE"""),46023.0)</f>
        <v>46023</v>
      </c>
      <c r="B40" s="158" t="str">
        <f>IFERROR(__xludf.DUMMYFUNCTION("""COMPUTED_VALUE"""),"GOAT")</f>
        <v>GOAT</v>
      </c>
      <c r="C40" s="158" t="str">
        <f>IFERROR(__xludf.DUMMYFUNCTION("""COMPUTED_VALUE"""),"Made Intan Deyana Wirata")</f>
        <v>Made Intan Deyana Wirata</v>
      </c>
      <c r="D40" s="158" t="str">
        <f>IFERROR(__xludf.DUMMYFUNCTION("""COMPUTED_VALUE"""),"Intan")</f>
        <v>Intan</v>
      </c>
      <c r="E40" s="160" t="str">
        <f>IFERROR(__xludf.DUMMYFUNCTION("""COMPUTED_VALUE"""),"ALIA ALIFIA +62 822 9883 6303")</f>
        <v>ALIA ALIFIA +62 822 9883 6303</v>
      </c>
      <c r="F40" s="158">
        <f>IFERROR(__xludf.DUMMYFUNCTION("""COMPUTED_VALUE"""),3.57703230036459E14)</f>
        <v>357703230036459</v>
      </c>
      <c r="G40" s="158" t="str">
        <f>IFERROR(__xludf.DUMMYFUNCTION("""COMPUTED_VALUE"""),"SM-A566BZKSXID")</f>
        <v>SM-A566BZKSXID</v>
      </c>
      <c r="H40" s="160" t="str">
        <f>IFERROR(__xludf.DUMMYFUNCTION("""COMPUTED_VALUE"""),"G-A56-5G (8/128) BLACK (2025)")</f>
        <v>G-A56-5G (8/128) BLACK (2025)</v>
      </c>
      <c r="I40" s="208">
        <f>IFERROR(__xludf.DUMMYFUNCTION("""COMPUTED_VALUE"""),46037.0)</f>
        <v>46037</v>
      </c>
      <c r="J40" s="158">
        <f>IFERROR(__xludf.DUMMYFUNCTION("""COMPUTED_VALUE"""),44.0)</f>
        <v>44</v>
      </c>
      <c r="K40" s="160" t="str">
        <f>IFERROR(__xludf.DUMMYFUNCTION("""COMPUTED_VALUE"""),"RETURNED TO SEIN 5 jan 2026")</f>
        <v>RETURNED TO SEIN 5 jan 2026</v>
      </c>
      <c r="L40" s="158" t="str">
        <f>IFERROR(__xludf.DUMMYFUNCTION("""COMPUTED_VALUE"""),"Overdue &gt; 30 days")</f>
        <v>Overdue &gt; 30 days</v>
      </c>
      <c r="M40" s="158"/>
      <c r="N40" s="158"/>
      <c r="O40" s="158"/>
      <c r="P40" s="158" t="str">
        <f>IFERROR(IF(ISNUMBER(MATCH(F40,'Step 1 Data Bank'!E:E, 0)), "On Data Bank", "Not In Data Bank"),"")</f>
        <v>Not In Data Bank</v>
      </c>
      <c r="Q40" s="158" t="str">
        <f t="array" ref="Q40">XLOOKUP(F40,'Step 1 Data Bank'!E:E,'Step 1 Data Bank'!M:M,"",0)</f>
        <v/>
      </c>
      <c r="R40" s="160" t="str">
        <f t="array" ref="R40">XLOOKUP(F40,'Step 1 Data Bank'!E:E,'Step 1 Data Bank'!N:N,"",0)</f>
        <v/>
      </c>
      <c r="S40" s="158" t="str">
        <f>IFERROR(IF(ISNUMBER(MATCH(F40,'OLD DATA'!H:H, 0)), "On OLD Data", "Not In Old Data"),"")</f>
        <v>On OLD Data</v>
      </c>
      <c r="T40" s="158" t="str">
        <f t="array" ref="T40">XLOOKUP(F40,'OLD DATA'!H:H,'OLD DATA'!I:I,"",0)</f>
        <v/>
      </c>
      <c r="U40" s="158" t="str">
        <f t="array" ref="U40">XLOOKUP(F40,'OLD DATA'!H:H,'OLD DATA'!J:J,"",0)</f>
        <v/>
      </c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</row>
    <row r="41">
      <c r="A41" s="207">
        <f>IFERROR(__xludf.DUMMYFUNCTION("""COMPUTED_VALUE"""),46023.0)</f>
        <v>46023</v>
      </c>
      <c r="B41" s="158" t="str">
        <f>IFERROR(__xludf.DUMMYFUNCTION("""COMPUTED_VALUE"""),"GOAT")</f>
        <v>GOAT</v>
      </c>
      <c r="C41" s="158" t="str">
        <f>IFERROR(__xludf.DUMMYFUNCTION("""COMPUTED_VALUE"""),"Made Intan Deyana Wirata")</f>
        <v>Made Intan Deyana Wirata</v>
      </c>
      <c r="D41" s="158" t="str">
        <f>IFERROR(__xludf.DUMMYFUNCTION("""COMPUTED_VALUE"""),"Yaya")</f>
        <v>Yaya</v>
      </c>
      <c r="E41" s="160" t="str">
        <f>IFERROR(__xludf.DUMMYFUNCTION("""COMPUTED_VALUE"""),"FENNY MARIA +62 878-8521-3141")</f>
        <v>FENNY MARIA +62 878-8521-3141</v>
      </c>
      <c r="F41" s="158">
        <f>IFERROR(__xludf.DUMMYFUNCTION("""COMPUTED_VALUE"""),3.50798022214022E14)</f>
        <v>350798022214022</v>
      </c>
      <c r="G41" s="158" t="str">
        <f>IFERROR(__xludf.DUMMYFUNCTION("""COMPUTED_VALUE"""),"S-SM-F766BDBGXBA")</f>
        <v>S-SM-F766BDBGXBA</v>
      </c>
      <c r="H41" s="160" t="str">
        <f>IFERROR(__xludf.DUMMYFUNCTION("""COMPUTED_VALUE"""),"G-Z-FLIP7 256GB DARK BLUE (2025)")</f>
        <v>G-Z-FLIP7 256GB DARK BLUE (2025)</v>
      </c>
      <c r="I41" s="208">
        <f>IFERROR(__xludf.DUMMYFUNCTION("""COMPUTED_VALUE"""),46037.0)</f>
        <v>46037</v>
      </c>
      <c r="J41" s="158">
        <f>IFERROR(__xludf.DUMMYFUNCTION("""COMPUTED_VALUE"""),44.0)</f>
        <v>44</v>
      </c>
      <c r="K41" s="160" t="str">
        <f>IFERROR(__xludf.DUMMYFUNCTION("""COMPUTED_VALUE"""),"Lost by KOL Vernando")</f>
        <v>Lost by KOL Vernando</v>
      </c>
      <c r="L41" s="158" t="str">
        <f>IFERROR(__xludf.DUMMYFUNCTION("""COMPUTED_VALUE"""),"Overdue &gt; 30 days")</f>
        <v>Overdue &gt; 30 days</v>
      </c>
      <c r="M41" s="158"/>
      <c r="N41" s="158"/>
      <c r="O41" s="158"/>
      <c r="P41" s="158" t="str">
        <f>IFERROR(IF(ISNUMBER(MATCH(F41,'Step 1 Data Bank'!E:E, 0)), "On Data Bank", "Not In Data Bank"),"")</f>
        <v>Not In Data Bank</v>
      </c>
      <c r="Q41" s="158" t="str">
        <f t="array" ref="Q41">XLOOKUP(F41,'Step 1 Data Bank'!E:E,'Step 1 Data Bank'!M:M,"",0)</f>
        <v/>
      </c>
      <c r="R41" s="160" t="str">
        <f t="array" ref="R41">XLOOKUP(F41,'Step 1 Data Bank'!E:E,'Step 1 Data Bank'!N:N,"",0)</f>
        <v/>
      </c>
      <c r="S41" s="158" t="str">
        <f>IFERROR(IF(ISNUMBER(MATCH(F41,'OLD DATA'!H:H, 0)), "On OLD Data", "Not In Old Data"),"")</f>
        <v>Not In Old Data</v>
      </c>
      <c r="T41" s="158" t="str">
        <f t="array" ref="T41">XLOOKUP(F41,'OLD DATA'!H:H,'OLD DATA'!I:I,"",0)</f>
        <v/>
      </c>
      <c r="U41" s="158" t="str">
        <f t="array" ref="U41">XLOOKUP(F41,'OLD DATA'!H:H,'OLD DATA'!J:J,"",0)</f>
        <v/>
      </c>
      <c r="V41" s="158" t="str">
        <f>IFERROR(IF(ISNUMBER(MATCH(F41,'OLD DATA Venni'!H:H, 0)), "Find", "Not Find"),"")</f>
        <v>Not Find</v>
      </c>
      <c r="W41" s="158" t="str">
        <f t="array" ref="W41">XLOOKUP(F41,'OLD DATA Venni'!H:H,'OLD DATA Venni'!J:J,"",0)</f>
        <v/>
      </c>
      <c r="X41" s="158"/>
      <c r="Y41" s="158"/>
      <c r="Z41" s="158"/>
      <c r="AA41" s="158"/>
      <c r="AB41" s="158"/>
      <c r="AC41" s="158"/>
      <c r="AD41" s="158"/>
      <c r="AE41" s="158"/>
    </row>
    <row r="42">
      <c r="A42" s="207">
        <f>IFERROR(__xludf.DUMMYFUNCTION("""COMPUTED_VALUE"""),46023.0)</f>
        <v>46023</v>
      </c>
      <c r="B42" s="158" t="str">
        <f>IFERROR(__xludf.DUMMYFUNCTION("""COMPUTED_VALUE"""),"GOAT")</f>
        <v>GOAT</v>
      </c>
      <c r="C42" s="158" t="str">
        <f>IFERROR(__xludf.DUMMYFUNCTION("""COMPUTED_VALUE"""),"Made Intan Deyana Wirata")</f>
        <v>Made Intan Deyana Wirata</v>
      </c>
      <c r="D42" s="158" t="str">
        <f>IFERROR(__xludf.DUMMYFUNCTION("""COMPUTED_VALUE"""),"Yaya")</f>
        <v>Yaya</v>
      </c>
      <c r="E42" s="160" t="str">
        <f>IFERROR(__xludf.DUMMYFUNCTION("""COMPUTED_VALUE"""),"FENNY MARIA +62 878-8521-3141")</f>
        <v>FENNY MARIA +62 878-8521-3141</v>
      </c>
      <c r="F42" s="158">
        <f>IFERROR(__xludf.DUMMYFUNCTION("""COMPUTED_VALUE"""),3.5096632103065E14)</f>
        <v>350966321030650</v>
      </c>
      <c r="G42" s="158" t="str">
        <f>IFERROR(__xludf.DUMMYFUNCTION("""COMPUTED_VALUE"""),"S-SM-F966BDBBXBA")</f>
        <v>S-SM-F966BDBBXBA</v>
      </c>
      <c r="H42" s="160" t="str">
        <f>IFERROR(__xludf.DUMMYFUNCTION("""COMPUTED_VALUE"""),"G-Z-FOLD7 256GB DARK BLUE (2025)")</f>
        <v>G-Z-FOLD7 256GB DARK BLUE (2025)</v>
      </c>
      <c r="I42" s="208">
        <f>IFERROR(__xludf.DUMMYFUNCTION("""COMPUTED_VALUE"""),46037.0)</f>
        <v>46037</v>
      </c>
      <c r="J42" s="158">
        <f>IFERROR(__xludf.DUMMYFUNCTION("""COMPUTED_VALUE"""),44.0)</f>
        <v>44</v>
      </c>
      <c r="K42" s="160" t="str">
        <f>IFERROR(__xludf.DUMMYFUNCTION("""COMPUTED_VALUE"""),"Di Claim Hilang")</f>
        <v>Di Claim Hilang</v>
      </c>
      <c r="L42" s="158" t="str">
        <f>IFERROR(__xludf.DUMMYFUNCTION("""COMPUTED_VALUE"""),"Overdue &gt; 30 days")</f>
        <v>Overdue &gt; 30 days</v>
      </c>
      <c r="M42" s="158"/>
      <c r="N42" s="158"/>
      <c r="O42" s="158"/>
      <c r="P42" s="158" t="str">
        <f>IFERROR(IF(ISNUMBER(MATCH(F42,'Step 1 Data Bank'!E:E, 0)), "On Data Bank", "Not In Data Bank"),"")</f>
        <v>Not In Data Bank</v>
      </c>
      <c r="Q42" s="158" t="str">
        <f t="array" ref="Q42">XLOOKUP(F42,'Step 1 Data Bank'!E:E,'Step 1 Data Bank'!M:M,"",0)</f>
        <v/>
      </c>
      <c r="R42" s="160" t="str">
        <f t="array" ref="R42">XLOOKUP(F42,'Step 1 Data Bank'!E:E,'Step 1 Data Bank'!N:N,"",0)</f>
        <v/>
      </c>
      <c r="S42" s="158" t="str">
        <f>IFERROR(IF(ISNUMBER(MATCH(F42,'OLD DATA'!H:H, 0)), "On OLD Data", "Not In Old Data"),"")</f>
        <v>Not In Old Data</v>
      </c>
      <c r="T42" s="158" t="str">
        <f t="array" ref="T42">XLOOKUP(F42,'OLD DATA'!H:H,'OLD DATA'!I:I,"",0)</f>
        <v/>
      </c>
      <c r="U42" s="158" t="str">
        <f t="array" ref="U42">XLOOKUP(F42,'OLD DATA'!H:H,'OLD DATA'!J:J,"",0)</f>
        <v/>
      </c>
      <c r="V42" s="158" t="str">
        <f>IFERROR(IF(ISNUMBER(MATCH(F42,'OLD DATA Venni'!H:H, 0)), "Find", "Not Find"),"")</f>
        <v>Find</v>
      </c>
      <c r="W42" s="158" t="str">
        <f t="array" ref="W42">XLOOKUP(F42,'OLD DATA Venni'!H:H,'OLD DATA Venni'!J:J,"",0)</f>
        <v>Kevin (Makassar)</v>
      </c>
      <c r="X42" s="158"/>
      <c r="Y42" s="158"/>
      <c r="Z42" s="158"/>
      <c r="AA42" s="158"/>
      <c r="AB42" s="158"/>
      <c r="AC42" s="158"/>
      <c r="AD42" s="158"/>
      <c r="AE42" s="158"/>
    </row>
    <row r="43">
      <c r="A43" s="207">
        <f>IFERROR(__xludf.DUMMYFUNCTION("""COMPUTED_VALUE"""),46023.0)</f>
        <v>46023</v>
      </c>
      <c r="B43" s="158" t="str">
        <f>IFERROR(__xludf.DUMMYFUNCTION("""COMPUTED_VALUE"""),"GOAT")</f>
        <v>GOAT</v>
      </c>
      <c r="C43" s="158" t="str">
        <f>IFERROR(__xludf.DUMMYFUNCTION("""COMPUTED_VALUE"""),"Made Intan Deyana Wirata")</f>
        <v>Made Intan Deyana Wirata</v>
      </c>
      <c r="D43" s="158" t="str">
        <f>IFERROR(__xludf.DUMMYFUNCTION("""COMPUTED_VALUE"""),"Yaya")</f>
        <v>Yaya</v>
      </c>
      <c r="E43" s="160" t="str">
        <f>IFERROR(__xludf.DUMMYFUNCTION("""COMPUTED_VALUE"""),"FENNY MARIA +62 878-8521-3141")</f>
        <v>FENNY MARIA +62 878-8521-3141</v>
      </c>
      <c r="F43" s="158">
        <f>IFERROR(__xludf.DUMMYFUNCTION("""COMPUTED_VALUE"""),3.50966321026187E14)</f>
        <v>350966321026187</v>
      </c>
      <c r="G43" s="158" t="str">
        <f>IFERROR(__xludf.DUMMYFUNCTION("""COMPUTED_VALUE"""),"S-SM-F966BDBBXBA")</f>
        <v>S-SM-F966BDBBXBA</v>
      </c>
      <c r="H43" s="160" t="str">
        <f>IFERROR(__xludf.DUMMYFUNCTION("""COMPUTED_VALUE"""),"G-Z-FOLD7 256GB DARK BLUE (2025)")</f>
        <v>G-Z-FOLD7 256GB DARK BLUE (2025)</v>
      </c>
      <c r="I43" s="208">
        <f>IFERROR(__xludf.DUMMYFUNCTION("""COMPUTED_VALUE"""),46037.0)</f>
        <v>46037</v>
      </c>
      <c r="J43" s="158">
        <f>IFERROR(__xludf.DUMMYFUNCTION("""COMPUTED_VALUE"""),44.0)</f>
        <v>44</v>
      </c>
      <c r="K43" s="160" t="str">
        <f>IFERROR(__xludf.DUMMYFUNCTION("""COMPUTED_VALUE"""),"Di Claim Hilang")</f>
        <v>Di Claim Hilang</v>
      </c>
      <c r="L43" s="158" t="str">
        <f>IFERROR(__xludf.DUMMYFUNCTION("""COMPUTED_VALUE"""),"Overdue &gt; 30 days")</f>
        <v>Overdue &gt; 30 days</v>
      </c>
      <c r="M43" s="158"/>
      <c r="N43" s="158"/>
      <c r="O43" s="158"/>
      <c r="P43" s="158" t="str">
        <f>IFERROR(IF(ISNUMBER(MATCH(F43,'Step 1 Data Bank'!E:E, 0)), "On Data Bank", "Not In Data Bank"),"")</f>
        <v>Not In Data Bank</v>
      </c>
      <c r="Q43" s="158" t="str">
        <f t="array" ref="Q43">XLOOKUP(F43,'Step 1 Data Bank'!E:E,'Step 1 Data Bank'!M:M,"",0)</f>
        <v/>
      </c>
      <c r="R43" s="160" t="str">
        <f t="array" ref="R43">XLOOKUP(F43,'Step 1 Data Bank'!E:E,'Step 1 Data Bank'!N:N,"",0)</f>
        <v/>
      </c>
      <c r="S43" s="158" t="str">
        <f>IFERROR(IF(ISNUMBER(MATCH(F43,'OLD DATA'!H:H, 0)), "On OLD Data", "Not In Old Data"),"")</f>
        <v>Not In Old Data</v>
      </c>
      <c r="T43" s="158" t="str">
        <f t="array" ref="T43">XLOOKUP(F43,'OLD DATA'!H:H,'OLD DATA'!I:I,"",0)</f>
        <v/>
      </c>
      <c r="U43" s="158" t="str">
        <f t="array" ref="U43">XLOOKUP(F43,'OLD DATA'!H:H,'OLD DATA'!J:J,"",0)</f>
        <v/>
      </c>
      <c r="V43" s="158" t="str">
        <f>IFERROR(IF(ISNUMBER(MATCH(F43,'OLD DATA Venni'!H:H, 0)), "Find", "Not Find"),"")</f>
        <v>Not Find</v>
      </c>
      <c r="W43" s="158" t="str">
        <f t="array" ref="W43">XLOOKUP(F43,'OLD DATA Venni'!H:H,'OLD DATA Venni'!J:J,"",0)</f>
        <v/>
      </c>
      <c r="X43" s="158"/>
      <c r="Y43" s="158"/>
      <c r="Z43" s="158"/>
      <c r="AA43" s="158"/>
      <c r="AB43" s="158"/>
      <c r="AC43" s="158"/>
      <c r="AD43" s="158"/>
      <c r="AE43" s="158"/>
    </row>
    <row r="44">
      <c r="A44" s="207">
        <f>IFERROR(__xludf.DUMMYFUNCTION("""COMPUTED_VALUE"""),46023.0)</f>
        <v>46023</v>
      </c>
      <c r="B44" s="158" t="str">
        <f>IFERROR(__xludf.DUMMYFUNCTION("""COMPUTED_VALUE"""),"GOAT")</f>
        <v>GOAT</v>
      </c>
      <c r="C44" s="158" t="str">
        <f>IFERROR(__xludf.DUMMYFUNCTION("""COMPUTED_VALUE"""),"Made Intan Deyana Wirata")</f>
        <v>Made Intan Deyana Wirata</v>
      </c>
      <c r="D44" s="158" t="str">
        <f>IFERROR(__xludf.DUMMYFUNCTION("""COMPUTED_VALUE"""),"Yaya")</f>
        <v>Yaya</v>
      </c>
      <c r="E44" s="160" t="str">
        <f>IFERROR(__xludf.DUMMYFUNCTION("""COMPUTED_VALUE"""),"FENNY MARIA +62 878-8521-3141")</f>
        <v>FENNY MARIA +62 878-8521-3141</v>
      </c>
      <c r="F44" s="158">
        <f>IFERROR(__xludf.DUMMYFUNCTION("""COMPUTED_VALUE"""),3.50966321030593E14)</f>
        <v>350966321030593</v>
      </c>
      <c r="G44" s="158" t="str">
        <f>IFERROR(__xludf.DUMMYFUNCTION("""COMPUTED_VALUE"""),"S-SM-F966BDBBXBA")</f>
        <v>S-SM-F966BDBBXBA</v>
      </c>
      <c r="H44" s="160" t="str">
        <f>IFERROR(__xludf.DUMMYFUNCTION("""COMPUTED_VALUE"""),"G-Z-FOLD7 256GB DARK BLUE (2025)")</f>
        <v>G-Z-FOLD7 256GB DARK BLUE (2025)</v>
      </c>
      <c r="I44" s="208">
        <f>IFERROR(__xludf.DUMMYFUNCTION("""COMPUTED_VALUE"""),46037.0)</f>
        <v>46037</v>
      </c>
      <c r="J44" s="158">
        <f>IFERROR(__xludf.DUMMYFUNCTION("""COMPUTED_VALUE"""),44.0)</f>
        <v>44</v>
      </c>
      <c r="K44" s="160" t="str">
        <f>IFERROR(__xludf.DUMMYFUNCTION("""COMPUTED_VALUE"""),"Di Claim Hilang")</f>
        <v>Di Claim Hilang</v>
      </c>
      <c r="L44" s="158" t="str">
        <f>IFERROR(__xludf.DUMMYFUNCTION("""COMPUTED_VALUE"""),"Overdue &gt; 30 days")</f>
        <v>Overdue &gt; 30 days</v>
      </c>
      <c r="M44" s="158"/>
      <c r="N44" s="158"/>
      <c r="O44" s="158"/>
      <c r="P44" s="158" t="str">
        <f>IFERROR(IF(ISNUMBER(MATCH(F44,'Step 1 Data Bank'!E:E, 0)), "On Data Bank", "Not In Data Bank"),"")</f>
        <v>Not In Data Bank</v>
      </c>
      <c r="Q44" s="158" t="str">
        <f t="array" ref="Q44">XLOOKUP(F44,'Step 1 Data Bank'!E:E,'Step 1 Data Bank'!M:M,"",0)</f>
        <v/>
      </c>
      <c r="R44" s="160" t="str">
        <f t="array" ref="R44">XLOOKUP(F44,'Step 1 Data Bank'!E:E,'Step 1 Data Bank'!N:N,"",0)</f>
        <v/>
      </c>
      <c r="S44" s="158" t="str">
        <f>IFERROR(IF(ISNUMBER(MATCH(F44,'OLD DATA'!H:H, 0)), "On OLD Data", "Not In Old Data"),"")</f>
        <v>Not In Old Data</v>
      </c>
      <c r="T44" s="158" t="str">
        <f t="array" ref="T44">XLOOKUP(F44,'OLD DATA'!H:H,'OLD DATA'!I:I,"",0)</f>
        <v/>
      </c>
      <c r="U44" s="158" t="str">
        <f t="array" ref="U44">XLOOKUP(F44,'OLD DATA'!H:H,'OLD DATA'!J:J,"",0)</f>
        <v/>
      </c>
      <c r="V44" s="158" t="str">
        <f>IFERROR(IF(ISNUMBER(MATCH(F44,'OLD DATA Venni'!H:H, 0)), "Find", "Not Find"),"")</f>
        <v>Not Find</v>
      </c>
      <c r="W44" s="158" t="str">
        <f t="array" ref="W44">XLOOKUP(F44,'OLD DATA Venni'!H:H,'OLD DATA Venni'!J:J,"",0)</f>
        <v/>
      </c>
      <c r="X44" s="158"/>
      <c r="Y44" s="158"/>
      <c r="Z44" s="158"/>
      <c r="AA44" s="158"/>
      <c r="AB44" s="158"/>
      <c r="AC44" s="158"/>
      <c r="AD44" s="158"/>
      <c r="AE44" s="158"/>
    </row>
    <row r="45">
      <c r="A45" s="207">
        <f>IFERROR(__xludf.DUMMYFUNCTION("""COMPUTED_VALUE"""),46023.0)</f>
        <v>46023</v>
      </c>
      <c r="B45" s="158" t="str">
        <f>IFERROR(__xludf.DUMMYFUNCTION("""COMPUTED_VALUE"""),"GOAT")</f>
        <v>GOAT</v>
      </c>
      <c r="C45" s="158" t="str">
        <f>IFERROR(__xludf.DUMMYFUNCTION("""COMPUTED_VALUE"""),"Made Intan Deyana Wirata")</f>
        <v>Made Intan Deyana Wirata</v>
      </c>
      <c r="D45" s="158" t="str">
        <f>IFERROR(__xludf.DUMMYFUNCTION("""COMPUTED_VALUE"""),"Yaya")</f>
        <v>Yaya</v>
      </c>
      <c r="E45" s="160" t="str">
        <f>IFERROR(__xludf.DUMMYFUNCTION("""COMPUTED_VALUE"""),"FENNY MARIA +62 878-8521-3141")</f>
        <v>FENNY MARIA +62 878-8521-3141</v>
      </c>
      <c r="F45" s="158" t="str">
        <f>IFERROR(__xludf.DUMMYFUNCTION("""COMPUTED_VALUE"""),"RFAY619827W")</f>
        <v>RFAY619827W</v>
      </c>
      <c r="G45" s="158" t="str">
        <f>IFERROR(__xludf.DUMMYFUNCTION("""COMPUTED_VALUE"""),"S-SM-L330NZSAXAA")</f>
        <v>S-SM-L330NZSAXAA</v>
      </c>
      <c r="H45" s="160" t="str">
        <f>IFERROR(__xludf.DUMMYFUNCTION("""COMPUTED_VALUE"""),"G-WATCH8 44MM SILVER (2025)")</f>
        <v>G-WATCH8 44MM SILVER (2025)</v>
      </c>
      <c r="I45" s="208">
        <f>IFERROR(__xludf.DUMMYFUNCTION("""COMPUTED_VALUE"""),46037.0)</f>
        <v>46037</v>
      </c>
      <c r="J45" s="158">
        <f>IFERROR(__xludf.DUMMYFUNCTION("""COMPUTED_VALUE"""),44.0)</f>
        <v>44</v>
      </c>
      <c r="K45" s="160"/>
      <c r="L45" s="158" t="str">
        <f>IFERROR(__xludf.DUMMYFUNCTION("""COMPUTED_VALUE"""),"Overdue &gt; 30 days")</f>
        <v>Overdue &gt; 30 days</v>
      </c>
      <c r="M45" s="158"/>
      <c r="N45" s="158"/>
      <c r="O45" s="158"/>
      <c r="P45" s="158" t="str">
        <f>IFERROR(IF(ISNUMBER(MATCH(F45,'Step 1 Data Bank'!E:E, 0)), "On Data Bank", "Not In Data Bank"),"")</f>
        <v>Not In Data Bank</v>
      </c>
      <c r="Q45" s="158" t="str">
        <f t="array" ref="Q45">XLOOKUP(F45,'Step 1 Data Bank'!E:E,'Step 1 Data Bank'!M:M,"",0)</f>
        <v/>
      </c>
      <c r="R45" s="160" t="str">
        <f t="array" ref="R45">XLOOKUP(F45,'Step 1 Data Bank'!E:E,'Step 1 Data Bank'!N:N,"",0)</f>
        <v/>
      </c>
      <c r="S45" s="158" t="str">
        <f>IFERROR(IF(ISNUMBER(MATCH(F45,'OLD DATA'!H:H, 0)), "On OLD Data", "Not In Old Data"),"")</f>
        <v>Not In Old Data</v>
      </c>
      <c r="T45" s="158" t="str">
        <f t="array" ref="T45">XLOOKUP(F45,'OLD DATA'!H:H,'OLD DATA'!I:I,"",0)</f>
        <v/>
      </c>
      <c r="U45" s="158" t="str">
        <f t="array" ref="U45">XLOOKUP(F45,'OLD DATA'!H:H,'OLD DATA'!J:J,"",0)</f>
        <v/>
      </c>
      <c r="V45" s="158" t="str">
        <f>IFERROR(IF(ISNUMBER(MATCH(F45,'OLD DATA Venni'!H:H, 0)), "Find", "Not Find"),"")</f>
        <v>Not Find</v>
      </c>
      <c r="W45" s="158" t="str">
        <f t="array" ref="W45">XLOOKUP(F45,'OLD DATA Venni'!H:H,'OLD DATA Venni'!J:J,"",0)</f>
        <v/>
      </c>
      <c r="X45" s="158"/>
      <c r="Y45" s="158"/>
      <c r="Z45" s="158"/>
      <c r="AA45" s="158"/>
      <c r="AB45" s="158"/>
      <c r="AC45" s="158"/>
      <c r="AD45" s="158"/>
      <c r="AE45" s="158"/>
    </row>
    <row r="46">
      <c r="A46" s="207">
        <f>IFERROR(__xludf.DUMMYFUNCTION("""COMPUTED_VALUE"""),46023.0)</f>
        <v>46023</v>
      </c>
      <c r="B46" s="158" t="str">
        <f>IFERROR(__xludf.DUMMYFUNCTION("""COMPUTED_VALUE"""),"GOAT")</f>
        <v>GOAT</v>
      </c>
      <c r="C46" s="158" t="str">
        <f>IFERROR(__xludf.DUMMYFUNCTION("""COMPUTED_VALUE"""),"Made Intan Deyana Wirata")</f>
        <v>Made Intan Deyana Wirata</v>
      </c>
      <c r="D46" s="158" t="str">
        <f>IFERROR(__xludf.DUMMYFUNCTION("""COMPUTED_VALUE"""),"Yaya")</f>
        <v>Yaya</v>
      </c>
      <c r="E46" s="160" t="str">
        <f>IFERROR(__xludf.DUMMYFUNCTION("""COMPUTED_VALUE"""),"ALIA ALIFIA +62 822 9883 6303")</f>
        <v>ALIA ALIFIA +62 822 9883 6303</v>
      </c>
      <c r="F46" s="158">
        <f>IFERROR(__xludf.DUMMYFUNCTION("""COMPUTED_VALUE"""),3.51225500059751E14)</f>
        <v>351225500059751</v>
      </c>
      <c r="G46" s="158" t="str">
        <f>IFERROR(__xludf.DUMMYFUNCTION("""COMPUTED_VALUE"""),"SM-A075FLVGXID")</f>
        <v>SM-A075FLVGXID</v>
      </c>
      <c r="H46" s="160" t="str">
        <f>IFERROR(__xludf.DUMMYFUNCTION("""COMPUTED_VALUE"""),"G-A07 (4/128) LIGHT VIOLET (2025)")</f>
        <v>G-A07 (4/128) LIGHT VIOLET (2025)</v>
      </c>
      <c r="I46" s="208">
        <f>IFERROR(__xludf.DUMMYFUNCTION("""COMPUTED_VALUE"""),46037.0)</f>
        <v>46037</v>
      </c>
      <c r="J46" s="158">
        <f>IFERROR(__xludf.DUMMYFUNCTION("""COMPUTED_VALUE"""),44.0)</f>
        <v>44</v>
      </c>
      <c r="K46" s="160" t="str">
        <f>IFERROR(__xludf.DUMMYFUNCTION("""COMPUTED_VALUE"""),"RETURNED TO SEIN 5 jan 2026")</f>
        <v>RETURNED TO SEIN 5 jan 2026</v>
      </c>
      <c r="L46" s="158" t="str">
        <f>IFERROR(__xludf.DUMMYFUNCTION("""COMPUTED_VALUE"""),"Overdue &gt; 30 days")</f>
        <v>Overdue &gt; 30 days</v>
      </c>
      <c r="M46" s="158"/>
      <c r="N46" s="158"/>
      <c r="O46" s="158"/>
      <c r="P46" s="158" t="str">
        <f>IFERROR(IF(ISNUMBER(MATCH(F46,'Step 1 Data Bank'!E:E, 0)), "On Data Bank", "Not In Data Bank"),"")</f>
        <v>Not In Data Bank</v>
      </c>
      <c r="Q46" s="158" t="str">
        <f t="array" ref="Q46">XLOOKUP(F46,'Step 1 Data Bank'!E:E,'Step 1 Data Bank'!M:M,"",0)</f>
        <v/>
      </c>
      <c r="R46" s="160" t="str">
        <f t="array" ref="R46">XLOOKUP(F46,'Step 1 Data Bank'!E:E,'Step 1 Data Bank'!N:N,"",0)</f>
        <v/>
      </c>
      <c r="S46" s="158" t="str">
        <f>IFERROR(IF(ISNUMBER(MATCH(F46,'OLD DATA'!H:H, 0)), "On OLD Data", "Not In Old Data"),"")</f>
        <v>On OLD Data</v>
      </c>
      <c r="T46" s="158" t="str">
        <f t="array" ref="T46">XLOOKUP(F46,'OLD DATA'!H:H,'OLD DATA'!I:I,"",0)</f>
        <v/>
      </c>
      <c r="U46" s="158" t="str">
        <f t="array" ref="U46">XLOOKUP(F46,'OLD DATA'!H:H,'OLD DATA'!J:J,"",0)</f>
        <v/>
      </c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</row>
    <row r="47">
      <c r="A47" s="207">
        <f>IFERROR(__xludf.DUMMYFUNCTION("""COMPUTED_VALUE"""),46023.0)</f>
        <v>46023</v>
      </c>
      <c r="B47" s="158" t="str">
        <f>IFERROR(__xludf.DUMMYFUNCTION("""COMPUTED_VALUE"""),"GOAT")</f>
        <v>GOAT</v>
      </c>
      <c r="C47" s="158" t="str">
        <f>IFERROR(__xludf.DUMMYFUNCTION("""COMPUTED_VALUE"""),"Made Intan Deyana Wirata")</f>
        <v>Made Intan Deyana Wirata</v>
      </c>
      <c r="D47" s="158" t="str">
        <f>IFERROR(__xludf.DUMMYFUNCTION("""COMPUTED_VALUE"""),"Yaya")</f>
        <v>Yaya</v>
      </c>
      <c r="E47" s="160" t="str">
        <f>IFERROR(__xludf.DUMMYFUNCTION("""COMPUTED_VALUE"""),"ALIA ALIFIA +62 822 9883 6303")</f>
        <v>ALIA ALIFIA +62 822 9883 6303</v>
      </c>
      <c r="F47" s="158">
        <f>IFERROR(__xludf.DUMMYFUNCTION("""COMPUTED_VALUE"""),3.51225500056948E14)</f>
        <v>351225500056948</v>
      </c>
      <c r="G47" s="158" t="str">
        <f>IFERROR(__xludf.DUMMYFUNCTION("""COMPUTED_VALUE"""),"SM-A075FLVGXID")</f>
        <v>SM-A075FLVGXID</v>
      </c>
      <c r="H47" s="160" t="str">
        <f>IFERROR(__xludf.DUMMYFUNCTION("""COMPUTED_VALUE"""),"G-A07 (4/128) LIGHT VIOLET (2025)")</f>
        <v>G-A07 (4/128) LIGHT VIOLET (2025)</v>
      </c>
      <c r="I47" s="208">
        <f>IFERROR(__xludf.DUMMYFUNCTION("""COMPUTED_VALUE"""),46037.0)</f>
        <v>46037</v>
      </c>
      <c r="J47" s="158">
        <f>IFERROR(__xludf.DUMMYFUNCTION("""COMPUTED_VALUE"""),44.0)</f>
        <v>44</v>
      </c>
      <c r="K47" s="160" t="str">
        <f>IFERROR(__xludf.DUMMYFUNCTION("""COMPUTED_VALUE"""),"RETURNED TO SEIN 5 jan 2026")</f>
        <v>RETURNED TO SEIN 5 jan 2026</v>
      </c>
      <c r="L47" s="158" t="str">
        <f>IFERROR(__xludf.DUMMYFUNCTION("""COMPUTED_VALUE"""),"Overdue &gt; 30 days")</f>
        <v>Overdue &gt; 30 days</v>
      </c>
      <c r="M47" s="158"/>
      <c r="N47" s="158"/>
      <c r="O47" s="158"/>
      <c r="P47" s="158" t="str">
        <f>IFERROR(IF(ISNUMBER(MATCH(F47,'Step 1 Data Bank'!E:E, 0)), "On Data Bank", "Not In Data Bank"),"")</f>
        <v>Not In Data Bank</v>
      </c>
      <c r="Q47" s="158" t="str">
        <f t="array" ref="Q47">XLOOKUP(F47,'Step 1 Data Bank'!E:E,'Step 1 Data Bank'!M:M,"",0)</f>
        <v/>
      </c>
      <c r="R47" s="160" t="str">
        <f t="array" ref="R47">XLOOKUP(F47,'Step 1 Data Bank'!E:E,'Step 1 Data Bank'!N:N,"",0)</f>
        <v/>
      </c>
      <c r="S47" s="158" t="str">
        <f>IFERROR(IF(ISNUMBER(MATCH(F47,'OLD DATA'!H:H, 0)), "On OLD Data", "Not In Old Data"),"")</f>
        <v>On OLD Data</v>
      </c>
      <c r="T47" s="158" t="str">
        <f t="array" ref="T47">XLOOKUP(F47,'OLD DATA'!H:H,'OLD DATA'!I:I,"",0)</f>
        <v/>
      </c>
      <c r="U47" s="158" t="str">
        <f t="array" ref="U47">XLOOKUP(F47,'OLD DATA'!H:H,'OLD DATA'!J:J,"",0)</f>
        <v/>
      </c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</row>
    <row r="48">
      <c r="A48" s="207">
        <f>IFERROR(__xludf.DUMMYFUNCTION("""COMPUTED_VALUE"""),46023.0)</f>
        <v>46023</v>
      </c>
      <c r="B48" s="158" t="str">
        <f>IFERROR(__xludf.DUMMYFUNCTION("""COMPUTED_VALUE"""),"GOAT")</f>
        <v>GOAT</v>
      </c>
      <c r="C48" s="158" t="str">
        <f>IFERROR(__xludf.DUMMYFUNCTION("""COMPUTED_VALUE"""),"Made Intan Deyana Wirata")</f>
        <v>Made Intan Deyana Wirata</v>
      </c>
      <c r="D48" s="158" t="str">
        <f>IFERROR(__xludf.DUMMYFUNCTION("""COMPUTED_VALUE"""),"Yaya")</f>
        <v>Yaya</v>
      </c>
      <c r="E48" s="160" t="str">
        <f>IFERROR(__xludf.DUMMYFUNCTION("""COMPUTED_VALUE"""),"ALIA ALIFIA +62 822 9883 6303")</f>
        <v>ALIA ALIFIA +62 822 9883 6303</v>
      </c>
      <c r="F48" s="158">
        <f>IFERROR(__xludf.DUMMYFUNCTION("""COMPUTED_VALUE"""),3.50576850139309E14)</f>
        <v>350576850139309</v>
      </c>
      <c r="G48" s="158" t="str">
        <f>IFERROR(__xludf.DUMMYFUNCTION("""COMPUTED_VALUE"""),"SM-A075FZGDXID")</f>
        <v>SM-A075FZGDXID</v>
      </c>
      <c r="H48" s="160" t="str">
        <f>IFERROR(__xludf.DUMMYFUNCTION("""COMPUTED_VALUE"""),"G-A07 (4/64) GREEN (2025)")</f>
        <v>G-A07 (4/64) GREEN (2025)</v>
      </c>
      <c r="I48" s="208">
        <f>IFERROR(__xludf.DUMMYFUNCTION("""COMPUTED_VALUE"""),46037.0)</f>
        <v>46037</v>
      </c>
      <c r="J48" s="158">
        <f>IFERROR(__xludf.DUMMYFUNCTION("""COMPUTED_VALUE"""),44.0)</f>
        <v>44</v>
      </c>
      <c r="K48" s="160" t="str">
        <f>IFERROR(__xludf.DUMMYFUNCTION("""COMPUTED_VALUE"""),"RETURNED TO SEIN 5 jan 2026")</f>
        <v>RETURNED TO SEIN 5 jan 2026</v>
      </c>
      <c r="L48" s="158" t="str">
        <f>IFERROR(__xludf.DUMMYFUNCTION("""COMPUTED_VALUE"""),"Overdue &gt; 30 days")</f>
        <v>Overdue &gt; 30 days</v>
      </c>
      <c r="M48" s="158"/>
      <c r="N48" s="158"/>
      <c r="O48" s="158"/>
      <c r="P48" s="158" t="str">
        <f>IFERROR(IF(ISNUMBER(MATCH(F48,'Step 1 Data Bank'!E:E, 0)), "On Data Bank", "Not In Data Bank"),"")</f>
        <v>Not In Data Bank</v>
      </c>
      <c r="Q48" s="158" t="str">
        <f t="array" ref="Q48">XLOOKUP(F48,'Step 1 Data Bank'!E:E,'Step 1 Data Bank'!M:M,"",0)</f>
        <v/>
      </c>
      <c r="R48" s="160" t="str">
        <f t="array" ref="R48">XLOOKUP(F48,'Step 1 Data Bank'!E:E,'Step 1 Data Bank'!N:N,"",0)</f>
        <v/>
      </c>
      <c r="S48" s="158" t="str">
        <f>IFERROR(IF(ISNUMBER(MATCH(F48,'OLD DATA'!H:H, 0)), "On OLD Data", "Not In Old Data"),"")</f>
        <v>On OLD Data</v>
      </c>
      <c r="T48" s="158" t="str">
        <f t="array" ref="T48">XLOOKUP(F48,'OLD DATA'!H:H,'OLD DATA'!I:I,"",0)</f>
        <v/>
      </c>
      <c r="U48" s="158" t="str">
        <f t="array" ref="U48">XLOOKUP(F48,'OLD DATA'!H:H,'OLD DATA'!J:J,"",0)</f>
        <v/>
      </c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</row>
    <row r="49">
      <c r="A49" s="207">
        <f>IFERROR(__xludf.DUMMYFUNCTION("""COMPUTED_VALUE"""),46023.0)</f>
        <v>46023</v>
      </c>
      <c r="B49" s="158" t="str">
        <f>IFERROR(__xludf.DUMMYFUNCTION("""COMPUTED_VALUE"""),"GOAT")</f>
        <v>GOAT</v>
      </c>
      <c r="C49" s="158" t="str">
        <f>IFERROR(__xludf.DUMMYFUNCTION("""COMPUTED_VALUE"""),"Made Intan Deyana Wirata")</f>
        <v>Made Intan Deyana Wirata</v>
      </c>
      <c r="D49" s="158" t="str">
        <f>IFERROR(__xludf.DUMMYFUNCTION("""COMPUTED_VALUE"""),"Intan")</f>
        <v>Intan</v>
      </c>
      <c r="E49" s="160" t="str">
        <f>IFERROR(__xludf.DUMMYFUNCTION("""COMPUTED_VALUE"""),"SALMA MAHARANI +62 823-2034-2977")</f>
        <v>SALMA MAHARANI +62 823-2034-2977</v>
      </c>
      <c r="F49" s="158">
        <f>IFERROR(__xludf.DUMMYFUNCTION("""COMPUTED_VALUE"""),3.55541740107911E14)</f>
        <v>355541740107911</v>
      </c>
      <c r="G49" s="158" t="str">
        <f>IFERROR(__xludf.DUMMYFUNCTION("""COMPUTED_VALUE"""),"SM-F741BLGAXID")</f>
        <v>SM-F741BLGAXID</v>
      </c>
      <c r="H49" s="160" t="str">
        <f>IFERROR(__xludf.DUMMYFUNCTION("""COMPUTED_VALUE"""),"G-Z-FLIP6 12/256GB LIGHT GREEN (2024)")</f>
        <v>G-Z-FLIP6 12/256GB LIGHT GREEN (2024)</v>
      </c>
      <c r="I49" s="208">
        <f>IFERROR(__xludf.DUMMYFUNCTION("""COMPUTED_VALUE"""),46037.0)</f>
        <v>46037</v>
      </c>
      <c r="J49" s="158">
        <f>IFERROR(__xludf.DUMMYFUNCTION("""COMPUTED_VALUE"""),44.0)</f>
        <v>44</v>
      </c>
      <c r="K49" s="160"/>
      <c r="L49" s="158" t="str">
        <f>IFERROR(__xludf.DUMMYFUNCTION("""COMPUTED_VALUE"""),"Overdue &gt; 30 days")</f>
        <v>Overdue &gt; 30 days</v>
      </c>
      <c r="M49" s="158"/>
      <c r="N49" s="158"/>
      <c r="O49" s="158"/>
      <c r="P49" s="158" t="str">
        <f>IFERROR(IF(ISNUMBER(MATCH(F49,'Step 1 Data Bank'!E:E, 0)), "On Data Bank", "Not In Data Bank"),"")</f>
        <v>Not In Data Bank</v>
      </c>
      <c r="Q49" s="158" t="str">
        <f t="array" ref="Q49">XLOOKUP(F49,'Step 1 Data Bank'!E:E,'Step 1 Data Bank'!M:M,"",0)</f>
        <v/>
      </c>
      <c r="R49" s="160" t="str">
        <f t="array" ref="R49">XLOOKUP(F49,'Step 1 Data Bank'!E:E,'Step 1 Data Bank'!N:N,"",0)</f>
        <v/>
      </c>
      <c r="S49" s="158" t="str">
        <f>IFERROR(IF(ISNUMBER(MATCH(F49,'OLD DATA'!H:H, 0)), "On OLD Data", "Not In Old Data"),"")</f>
        <v>Not In Old Data</v>
      </c>
      <c r="T49" s="158" t="str">
        <f t="array" ref="T49">XLOOKUP(F49,'OLD DATA'!H:H,'OLD DATA'!I:I,"",0)</f>
        <v/>
      </c>
      <c r="U49" s="158" t="str">
        <f t="array" ref="U49">XLOOKUP(F49,'OLD DATA'!H:H,'OLD DATA'!J:J,"",0)</f>
        <v/>
      </c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</row>
    <row r="50">
      <c r="A50" s="207">
        <f>IFERROR(__xludf.DUMMYFUNCTION("""COMPUTED_VALUE"""),46023.0)</f>
        <v>46023</v>
      </c>
      <c r="B50" s="158" t="str">
        <f>IFERROR(__xludf.DUMMYFUNCTION("""COMPUTED_VALUE"""),"GOAT")</f>
        <v>GOAT</v>
      </c>
      <c r="C50" s="158" t="str">
        <f>IFERROR(__xludf.DUMMYFUNCTION("""COMPUTED_VALUE"""),"Made Intan Deyana Wirata")</f>
        <v>Made Intan Deyana Wirata</v>
      </c>
      <c r="D50" s="158" t="str">
        <f>IFERROR(__xludf.DUMMYFUNCTION("""COMPUTED_VALUE"""),"Intan")</f>
        <v>Intan</v>
      </c>
      <c r="E50" s="160" t="str">
        <f>IFERROR(__xludf.DUMMYFUNCTION("""COMPUTED_VALUE"""),"ALIA ALIFIA +62 822 9883 6303")</f>
        <v>ALIA ALIFIA +62 822 9883 6303</v>
      </c>
      <c r="F50" s="158">
        <f>IFERROR(__xludf.DUMMYFUNCTION("""COMPUTED_VALUE"""),3.54390900027076E14)</f>
        <v>354390900027076</v>
      </c>
      <c r="G50" s="158" t="str">
        <f>IFERROR(__xludf.DUMMYFUNCTION("""COMPUTED_VALUE"""),"SM-A566BZGTXID")</f>
        <v>SM-A566BZGTXID</v>
      </c>
      <c r="H50" s="160" t="str">
        <f>IFERROR(__xludf.DUMMYFUNCTION("""COMPUTED_VALUE"""),"G-A56-5G (8/256) GREEN (2025)")</f>
        <v>G-A56-5G (8/256) GREEN (2025)</v>
      </c>
      <c r="I50" s="208">
        <f>IFERROR(__xludf.DUMMYFUNCTION("""COMPUTED_VALUE"""),46037.0)</f>
        <v>46037</v>
      </c>
      <c r="J50" s="158">
        <f>IFERROR(__xludf.DUMMYFUNCTION("""COMPUTED_VALUE"""),44.0)</f>
        <v>44</v>
      </c>
      <c r="K50" s="160" t="str">
        <f>IFERROR(__xludf.DUMMYFUNCTION("""COMPUTED_VALUE"""),"RETURNED TO SEIN 26 jan 2026")</f>
        <v>RETURNED TO SEIN 26 jan 2026</v>
      </c>
      <c r="L50" s="158" t="str">
        <f>IFERROR(__xludf.DUMMYFUNCTION("""COMPUTED_VALUE"""),"Overdue &gt; 30 days")</f>
        <v>Overdue &gt; 30 days</v>
      </c>
      <c r="M50" s="158"/>
      <c r="N50" s="158"/>
      <c r="O50" s="158"/>
      <c r="P50" s="158" t="str">
        <f>IFERROR(IF(ISNUMBER(MATCH(F50,'Step 1 Data Bank'!E:E, 0)), "On Data Bank", "Not In Data Bank"),"")</f>
        <v>Not In Data Bank</v>
      </c>
      <c r="Q50" s="158" t="str">
        <f t="array" ref="Q50">XLOOKUP(F50,'Step 1 Data Bank'!E:E,'Step 1 Data Bank'!M:M,"",0)</f>
        <v/>
      </c>
      <c r="R50" s="160" t="str">
        <f t="array" ref="R50">XLOOKUP(F50,'Step 1 Data Bank'!E:E,'Step 1 Data Bank'!N:N,"",0)</f>
        <v/>
      </c>
      <c r="S50" s="158" t="str">
        <f>IFERROR(IF(ISNUMBER(MATCH(F50,'OLD DATA'!H:H, 0)), "On OLD Data", "Not In Old Data"),"")</f>
        <v>On OLD Data</v>
      </c>
      <c r="T50" s="158" t="str">
        <f t="array" ref="T50">XLOOKUP(F50,'OLD DATA'!H:H,'OLD DATA'!I:I,"",0)</f>
        <v>LOCKER</v>
      </c>
      <c r="U50" s="158" t="str">
        <f t="array" ref="U50">XLOOKUP(F50,'OLD DATA'!H:H,'OLD DATA'!J:J,"",0)</f>
        <v/>
      </c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</row>
    <row r="51">
      <c r="A51" s="207">
        <f>IFERROR(__xludf.DUMMYFUNCTION("""COMPUTED_VALUE"""),46023.0)</f>
        <v>46023</v>
      </c>
      <c r="B51" s="158" t="str">
        <f>IFERROR(__xludf.DUMMYFUNCTION("""COMPUTED_VALUE"""),"GOAT")</f>
        <v>GOAT</v>
      </c>
      <c r="C51" s="158" t="str">
        <f>IFERROR(__xludf.DUMMYFUNCTION("""COMPUTED_VALUE"""),"Made Intan Deyana Wirata")</f>
        <v>Made Intan Deyana Wirata</v>
      </c>
      <c r="D51" s="158" t="str">
        <f>IFERROR(__xludf.DUMMYFUNCTION("""COMPUTED_VALUE"""),"Intan")</f>
        <v>Intan</v>
      </c>
      <c r="E51" s="160" t="str">
        <f>IFERROR(__xludf.DUMMYFUNCTION("""COMPUTED_VALUE"""),"ALIA ALIFIA +62 822 9883 6303")</f>
        <v>ALIA ALIFIA +62 822 9883 6303</v>
      </c>
      <c r="F51" s="158">
        <f>IFERROR(__xludf.DUMMYFUNCTION("""COMPUTED_VALUE"""),3.53456152033434E14)</f>
        <v>353456152033434</v>
      </c>
      <c r="G51" s="158" t="str">
        <f>IFERROR(__xludf.DUMMYFUNCTION("""COMPUTED_VALUE"""),"SM-A366BLVSXID")</f>
        <v>SM-A366BLVSXID</v>
      </c>
      <c r="H51" s="160" t="str">
        <f>IFERROR(__xludf.DUMMYFUNCTION("""COMPUTED_VALUE"""),"G-A36-5G (8/128) LIGHT VIOLET (2025)")</f>
        <v>G-A36-5G (8/128) LIGHT VIOLET (2025)</v>
      </c>
      <c r="I51" s="208">
        <f>IFERROR(__xludf.DUMMYFUNCTION("""COMPUTED_VALUE"""),46037.0)</f>
        <v>46037</v>
      </c>
      <c r="J51" s="158">
        <f>IFERROR(__xludf.DUMMYFUNCTION("""COMPUTED_VALUE"""),44.0)</f>
        <v>44</v>
      </c>
      <c r="K51" s="160" t="str">
        <f>IFERROR(__xludf.DUMMYFUNCTION("""COMPUTED_VALUE"""),"RETURNED TO SEIN 26 jan 2026")</f>
        <v>RETURNED TO SEIN 26 jan 2026</v>
      </c>
      <c r="L51" s="158" t="str">
        <f>IFERROR(__xludf.DUMMYFUNCTION("""COMPUTED_VALUE"""),"Overdue &gt; 30 days")</f>
        <v>Overdue &gt; 30 days</v>
      </c>
      <c r="M51" s="158"/>
      <c r="N51" s="158"/>
      <c r="O51" s="158"/>
      <c r="P51" s="158" t="str">
        <f>IFERROR(IF(ISNUMBER(MATCH(F51,'Step 1 Data Bank'!E:E, 0)), "On Data Bank", "Not In Data Bank"),"")</f>
        <v>Not In Data Bank</v>
      </c>
      <c r="Q51" s="158" t="str">
        <f t="array" ref="Q51">XLOOKUP(F51,'Step 1 Data Bank'!E:E,'Step 1 Data Bank'!M:M,"",0)</f>
        <v/>
      </c>
      <c r="R51" s="160" t="str">
        <f t="array" ref="R51">XLOOKUP(F51,'Step 1 Data Bank'!E:E,'Step 1 Data Bank'!N:N,"",0)</f>
        <v/>
      </c>
      <c r="S51" s="158" t="str">
        <f>IFERROR(IF(ISNUMBER(MATCH(F51,'OLD DATA'!H:H, 0)), "On OLD Data", "Not In Old Data"),"")</f>
        <v>On OLD Data</v>
      </c>
      <c r="T51" s="158" t="str">
        <f t="array" ref="T51">XLOOKUP(F51,'OLD DATA'!H:H,'OLD DATA'!I:I,"",0)</f>
        <v>LOCKER</v>
      </c>
      <c r="U51" s="158" t="str">
        <f t="array" ref="U51">XLOOKUP(F51,'OLD DATA'!H:H,'OLD DATA'!J:J,"",0)</f>
        <v/>
      </c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</row>
    <row r="52">
      <c r="A52" s="207">
        <f>IFERROR(__xludf.DUMMYFUNCTION("""COMPUTED_VALUE"""),46023.0)</f>
        <v>46023</v>
      </c>
      <c r="B52" s="158" t="str">
        <f>IFERROR(__xludf.DUMMYFUNCTION("""COMPUTED_VALUE"""),"GOAT")</f>
        <v>GOAT</v>
      </c>
      <c r="C52" s="158" t="str">
        <f>IFERROR(__xludf.DUMMYFUNCTION("""COMPUTED_VALUE"""),"Made Intan Deyana Wirata")</f>
        <v>Made Intan Deyana Wirata</v>
      </c>
      <c r="D52" s="158" t="str">
        <f>IFERROR(__xludf.DUMMYFUNCTION("""COMPUTED_VALUE"""),"Intan")</f>
        <v>Intan</v>
      </c>
      <c r="E52" s="160" t="str">
        <f>IFERROR(__xludf.DUMMYFUNCTION("""COMPUTED_VALUE"""),"ALIA ALIFIA +62 822 9883 6303")</f>
        <v>ALIA ALIFIA +62 822 9883 6303</v>
      </c>
      <c r="F52" s="158">
        <f>IFERROR(__xludf.DUMMYFUNCTION("""COMPUTED_VALUE"""),3.5770323000123E14)</f>
        <v>357703230001230</v>
      </c>
      <c r="G52" s="158" t="str">
        <f>IFERROR(__xludf.DUMMYFUNCTION("""COMPUTED_VALUE"""),"SM-A566BLISXID")</f>
        <v>SM-A566BLISXID</v>
      </c>
      <c r="H52" s="160" t="str">
        <f>IFERROR(__xludf.DUMMYFUNCTION("""COMPUTED_VALUE"""),"G-A56-5G (8/128) LIGHT PINK (2025)")</f>
        <v>G-A56-5G (8/128) LIGHT PINK (2025)</v>
      </c>
      <c r="I52" s="208">
        <f>IFERROR(__xludf.DUMMYFUNCTION("""COMPUTED_VALUE"""),46037.0)</f>
        <v>46037</v>
      </c>
      <c r="J52" s="158">
        <f>IFERROR(__xludf.DUMMYFUNCTION("""COMPUTED_VALUE"""),44.0)</f>
        <v>44</v>
      </c>
      <c r="K52" s="160" t="str">
        <f>IFERROR(__xludf.DUMMYFUNCTION("""COMPUTED_VALUE"""),"RETURNED TO SEIN 26 jan 2026")</f>
        <v>RETURNED TO SEIN 26 jan 2026</v>
      </c>
      <c r="L52" s="158" t="str">
        <f>IFERROR(__xludf.DUMMYFUNCTION("""COMPUTED_VALUE"""),"Overdue &gt; 30 days")</f>
        <v>Overdue &gt; 30 days</v>
      </c>
      <c r="M52" s="158"/>
      <c r="N52" s="158"/>
      <c r="O52" s="158"/>
      <c r="P52" s="158" t="str">
        <f>IFERROR(IF(ISNUMBER(MATCH(F52,'Step 1 Data Bank'!E:E, 0)), "On Data Bank", "Not In Data Bank"),"")</f>
        <v>Not In Data Bank</v>
      </c>
      <c r="Q52" s="158" t="str">
        <f t="array" ref="Q52">XLOOKUP(F52,'Step 1 Data Bank'!E:E,'Step 1 Data Bank'!M:M,"",0)</f>
        <v/>
      </c>
      <c r="R52" s="160" t="str">
        <f t="array" ref="R52">XLOOKUP(F52,'Step 1 Data Bank'!E:E,'Step 1 Data Bank'!N:N,"",0)</f>
        <v/>
      </c>
      <c r="S52" s="158" t="str">
        <f>IFERROR(IF(ISNUMBER(MATCH(F52,'OLD DATA'!H:H, 0)), "On OLD Data", "Not In Old Data"),"")</f>
        <v>On OLD Data</v>
      </c>
      <c r="T52" s="158" t="str">
        <f t="array" ref="T52">XLOOKUP(F52,'OLD DATA'!H:H,'OLD DATA'!I:I,"",0)</f>
        <v>WITH KOL</v>
      </c>
      <c r="U52" s="158" t="str">
        <f t="array" ref="U52">XLOOKUP(F52,'OLD DATA'!H:H,'OLD DATA'!J:J,"",0)</f>
        <v>cete</v>
      </c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</row>
    <row r="53">
      <c r="A53" s="207">
        <f>IFERROR(__xludf.DUMMYFUNCTION("""COMPUTED_VALUE"""),46023.0)</f>
        <v>46023</v>
      </c>
      <c r="B53" s="158" t="str">
        <f>IFERROR(__xludf.DUMMYFUNCTION("""COMPUTED_VALUE"""),"GOAT")</f>
        <v>GOAT</v>
      </c>
      <c r="C53" s="158" t="str">
        <f>IFERROR(__xludf.DUMMYFUNCTION("""COMPUTED_VALUE"""),"Made Intan Deyana Wirata")</f>
        <v>Made Intan Deyana Wirata</v>
      </c>
      <c r="D53" s="158" t="str">
        <f>IFERROR(__xludf.DUMMYFUNCTION("""COMPUTED_VALUE"""),"Intan")</f>
        <v>Intan</v>
      </c>
      <c r="E53" s="160" t="str">
        <f>IFERROR(__xludf.DUMMYFUNCTION("""COMPUTED_VALUE"""),"ALIA ALIFIA +62 822 9883 6303")</f>
        <v>ALIA ALIFIA +62 822 9883 6303</v>
      </c>
      <c r="F53" s="158">
        <f>IFERROR(__xludf.DUMMYFUNCTION("""COMPUTED_VALUE"""),3.57703230036582E14)</f>
        <v>357703230036582</v>
      </c>
      <c r="G53" s="158" t="str">
        <f>IFERROR(__xludf.DUMMYFUNCTION("""COMPUTED_VALUE"""),"SM-A566BZKSXID")</f>
        <v>SM-A566BZKSXID</v>
      </c>
      <c r="H53" s="160" t="str">
        <f>IFERROR(__xludf.DUMMYFUNCTION("""COMPUTED_VALUE"""),"G-A56-5G (8/128) BLACK (2025)")</f>
        <v>G-A56-5G (8/128) BLACK (2025)</v>
      </c>
      <c r="I53" s="208">
        <f>IFERROR(__xludf.DUMMYFUNCTION("""COMPUTED_VALUE"""),46037.0)</f>
        <v>46037</v>
      </c>
      <c r="J53" s="158">
        <f>IFERROR(__xludf.DUMMYFUNCTION("""COMPUTED_VALUE"""),44.0)</f>
        <v>44</v>
      </c>
      <c r="K53" s="160" t="str">
        <f>IFERROR(__xludf.DUMMYFUNCTION("""COMPUTED_VALUE"""),"On Agency/Ok")</f>
        <v>On Agency/Ok</v>
      </c>
      <c r="L53" s="158" t="str">
        <f>IFERROR(__xludf.DUMMYFUNCTION("""COMPUTED_VALUE"""),"Overdue &gt; 30 days")</f>
        <v>Overdue &gt; 30 days</v>
      </c>
      <c r="M53" s="158" t="str">
        <f>IFERROR(__xludf.DUMMYFUNCTION("""COMPUTED_VALUE"""),"G-A56-5G (8/128) BLACK (2025).jpeg")</f>
        <v>G-A56-5G (8/128) BLACK (2025).jpeg</v>
      </c>
      <c r="N53" s="158"/>
      <c r="O53" s="158"/>
      <c r="P53" s="158" t="str">
        <f>IFERROR(IF(ISNUMBER(MATCH(F53,'Step 1 Data Bank'!E:E, 0)), "On Data Bank", "Not In Data Bank"),"")</f>
        <v>On Data Bank</v>
      </c>
      <c r="Q53" s="158" t="str">
        <f t="array" ref="Q53">XLOOKUP(F53,'Step 1 Data Bank'!E:E,'Step 1 Data Bank'!M:M,"",0)</f>
        <v>AVAILABLE</v>
      </c>
      <c r="R53" s="160" t="str">
        <f t="array" ref="R53">XLOOKUP(F53,'Step 1 Data Bank'!E:E,'Step 1 Data Bank'!N:N,"",0)</f>
        <v>-</v>
      </c>
      <c r="S53" s="158" t="str">
        <f>IFERROR(IF(ISNUMBER(MATCH(F53,'OLD DATA'!H:H, 0)), "On OLD Data", "Not In Old Data"),"")</f>
        <v>On OLD Data</v>
      </c>
      <c r="T53" s="158" t="str">
        <f t="array" ref="T53">XLOOKUP(F53,'OLD DATA'!H:H,'OLD DATA'!I:I,"",0)</f>
        <v>LOCKER</v>
      </c>
      <c r="U53" s="158" t="str">
        <f t="array" ref="U53">XLOOKUP(F53,'OLD DATA'!H:H,'OLD DATA'!J:J,"",0)</f>
        <v/>
      </c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</row>
    <row r="54">
      <c r="A54" s="207">
        <f>IFERROR(__xludf.DUMMYFUNCTION("""COMPUTED_VALUE"""),46023.0)</f>
        <v>46023</v>
      </c>
      <c r="B54" s="158" t="str">
        <f>IFERROR(__xludf.DUMMYFUNCTION("""COMPUTED_VALUE"""),"GOAT")</f>
        <v>GOAT</v>
      </c>
      <c r="C54" s="158" t="str">
        <f>IFERROR(__xludf.DUMMYFUNCTION("""COMPUTED_VALUE"""),"Made Intan Deyana Wirata")</f>
        <v>Made Intan Deyana Wirata</v>
      </c>
      <c r="D54" s="158" t="str">
        <f>IFERROR(__xludf.DUMMYFUNCTION("""COMPUTED_VALUE"""),"Intan")</f>
        <v>Intan</v>
      </c>
      <c r="E54" s="160" t="str">
        <f>IFERROR(__xludf.DUMMYFUNCTION("""COMPUTED_VALUE"""),"ALIA ALIFIA +62 822 9883 6303")</f>
        <v>ALIA ALIFIA +62 822 9883 6303</v>
      </c>
      <c r="F54" s="158">
        <f>IFERROR(__xludf.DUMMYFUNCTION("""COMPUTED_VALUE"""),3.53456152037146E14)</f>
        <v>353456152037146</v>
      </c>
      <c r="G54" s="158" t="str">
        <f>IFERROR(__xludf.DUMMYFUNCTION("""COMPUTED_VALUE"""),"SM-A366BZASXID")</f>
        <v>SM-A366BZASXID</v>
      </c>
      <c r="H54" s="160" t="str">
        <f>IFERROR(__xludf.DUMMYFUNCTION("""COMPUTED_VALUE"""),"G-A36-5G (8/128) GRAY (2025)")</f>
        <v>G-A36-5G (8/128) GRAY (2025)</v>
      </c>
      <c r="I54" s="208">
        <f>IFERROR(__xludf.DUMMYFUNCTION("""COMPUTED_VALUE"""),46037.0)</f>
        <v>46037</v>
      </c>
      <c r="J54" s="158">
        <f>IFERROR(__xludf.DUMMYFUNCTION("""COMPUTED_VALUE"""),44.0)</f>
        <v>44</v>
      </c>
      <c r="K54" s="160" t="str">
        <f>IFERROR(__xludf.DUMMYFUNCTION("""COMPUTED_VALUE"""),"RETURNED TO SEIN 26 jan 2026")</f>
        <v>RETURNED TO SEIN 26 jan 2026</v>
      </c>
      <c r="L54" s="158" t="str">
        <f>IFERROR(__xludf.DUMMYFUNCTION("""COMPUTED_VALUE"""),"Overdue &gt; 30 days")</f>
        <v>Overdue &gt; 30 days</v>
      </c>
      <c r="M54" s="158"/>
      <c r="N54" s="158"/>
      <c r="O54" s="158"/>
      <c r="P54" s="158" t="str">
        <f>IFERROR(IF(ISNUMBER(MATCH(F54,'Step 1 Data Bank'!E:E, 0)), "On Data Bank", "Not In Data Bank"),"")</f>
        <v>Not In Data Bank</v>
      </c>
      <c r="Q54" s="158" t="str">
        <f t="array" ref="Q54">XLOOKUP(F54,'Step 1 Data Bank'!E:E,'Step 1 Data Bank'!M:M,"",0)</f>
        <v/>
      </c>
      <c r="R54" s="160" t="str">
        <f t="array" ref="R54">XLOOKUP(F54,'Step 1 Data Bank'!E:E,'Step 1 Data Bank'!N:N,"",0)</f>
        <v/>
      </c>
      <c r="S54" s="158" t="str">
        <f>IFERROR(IF(ISNUMBER(MATCH(F54,'OLD DATA'!H:H, 0)), "On OLD Data", "Not In Old Data"),"")</f>
        <v>On OLD Data</v>
      </c>
      <c r="T54" s="158" t="str">
        <f t="array" ref="T54">XLOOKUP(F54,'OLD DATA'!H:H,'OLD DATA'!I:I,"",0)</f>
        <v>WITH KOL</v>
      </c>
      <c r="U54" s="158" t="str">
        <f t="array" ref="U54">XLOOKUP(F54,'OLD DATA'!H:H,'OLD DATA'!J:J,"",0)</f>
        <v>Julian Murphy</v>
      </c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</row>
    <row r="55">
      <c r="A55" s="207">
        <f>IFERROR(__xludf.DUMMYFUNCTION("""COMPUTED_VALUE"""),46023.0)</f>
        <v>46023</v>
      </c>
      <c r="B55" s="158" t="str">
        <f>IFERROR(__xludf.DUMMYFUNCTION("""COMPUTED_VALUE"""),"GOAT")</f>
        <v>GOAT</v>
      </c>
      <c r="C55" s="158" t="str">
        <f>IFERROR(__xludf.DUMMYFUNCTION("""COMPUTED_VALUE"""),"Made Intan Deyana Wirata")</f>
        <v>Made Intan Deyana Wirata</v>
      </c>
      <c r="D55" s="158" t="str">
        <f>IFERROR(__xludf.DUMMYFUNCTION("""COMPUTED_VALUE"""),"Intan")</f>
        <v>Intan</v>
      </c>
      <c r="E55" s="160" t="str">
        <f>IFERROR(__xludf.DUMMYFUNCTION("""COMPUTED_VALUE"""),"CHRISYE MARGARETHA +62 8551745530")</f>
        <v>CHRISYE MARGARETHA +62 8551745530</v>
      </c>
      <c r="F55" s="158">
        <f>IFERROR(__xludf.DUMMYFUNCTION("""COMPUTED_VALUE"""),3.54922130006536E14)</f>
        <v>354922130006536</v>
      </c>
      <c r="G55" s="158" t="str">
        <f>IFERROR(__xludf.DUMMYFUNCTION("""COMPUTED_VALUE"""),"SM-S937BZSBXID")</f>
        <v>SM-S937BZSBXID</v>
      </c>
      <c r="H55" s="160" t="str">
        <f>IFERROR(__xludf.DUMMYFUNCTION("""COMPUTED_VALUE"""),"G-S25-EDGE 12/256 SILVER (2025)")</f>
        <v>G-S25-EDGE 12/256 SILVER (2025)</v>
      </c>
      <c r="I55" s="208">
        <f>IFERROR(__xludf.DUMMYFUNCTION("""COMPUTED_VALUE"""),46037.0)</f>
        <v>46037</v>
      </c>
      <c r="J55" s="158">
        <f>IFERROR(__xludf.DUMMYFUNCTION("""COMPUTED_VALUE"""),44.0)</f>
        <v>44</v>
      </c>
      <c r="K55" s="160"/>
      <c r="L55" s="158" t="str">
        <f>IFERROR(__xludf.DUMMYFUNCTION("""COMPUTED_VALUE"""),"Overdue &gt; 30 days")</f>
        <v>Overdue &gt; 30 days</v>
      </c>
      <c r="M55" s="158"/>
      <c r="N55" s="158"/>
      <c r="O55" s="158"/>
      <c r="P55" s="158" t="str">
        <f>IFERROR(IF(ISNUMBER(MATCH(F55,'Step 1 Data Bank'!E:E, 0)), "On Data Bank", "Not In Data Bank"),"")</f>
        <v>Not In Data Bank</v>
      </c>
      <c r="Q55" s="158" t="str">
        <f t="array" ref="Q55">XLOOKUP(F55,'Step 1 Data Bank'!E:E,'Step 1 Data Bank'!M:M,"",0)</f>
        <v/>
      </c>
      <c r="R55" s="160" t="str">
        <f t="array" ref="R55">XLOOKUP(F55,'Step 1 Data Bank'!E:E,'Step 1 Data Bank'!N:N,"",0)</f>
        <v/>
      </c>
      <c r="S55" s="158" t="str">
        <f>IFERROR(IF(ISNUMBER(MATCH(F55,'OLD DATA'!H:H, 0)), "On OLD Data", "Not In Old Data"),"")</f>
        <v>On OLD Data</v>
      </c>
      <c r="T55" s="158" t="str">
        <f t="array" ref="T55">XLOOKUP(F55,'OLD DATA'!H:H,'OLD DATA'!I:I,"",0)</f>
        <v>Locker Mas Reza</v>
      </c>
      <c r="U55" s="158" t="str">
        <f t="array" ref="U55">XLOOKUP(F55,'OLD DATA'!H:H,'OLD DATA'!J:J,"",0)</f>
        <v>Locker</v>
      </c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</row>
    <row r="56">
      <c r="A56" s="207">
        <f>IFERROR(__xludf.DUMMYFUNCTION("""COMPUTED_VALUE"""),46023.0)</f>
        <v>46023</v>
      </c>
      <c r="B56" s="158" t="str">
        <f>IFERROR(__xludf.DUMMYFUNCTION("""COMPUTED_VALUE"""),"GOAT")</f>
        <v>GOAT</v>
      </c>
      <c r="C56" s="158" t="str">
        <f>IFERROR(__xludf.DUMMYFUNCTION("""COMPUTED_VALUE"""),"Made Intan Deyana Wirata")</f>
        <v>Made Intan Deyana Wirata</v>
      </c>
      <c r="D56" s="158" t="str">
        <f>IFERROR(__xludf.DUMMYFUNCTION("""COMPUTED_VALUE"""),"Intan")</f>
        <v>Intan</v>
      </c>
      <c r="E56" s="160" t="str">
        <f>IFERROR(__xludf.DUMMYFUNCTION("""COMPUTED_VALUE"""),"CHRISYE MARGARETHA +62 8551745530")</f>
        <v>CHRISYE MARGARETHA +62 8551745530</v>
      </c>
      <c r="F56" s="158">
        <f>IFERROR(__xludf.DUMMYFUNCTION("""COMPUTED_VALUE"""),3.54922130008466E14)</f>
        <v>354922130008466</v>
      </c>
      <c r="G56" s="158" t="str">
        <f>IFERROR(__xludf.DUMMYFUNCTION("""COMPUTED_VALUE"""),"SM-S937BZSBXID")</f>
        <v>SM-S937BZSBXID</v>
      </c>
      <c r="H56" s="160" t="str">
        <f>IFERROR(__xludf.DUMMYFUNCTION("""COMPUTED_VALUE"""),"G-S25-EDGE 12/256 SILVER (2025)")</f>
        <v>G-S25-EDGE 12/256 SILVER (2025)</v>
      </c>
      <c r="I56" s="208">
        <f>IFERROR(__xludf.DUMMYFUNCTION("""COMPUTED_VALUE"""),46037.0)</f>
        <v>46037</v>
      </c>
      <c r="J56" s="158">
        <f>IFERROR(__xludf.DUMMYFUNCTION("""COMPUTED_VALUE"""),44.0)</f>
        <v>44</v>
      </c>
      <c r="K56" s="160"/>
      <c r="L56" s="158" t="str">
        <f>IFERROR(__xludf.DUMMYFUNCTION("""COMPUTED_VALUE"""),"Overdue &gt; 30 days")</f>
        <v>Overdue &gt; 30 days</v>
      </c>
      <c r="M56" s="158" t="str">
        <f>IFERROR(__xludf.DUMMYFUNCTION("""COMPUTED_VALUE"""),"EDGE - 8466.jpg")</f>
        <v>EDGE - 8466.jpg</v>
      </c>
      <c r="N56" s="158"/>
      <c r="O56" s="158"/>
      <c r="P56" s="158" t="str">
        <f>IFERROR(IF(ISNUMBER(MATCH(F56,'Step 1 Data Bank'!E:E, 0)), "On Data Bank", "Not In Data Bank"),"")</f>
        <v>On Data Bank</v>
      </c>
      <c r="Q56" s="158" t="str">
        <f t="array" ref="Q56">XLOOKUP(F56,'Step 1 Data Bank'!E:E,'Step 1 Data Bank'!M:M,"",0)</f>
        <v>AVAILABLE</v>
      </c>
      <c r="R56" s="160" t="str">
        <f t="array" ref="R56">XLOOKUP(F56,'Step 1 Data Bank'!E:E,'Step 1 Data Bank'!N:N,"",0)</f>
        <v>-</v>
      </c>
      <c r="S56" s="158" t="str">
        <f>IFERROR(IF(ISNUMBER(MATCH(F56,'OLD DATA'!H:H, 0)), "On OLD Data", "Not In Old Data"),"")</f>
        <v>On OLD Data</v>
      </c>
      <c r="T56" s="158" t="str">
        <f t="array" ref="T56">XLOOKUP(F56,'OLD DATA'!H:H,'OLD DATA'!I:I,"",0)</f>
        <v>WITH KOL</v>
      </c>
      <c r="U56" s="158" t="str">
        <f t="array" ref="U56">XLOOKUP(F56,'OLD DATA'!H:H,'OLD DATA'!J:J,"",0)</f>
        <v>adhinkas</v>
      </c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</row>
    <row r="57">
      <c r="A57" s="207">
        <f>IFERROR(__xludf.DUMMYFUNCTION("""COMPUTED_VALUE"""),46023.0)</f>
        <v>46023</v>
      </c>
      <c r="B57" s="158" t="str">
        <f>IFERROR(__xludf.DUMMYFUNCTION("""COMPUTED_VALUE"""),"GOAT")</f>
        <v>GOAT</v>
      </c>
      <c r="C57" s="158" t="str">
        <f>IFERROR(__xludf.DUMMYFUNCTION("""COMPUTED_VALUE"""),"Made Intan Deyana Wirata")</f>
        <v>Made Intan Deyana Wirata</v>
      </c>
      <c r="D57" s="158" t="str">
        <f>IFERROR(__xludf.DUMMYFUNCTION("""COMPUTED_VALUE"""),"Intan")</f>
        <v>Intan</v>
      </c>
      <c r="E57" s="160" t="str">
        <f>IFERROR(__xludf.DUMMYFUNCTION("""COMPUTED_VALUE"""),"CHRISYE MARGARETHA +62 8551745530")</f>
        <v>CHRISYE MARGARETHA +62 8551745530</v>
      </c>
      <c r="F57" s="158">
        <f>IFERROR(__xludf.DUMMYFUNCTION("""COMPUTED_VALUE"""),3.54922130002477E14)</f>
        <v>354922130002477</v>
      </c>
      <c r="G57" s="158" t="str">
        <f>IFERROR(__xludf.DUMMYFUNCTION("""COMPUTED_VALUE"""),"SM-S937BZKBXID")</f>
        <v>SM-S937BZKBXID</v>
      </c>
      <c r="H57" s="160" t="str">
        <f>IFERROR(__xludf.DUMMYFUNCTION("""COMPUTED_VALUE"""),"G-S25-EDGE 12/256 BLACK (2025)")</f>
        <v>G-S25-EDGE 12/256 BLACK (2025)</v>
      </c>
      <c r="I57" s="208">
        <f>IFERROR(__xludf.DUMMYFUNCTION("""COMPUTED_VALUE"""),46037.0)</f>
        <v>46037</v>
      </c>
      <c r="J57" s="158">
        <f>IFERROR(__xludf.DUMMYFUNCTION("""COMPUTED_VALUE"""),44.0)</f>
        <v>44</v>
      </c>
      <c r="K57" s="160"/>
      <c r="L57" s="158" t="str">
        <f>IFERROR(__xludf.DUMMYFUNCTION("""COMPUTED_VALUE"""),"Overdue &gt; 30 days")</f>
        <v>Overdue &gt; 30 days</v>
      </c>
      <c r="M57" s="158" t="str">
        <f>IFERROR(__xludf.DUMMYFUNCTION("""COMPUTED_VALUE"""),"EDGE - 2477.jpg")</f>
        <v>EDGE - 2477.jpg</v>
      </c>
      <c r="N57" s="158"/>
      <c r="O57" s="158"/>
      <c r="P57" s="158" t="str">
        <f>IFERROR(IF(ISNUMBER(MATCH(F57,'Step 1 Data Bank'!E:E, 0)), "On Data Bank", "Not In Data Bank"),"")</f>
        <v>On Data Bank</v>
      </c>
      <c r="Q57" s="158" t="str">
        <f t="array" ref="Q57">XLOOKUP(F57,'Step 1 Data Bank'!E:E,'Step 1 Data Bank'!M:M,"",0)</f>
        <v>AVAILABLE</v>
      </c>
      <c r="R57" s="160" t="str">
        <f t="array" ref="R57">XLOOKUP(F57,'Step 1 Data Bank'!E:E,'Step 1 Data Bank'!N:N,"",0)</f>
        <v>-</v>
      </c>
      <c r="S57" s="158" t="str">
        <f>IFERROR(IF(ISNUMBER(MATCH(F57,'OLD DATA'!H:H, 0)), "On OLD Data", "Not In Old Data"),"")</f>
        <v>Not In Old Data</v>
      </c>
      <c r="T57" s="158" t="str">
        <f t="array" ref="T57">XLOOKUP(F57,'OLD DATA'!H:H,'OLD DATA'!I:I,"",0)</f>
        <v/>
      </c>
      <c r="U57" s="158" t="str">
        <f t="array" ref="U57">XLOOKUP(F57,'OLD DATA'!H:H,'OLD DATA'!J:J,"",0)</f>
        <v/>
      </c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</row>
    <row r="58">
      <c r="A58" s="207">
        <f>IFERROR(__xludf.DUMMYFUNCTION("""COMPUTED_VALUE"""),46023.0)</f>
        <v>46023</v>
      </c>
      <c r="B58" s="158" t="str">
        <f>IFERROR(__xludf.DUMMYFUNCTION("""COMPUTED_VALUE"""),"GOAT")</f>
        <v>GOAT</v>
      </c>
      <c r="C58" s="158" t="str">
        <f>IFERROR(__xludf.DUMMYFUNCTION("""COMPUTED_VALUE"""),"Made Intan Deyana Wirata")</f>
        <v>Made Intan Deyana Wirata</v>
      </c>
      <c r="D58" s="158" t="str">
        <f>IFERROR(__xludf.DUMMYFUNCTION("""COMPUTED_VALUE"""),"Intan")</f>
        <v>Intan</v>
      </c>
      <c r="E58" s="160" t="str">
        <f>IFERROR(__xludf.DUMMYFUNCTION("""COMPUTED_VALUE"""),"CHRISYE MARGARETHA +62 8551745530")</f>
        <v>CHRISYE MARGARETHA +62 8551745530</v>
      </c>
      <c r="F58" s="158">
        <f>IFERROR(__xludf.DUMMYFUNCTION("""COMPUTED_VALUE"""),3.54922130002469E14)</f>
        <v>354922130002469</v>
      </c>
      <c r="G58" s="158" t="str">
        <f>IFERROR(__xludf.DUMMYFUNCTION("""COMPUTED_VALUE"""),"SM-S937BZKBXID")</f>
        <v>SM-S937BZKBXID</v>
      </c>
      <c r="H58" s="160" t="str">
        <f>IFERROR(__xludf.DUMMYFUNCTION("""COMPUTED_VALUE"""),"G-S25-EDGE 12/256 BLACK (2025)")</f>
        <v>G-S25-EDGE 12/256 BLACK (2025)</v>
      </c>
      <c r="I58" s="208">
        <f>IFERROR(__xludf.DUMMYFUNCTION("""COMPUTED_VALUE"""),46037.0)</f>
        <v>46037</v>
      </c>
      <c r="J58" s="158">
        <f>IFERROR(__xludf.DUMMYFUNCTION("""COMPUTED_VALUE"""),44.0)</f>
        <v>44</v>
      </c>
      <c r="K58" s="160"/>
      <c r="L58" s="158" t="str">
        <f>IFERROR(__xludf.DUMMYFUNCTION("""COMPUTED_VALUE"""),"Overdue &gt; 30 days")</f>
        <v>Overdue &gt; 30 days</v>
      </c>
      <c r="M58" s="158" t="str">
        <f>IFERROR(__xludf.DUMMYFUNCTION("""COMPUTED_VALUE"""),"EDGE - 2469.jpg")</f>
        <v>EDGE - 2469.jpg</v>
      </c>
      <c r="N58" s="158"/>
      <c r="O58" s="158"/>
      <c r="P58" s="158" t="str">
        <f>IFERROR(IF(ISNUMBER(MATCH(F58,'Step 1 Data Bank'!E:E, 0)), "On Data Bank", "Not In Data Bank"),"")</f>
        <v>On Data Bank</v>
      </c>
      <c r="Q58" s="158" t="str">
        <f t="array" ref="Q58">XLOOKUP(F58,'Step 1 Data Bank'!E:E,'Step 1 Data Bank'!M:M,"",0)</f>
        <v>AVAILABLE</v>
      </c>
      <c r="R58" s="160" t="str">
        <f t="array" ref="R58">XLOOKUP(F58,'Step 1 Data Bank'!E:E,'Step 1 Data Bank'!N:N,"",0)</f>
        <v>-</v>
      </c>
      <c r="S58" s="158" t="str">
        <f>IFERROR(IF(ISNUMBER(MATCH(F58,'OLD DATA'!H:H, 0)), "On OLD Data", "Not In Old Data"),"")</f>
        <v>On OLD Data</v>
      </c>
      <c r="T58" s="158" t="str">
        <f t="array" ref="T58">XLOOKUP(F58,'OLD DATA'!H:H,'OLD DATA'!I:I,"",0)</f>
        <v>Locker Mas Reza</v>
      </c>
      <c r="U58" s="158" t="str">
        <f t="array" ref="U58">XLOOKUP(F58,'OLD DATA'!H:H,'OLD DATA'!J:J,"",0)</f>
        <v>Locker</v>
      </c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</row>
    <row r="59">
      <c r="A59" s="207">
        <f>IFERROR(__xludf.DUMMYFUNCTION("""COMPUTED_VALUE"""),46023.0)</f>
        <v>46023</v>
      </c>
      <c r="B59" s="158" t="str">
        <f>IFERROR(__xludf.DUMMYFUNCTION("""COMPUTED_VALUE"""),"GOAT")</f>
        <v>GOAT</v>
      </c>
      <c r="C59" s="158" t="str">
        <f>IFERROR(__xludf.DUMMYFUNCTION("""COMPUTED_VALUE"""),"Made Intan Deyana Wirata")</f>
        <v>Made Intan Deyana Wirata</v>
      </c>
      <c r="D59" s="158" t="str">
        <f>IFERROR(__xludf.DUMMYFUNCTION("""COMPUTED_VALUE"""),"Intan")</f>
        <v>Intan</v>
      </c>
      <c r="E59" s="160" t="str">
        <f>IFERROR(__xludf.DUMMYFUNCTION("""COMPUTED_VALUE"""),"CHRISYE MARGARETHA +62 8551745530")</f>
        <v>CHRISYE MARGARETHA +62 8551745530</v>
      </c>
      <c r="F59" s="158">
        <f>IFERROR(__xludf.DUMMYFUNCTION("""COMPUTED_VALUE"""),3.549221300026E14)</f>
        <v>354922130002600</v>
      </c>
      <c r="G59" s="158" t="str">
        <f>IFERROR(__xludf.DUMMYFUNCTION("""COMPUTED_VALUE"""),"SM-S937BZKBXID")</f>
        <v>SM-S937BZKBXID</v>
      </c>
      <c r="H59" s="160" t="str">
        <f>IFERROR(__xludf.DUMMYFUNCTION("""COMPUTED_VALUE"""),"G-S25-EDGE 12/256 BLACK (2025)")</f>
        <v>G-S25-EDGE 12/256 BLACK (2025)</v>
      </c>
      <c r="I59" s="208">
        <f>IFERROR(__xludf.DUMMYFUNCTION("""COMPUTED_VALUE"""),46037.0)</f>
        <v>46037</v>
      </c>
      <c r="J59" s="158">
        <f>IFERROR(__xludf.DUMMYFUNCTION("""COMPUTED_VALUE"""),44.0)</f>
        <v>44</v>
      </c>
      <c r="K59" s="160"/>
      <c r="L59" s="158" t="str">
        <f>IFERROR(__xludf.DUMMYFUNCTION("""COMPUTED_VALUE"""),"Overdue &gt; 30 days")</f>
        <v>Overdue &gt; 30 days</v>
      </c>
      <c r="M59" s="158"/>
      <c r="N59" s="158"/>
      <c r="O59" s="158"/>
      <c r="P59" s="158" t="str">
        <f>IFERROR(IF(ISNUMBER(MATCH(F59,'Step 1 Data Bank'!E:E, 0)), "On Data Bank", "Not In Data Bank"),"")</f>
        <v>Not In Data Bank</v>
      </c>
      <c r="Q59" s="158" t="str">
        <f t="array" ref="Q59">XLOOKUP(F59,'Step 1 Data Bank'!E:E,'Step 1 Data Bank'!M:M,"",0)</f>
        <v/>
      </c>
      <c r="R59" s="160" t="str">
        <f t="array" ref="R59">XLOOKUP(F59,'Step 1 Data Bank'!E:E,'Step 1 Data Bank'!N:N,"",0)</f>
        <v/>
      </c>
      <c r="S59" s="158" t="str">
        <f>IFERROR(IF(ISNUMBER(MATCH(F59,'OLD DATA'!H:H, 0)), "On OLD Data", "Not In Old Data"),"")</f>
        <v>On OLD Data</v>
      </c>
      <c r="T59" s="158" t="str">
        <f t="array" ref="T59">XLOOKUP(F59,'OLD DATA'!H:H,'OLD DATA'!I:I,"",0)</f>
        <v>Locker Mas Reza</v>
      </c>
      <c r="U59" s="158" t="str">
        <f t="array" ref="U59">XLOOKUP(F59,'OLD DATA'!H:H,'OLD DATA'!J:J,"",0)</f>
        <v>Arghie Hanafi</v>
      </c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</row>
    <row r="60">
      <c r="A60" s="207">
        <f>IFERROR(__xludf.DUMMYFUNCTION("""COMPUTED_VALUE"""),46023.0)</f>
        <v>46023</v>
      </c>
      <c r="B60" s="158" t="str">
        <f>IFERROR(__xludf.DUMMYFUNCTION("""COMPUTED_VALUE"""),"GOAT")</f>
        <v>GOAT</v>
      </c>
      <c r="C60" s="158" t="str">
        <f>IFERROR(__xludf.DUMMYFUNCTION("""COMPUTED_VALUE"""),"Anggi Paramita Gianieri")</f>
        <v>Anggi Paramita Gianieri</v>
      </c>
      <c r="D60" s="158" t="str">
        <f>IFERROR(__xludf.DUMMYFUNCTION("""COMPUTED_VALUE"""),"Yaya")</f>
        <v>Yaya</v>
      </c>
      <c r="E60" s="160" t="str">
        <f>IFERROR(__xludf.DUMMYFUNCTION("""COMPUTED_VALUE"""),"FENNY MARIA +62 878-8521-3141")</f>
        <v>FENNY MARIA +62 878-8521-3141</v>
      </c>
      <c r="F60" s="158">
        <f>IFERROR(__xludf.DUMMYFUNCTION("""COMPUTED_VALUE"""),3.54312420001217E14)</f>
        <v>354312420001217</v>
      </c>
      <c r="G60" s="158" t="str">
        <f>IFERROR(__xludf.DUMMYFUNCTION("""COMPUTED_VALUE"""),"SM-F766BZKAXID")</f>
        <v>SM-F766BZKAXID</v>
      </c>
      <c r="H60" s="160" t="str">
        <f>IFERROR(__xludf.DUMMYFUNCTION("""COMPUTED_VALUE"""),"G-Z-FLIP7 256GB BLACK (2025)")</f>
        <v>G-Z-FLIP7 256GB BLACK (2025)</v>
      </c>
      <c r="I60" s="208">
        <f>IFERROR(__xludf.DUMMYFUNCTION("""COMPUTED_VALUE"""),46052.0)</f>
        <v>46052</v>
      </c>
      <c r="J60" s="158">
        <f>IFERROR(__xludf.DUMMYFUNCTION("""COMPUTED_VALUE"""),29.0)</f>
        <v>29</v>
      </c>
      <c r="K60" s="160" t="str">
        <f>IFERROR(__xludf.DUMMYFUNCTION("""COMPUTED_VALUE"""),"Di Claim Hilang")</f>
        <v>Di Claim Hilang</v>
      </c>
      <c r="L60" s="158" t="str">
        <f>IFERROR(__xludf.DUMMYFUNCTION("""COMPUTED_VALUE"""),"Overdue")</f>
        <v>Overdue</v>
      </c>
      <c r="M60" s="158"/>
      <c r="N60" s="158"/>
      <c r="O60" s="158"/>
      <c r="P60" s="158" t="str">
        <f>IFERROR(IF(ISNUMBER(MATCH(F60,'Step 1 Data Bank'!E:E, 0)), "On Data Bank", "Not In Data Bank"),"")</f>
        <v>Not In Data Bank</v>
      </c>
      <c r="Q60" s="158" t="str">
        <f t="array" ref="Q60">XLOOKUP(F60,'Step 1 Data Bank'!E:E,'Step 1 Data Bank'!M:M,"",0)</f>
        <v/>
      </c>
      <c r="R60" s="160" t="str">
        <f t="array" ref="R60">XLOOKUP(F60,'Step 1 Data Bank'!E:E,'Step 1 Data Bank'!N:N,"",0)</f>
        <v/>
      </c>
      <c r="S60" s="158" t="str">
        <f>IFERROR(IF(ISNUMBER(MATCH(F60,'OLD DATA'!H:H, 0)), "On OLD Data", "Not In Old Data"),"")</f>
        <v>Not In Old Data</v>
      </c>
      <c r="T60" s="158" t="str">
        <f t="array" ref="T60">XLOOKUP(F60,'OLD DATA'!H:H,'OLD DATA'!I:I,"",0)</f>
        <v/>
      </c>
      <c r="U60" s="158" t="str">
        <f t="array" ref="U60">XLOOKUP(F60,'OLD DATA'!H:H,'OLD DATA'!J:J,"",0)</f>
        <v/>
      </c>
      <c r="V60" s="158" t="str">
        <f>IFERROR(IF(ISNUMBER(MATCH(F60,'OLD DATA Venni'!H:H, 0)), "Find", "Not Find"),"")</f>
        <v>Not Find</v>
      </c>
      <c r="W60" s="158" t="str">
        <f t="array" ref="W60">XLOOKUP(F60,'OLD DATA Venni'!H:H,'OLD DATA Venni'!J:J,"",0)</f>
        <v/>
      </c>
      <c r="X60" s="158"/>
      <c r="Y60" s="158"/>
      <c r="Z60" s="158"/>
      <c r="AA60" s="158"/>
      <c r="AB60" s="158"/>
      <c r="AC60" s="158"/>
      <c r="AD60" s="158"/>
      <c r="AE60" s="158"/>
    </row>
    <row r="61">
      <c r="A61" s="207">
        <f>IFERROR(__xludf.DUMMYFUNCTION("""COMPUTED_VALUE"""),46023.0)</f>
        <v>46023</v>
      </c>
      <c r="B61" s="158" t="str">
        <f>IFERROR(__xludf.DUMMYFUNCTION("""COMPUTED_VALUE"""),"GOAT")</f>
        <v>GOAT</v>
      </c>
      <c r="C61" s="158" t="str">
        <f>IFERROR(__xludf.DUMMYFUNCTION("""COMPUTED_VALUE"""),"Anggi Paramita Gianieri")</f>
        <v>Anggi Paramita Gianieri</v>
      </c>
      <c r="D61" s="158" t="str">
        <f>IFERROR(__xludf.DUMMYFUNCTION("""COMPUTED_VALUE"""),"Yaya")</f>
        <v>Yaya</v>
      </c>
      <c r="E61" s="160" t="str">
        <f>IFERROR(__xludf.DUMMYFUNCTION("""COMPUTED_VALUE"""),"FENNY MARIA +62 878-8521-3141")</f>
        <v>FENNY MARIA +62 878-8521-3141</v>
      </c>
      <c r="F61" s="158">
        <f>IFERROR(__xludf.DUMMYFUNCTION("""COMPUTED_VALUE"""),3.54312420001001E14)</f>
        <v>354312420001001</v>
      </c>
      <c r="G61" s="158" t="str">
        <f>IFERROR(__xludf.DUMMYFUNCTION("""COMPUTED_VALUE"""),"SM-F766BZKAXID")</f>
        <v>SM-F766BZKAXID</v>
      </c>
      <c r="H61" s="160" t="str">
        <f>IFERROR(__xludf.DUMMYFUNCTION("""COMPUTED_VALUE"""),"G-Z-FLIP7 256GB BLACK (2025)")</f>
        <v>G-Z-FLIP7 256GB BLACK (2025)</v>
      </c>
      <c r="I61" s="208">
        <f>IFERROR(__xludf.DUMMYFUNCTION("""COMPUTED_VALUE"""),46052.0)</f>
        <v>46052</v>
      </c>
      <c r="J61" s="158">
        <f>IFERROR(__xludf.DUMMYFUNCTION("""COMPUTED_VALUE"""),29.0)</f>
        <v>29</v>
      </c>
      <c r="K61" s="160" t="str">
        <f>IFERROR(__xludf.DUMMYFUNCTION("""COMPUTED_VALUE"""),"Di Claim Hilang")</f>
        <v>Di Claim Hilang</v>
      </c>
      <c r="L61" s="158" t="str">
        <f>IFERROR(__xludf.DUMMYFUNCTION("""COMPUTED_VALUE"""),"Overdue")</f>
        <v>Overdue</v>
      </c>
      <c r="M61" s="158"/>
      <c r="N61" s="158"/>
      <c r="O61" s="158"/>
      <c r="P61" s="158" t="str">
        <f>IFERROR(IF(ISNUMBER(MATCH(F61,'Step 1 Data Bank'!E:E, 0)), "On Data Bank", "Not In Data Bank"),"")</f>
        <v>Not In Data Bank</v>
      </c>
      <c r="Q61" s="158" t="str">
        <f t="array" ref="Q61">XLOOKUP(F61,'Step 1 Data Bank'!E:E,'Step 1 Data Bank'!M:M,"",0)</f>
        <v/>
      </c>
      <c r="R61" s="160" t="str">
        <f t="array" ref="R61">XLOOKUP(F61,'Step 1 Data Bank'!E:E,'Step 1 Data Bank'!N:N,"",0)</f>
        <v/>
      </c>
      <c r="S61" s="158" t="str">
        <f>IFERROR(IF(ISNUMBER(MATCH(F61,'OLD DATA'!H:H, 0)), "On OLD Data", "Not In Old Data"),"")</f>
        <v>Not In Old Data</v>
      </c>
      <c r="T61" s="158" t="str">
        <f t="array" ref="T61">XLOOKUP(F61,'OLD DATA'!H:H,'OLD DATA'!I:I,"",0)</f>
        <v/>
      </c>
      <c r="U61" s="158" t="str">
        <f t="array" ref="U61">XLOOKUP(F61,'OLD DATA'!H:H,'OLD DATA'!J:J,"",0)</f>
        <v/>
      </c>
      <c r="V61" s="158" t="str">
        <f>IFERROR(IF(ISNUMBER(MATCH(F61,'OLD DATA Venni'!H:H, 0)), "Find", "Not Find"),"")</f>
        <v>Not Find</v>
      </c>
      <c r="W61" s="158" t="str">
        <f t="array" ref="W61">XLOOKUP(F61,'OLD DATA Venni'!H:H,'OLD DATA Venni'!J:J,"",0)</f>
        <v/>
      </c>
      <c r="X61" s="158"/>
      <c r="Y61" s="158"/>
      <c r="Z61" s="158"/>
      <c r="AA61" s="158"/>
      <c r="AB61" s="158"/>
      <c r="AC61" s="158"/>
      <c r="AD61" s="158"/>
      <c r="AE61" s="158"/>
    </row>
    <row r="62">
      <c r="A62" s="207">
        <f>IFERROR(__xludf.DUMMYFUNCTION("""COMPUTED_VALUE"""),46023.0)</f>
        <v>46023</v>
      </c>
      <c r="B62" s="158" t="str">
        <f>IFERROR(__xludf.DUMMYFUNCTION("""COMPUTED_VALUE"""),"GOAT")</f>
        <v>GOAT</v>
      </c>
      <c r="C62" s="158" t="str">
        <f>IFERROR(__xludf.DUMMYFUNCTION("""COMPUTED_VALUE"""),"Anggi Paramita Gianieri")</f>
        <v>Anggi Paramita Gianieri</v>
      </c>
      <c r="D62" s="158" t="str">
        <f>IFERROR(__xludf.DUMMYFUNCTION("""COMPUTED_VALUE"""),"Cindana")</f>
        <v>Cindana</v>
      </c>
      <c r="E62" s="160" t="str">
        <f>IFERROR(__xludf.DUMMYFUNCTION("""COMPUTED_VALUE"""),"ALIYA DWI RACHMADINA +62 813-8875-2830")</f>
        <v>ALIYA DWI RACHMADINA +62 813-8875-2830</v>
      </c>
      <c r="F62" s="158">
        <f>IFERROR(__xludf.DUMMYFUNCTION("""COMPUTED_VALUE"""),3.51298320074946E14)</f>
        <v>351298320074946</v>
      </c>
      <c r="G62" s="158" t="str">
        <f>IFERROR(__xludf.DUMMYFUNCTION("""COMPUTED_VALUE"""),"SM-S731BDBCXID")</f>
        <v>SM-S731BDBCXID</v>
      </c>
      <c r="H62" s="160" t="str">
        <f>IFERROR(__xludf.DUMMYFUNCTION("""COMPUTED_VALUE"""),"G-S25-FE, 8/256GB, DARK BLUE (2025)")</f>
        <v>G-S25-FE, 8/256GB, DARK BLUE (2025)</v>
      </c>
      <c r="I62" s="208">
        <f>IFERROR(__xludf.DUMMYFUNCTION("""COMPUTED_VALUE"""),46052.0)</f>
        <v>46052</v>
      </c>
      <c r="J62" s="158">
        <f>IFERROR(__xludf.DUMMYFUNCTION("""COMPUTED_VALUE"""),29.0)</f>
        <v>29</v>
      </c>
      <c r="K62" s="160" t="str">
        <f>IFERROR(__xludf.DUMMYFUNCTION("""COMPUTED_VALUE"""),"20-Jan: Cindana confirmed Lost")</f>
        <v>20-Jan: Cindana confirmed Lost</v>
      </c>
      <c r="L62" s="158" t="str">
        <f>IFERROR(__xludf.DUMMYFUNCTION("""COMPUTED_VALUE"""),"Lost")</f>
        <v>Lost</v>
      </c>
      <c r="M62" s="158"/>
      <c r="N62" s="158"/>
      <c r="O62" s="158"/>
      <c r="P62" s="158" t="str">
        <f>IF(ISNUMBER(MATCH(F62,'Step 1 Data Bank'!E:E, 0)), "On Data Bank", "Not In Data Bank")</f>
        <v>Not In Data Bank</v>
      </c>
      <c r="Q62" s="158" t="str">
        <f t="array" ref="Q62">XLOOKUP(F62,'Step 1 Data Bank'!E:E,'Step 1 Data Bank'!M:M,"",0)</f>
        <v/>
      </c>
      <c r="R62" s="158"/>
      <c r="S62" s="158" t="str">
        <f>IF(ISNUMBER(MATCH(F62,'Step 1 Data Bank'!E:E, 0)), "On OLD Data", "Not In Old Data")</f>
        <v>Not In Old Data</v>
      </c>
      <c r="T62" s="158" t="str">
        <f t="array" ref="T62">XLOOKUP(F62,'OLD DATA'!H:H,'OLD DATA'!I:I,"",0)</f>
        <v>LOCKER</v>
      </c>
      <c r="U62" s="158" t="str">
        <f t="array" ref="U62">XLOOKUP(F62,'OLD DATA'!H:H,'OLD DATA'!J:J,"",0)</f>
        <v>Jakselepruv (Andreas Prasetya)</v>
      </c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</row>
    <row r="63">
      <c r="A63" s="207">
        <f>IFERROR(__xludf.DUMMYFUNCTION("""COMPUTED_VALUE"""),46054.0)</f>
        <v>46054</v>
      </c>
      <c r="B63" s="158" t="str">
        <f>IFERROR(__xludf.DUMMYFUNCTION("""COMPUTED_VALUE"""),"GOAT")</f>
        <v>GOAT</v>
      </c>
      <c r="C63" s="158" t="str">
        <f>IFERROR(__xludf.DUMMYFUNCTION("""COMPUTED_VALUE"""),"Made Intan Deyana Wirata")</f>
        <v>Made Intan Deyana Wirata</v>
      </c>
      <c r="D63" s="158" t="str">
        <f>IFERROR(__xludf.DUMMYFUNCTION("""COMPUTED_VALUE"""),"Akbari")</f>
        <v>Akbari</v>
      </c>
      <c r="E63" s="160" t="str">
        <f>IFERROR(__xludf.DUMMYFUNCTION("""COMPUTED_VALUE"""),"ASTERIXA ABIGAIL +62 821-1397-6882")</f>
        <v>ASTERIXA ABIGAIL +62 821-1397-6882</v>
      </c>
      <c r="F63" s="158">
        <f>IFERROR(__xludf.DUMMYFUNCTION("""COMPUTED_VALUE"""),3.52673730001193E14)</f>
        <v>352673730001193</v>
      </c>
      <c r="G63" s="158" t="str">
        <f>IFERROR(__xludf.DUMMYFUNCTION("""COMPUTED_VALUE"""),"SM-X236BZAAXID")</f>
        <v>SM-X236BZAAXID</v>
      </c>
      <c r="H63" s="160" t="str">
        <f>IFERROR(__xludf.DUMMYFUNCTION("""COMPUTED_VALUE"""),"G-TAB-A11+ LTE (6/128) GRAY (2025)")</f>
        <v>G-TAB-A11+ LTE (6/128) GRAY (2025)</v>
      </c>
      <c r="I63" s="208">
        <f>IFERROR(__xludf.DUMMYFUNCTION("""COMPUTED_VALUE"""),46081.0)</f>
        <v>46081</v>
      </c>
      <c r="J63" s="158">
        <f>IFERROR(__xludf.DUMMYFUNCTION("""COMPUTED_VALUE"""),0.0)</f>
        <v>0</v>
      </c>
      <c r="K63" s="160"/>
      <c r="L63" s="158" t="str">
        <f>IFERROR(__xludf.DUMMYFUNCTION("""COMPUTED_VALUE"""),"Due within 14 days")</f>
        <v>Due within 14 days</v>
      </c>
      <c r="M63" s="158"/>
      <c r="N63" s="158"/>
      <c r="O63" s="158"/>
      <c r="P63" s="158" t="str">
        <f>IFERROR(IF(ISNUMBER(MATCH(F63,'Step 1 Data Bank'!E:E, 0)), "On Data Bank", "Not In Data Bank"),"")</f>
        <v>Not In Data Bank</v>
      </c>
      <c r="Q63" s="158" t="str">
        <f t="array" ref="Q63">XLOOKUP(F63,'Step 1 Data Bank'!E:E,'Step 1 Data Bank'!M:M,"",0)</f>
        <v/>
      </c>
      <c r="R63" s="160" t="str">
        <f t="array" ref="R63">XLOOKUP(F63,'Step 1 Data Bank'!E:E,'Step 1 Data Bank'!N:N,"",0)</f>
        <v/>
      </c>
      <c r="S63" s="158" t="str">
        <f>IFERROR(IF(ISNUMBER(MATCH(F63,'OLD DATA'!H:H, 0)), "On OLD Data", "Not In Old Data"),"")</f>
        <v>Not In Old Data</v>
      </c>
      <c r="T63" s="158" t="str">
        <f t="array" ref="T63">XLOOKUP(F63,'OLD DATA'!H:H,'OLD DATA'!I:I,"",0)</f>
        <v/>
      </c>
      <c r="U63" s="158" t="str">
        <f t="array" ref="U63">XLOOKUP(F63,'OLD DATA'!H:H,'OLD DATA'!J:J,"",0)</f>
        <v/>
      </c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</row>
    <row r="64">
      <c r="A64" s="207">
        <f>IFERROR(__xludf.DUMMYFUNCTION("""COMPUTED_VALUE"""),46054.0)</f>
        <v>46054</v>
      </c>
      <c r="B64" s="158" t="str">
        <f>IFERROR(__xludf.DUMMYFUNCTION("""COMPUTED_VALUE"""),"GOAT")</f>
        <v>GOAT</v>
      </c>
      <c r="C64" s="158" t="str">
        <f>IFERROR(__xludf.DUMMYFUNCTION("""COMPUTED_VALUE"""),"Made Intan Deyana Wirata")</f>
        <v>Made Intan Deyana Wirata</v>
      </c>
      <c r="D64" s="158" t="str">
        <f>IFERROR(__xludf.DUMMYFUNCTION("""COMPUTED_VALUE"""),"Akbari")</f>
        <v>Akbari</v>
      </c>
      <c r="E64" s="160" t="str">
        <f>IFERROR(__xludf.DUMMYFUNCTION("""COMPUTED_VALUE"""),"ASTERIXA ABIGAIL +62 821-1397-6882")</f>
        <v>ASTERIXA ABIGAIL +62 821-1397-6882</v>
      </c>
      <c r="F64" s="158">
        <f>IFERROR(__xludf.DUMMYFUNCTION("""COMPUTED_VALUE"""),3.52673730003215E14)</f>
        <v>352673730003215</v>
      </c>
      <c r="G64" s="158" t="str">
        <f>IFERROR(__xludf.DUMMYFUNCTION("""COMPUTED_VALUE"""),"SM-X236BZAAXID")</f>
        <v>SM-X236BZAAXID</v>
      </c>
      <c r="H64" s="160" t="str">
        <f>IFERROR(__xludf.DUMMYFUNCTION("""COMPUTED_VALUE"""),"G-TAB-A11+ LTE (6/128) GRAY (2025)")</f>
        <v>G-TAB-A11+ LTE (6/128) GRAY (2025)</v>
      </c>
      <c r="I64" s="208">
        <f>IFERROR(__xludf.DUMMYFUNCTION("""COMPUTED_VALUE"""),46081.0)</f>
        <v>46081</v>
      </c>
      <c r="J64" s="158">
        <f>IFERROR(__xludf.DUMMYFUNCTION("""COMPUTED_VALUE"""),0.0)</f>
        <v>0</v>
      </c>
      <c r="K64" s="160" t="str">
        <f>IFERROR(__xludf.DUMMYFUNCTION("""COMPUTED_VALUE"""),"On Agency/Ok")</f>
        <v>On Agency/Ok</v>
      </c>
      <c r="L64" s="158" t="str">
        <f>IFERROR(__xludf.DUMMYFUNCTION("""COMPUTED_VALUE"""),"Due within 14 days")</f>
        <v>Due within 14 days</v>
      </c>
      <c r="M64" s="158" t="str">
        <f>IFERROR(__xludf.DUMMYFUNCTION("""COMPUTED_VALUE"""),"3215.jpg")</f>
        <v>3215.jpg</v>
      </c>
      <c r="N64" s="158"/>
      <c r="O64" s="158"/>
      <c r="P64" s="158" t="str">
        <f>IFERROR(IF(ISNUMBER(MATCH(F64,'Step 1 Data Bank'!E:E, 0)), "On Data Bank", "Not In Data Bank"),"")</f>
        <v>On Data Bank</v>
      </c>
      <c r="Q64" s="158" t="str">
        <f t="array" ref="Q64">XLOOKUP(F64,'Step 1 Data Bank'!E:E,'Step 1 Data Bank'!M:M,"",0)</f>
        <v>AVAILABLE</v>
      </c>
      <c r="R64" s="160" t="str">
        <f t="array" ref="R64">XLOOKUP(F64,'Step 1 Data Bank'!E:E,'Step 1 Data Bank'!N:N,"",0)</f>
        <v>-</v>
      </c>
      <c r="S64" s="158" t="str">
        <f>IFERROR(IF(ISNUMBER(MATCH(F64,'OLD DATA'!H:H, 0)), "On OLD Data", "Not In Old Data"),"")</f>
        <v>Not In Old Data</v>
      </c>
      <c r="T64" s="158" t="str">
        <f t="array" ref="T64">XLOOKUP(F64,'OLD DATA'!H:H,'OLD DATA'!I:I,"",0)</f>
        <v/>
      </c>
      <c r="U64" s="158" t="str">
        <f t="array" ref="U64">XLOOKUP(F64,'OLD DATA'!H:H,'OLD DATA'!J:J,"",0)</f>
        <v/>
      </c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</row>
    <row r="65">
      <c r="A65" s="207">
        <f>IFERROR(__xludf.DUMMYFUNCTION("""COMPUTED_VALUE"""),46054.0)</f>
        <v>46054</v>
      </c>
      <c r="B65" s="158" t="str">
        <f>IFERROR(__xludf.DUMMYFUNCTION("""COMPUTED_VALUE"""),"GOAT")</f>
        <v>GOAT</v>
      </c>
      <c r="C65" s="158" t="str">
        <f>IFERROR(__xludf.DUMMYFUNCTION("""COMPUTED_VALUE"""),"Made Intan Deyana Wirata")</f>
        <v>Made Intan Deyana Wirata</v>
      </c>
      <c r="D65" s="158" t="str">
        <f>IFERROR(__xludf.DUMMYFUNCTION("""COMPUTED_VALUE"""),"Akbari")</f>
        <v>Akbari</v>
      </c>
      <c r="E65" s="160" t="str">
        <f>IFERROR(__xludf.DUMMYFUNCTION("""COMPUTED_VALUE"""),"ASTERIXA ABIGAIL +62 821-1397-6882")</f>
        <v>ASTERIXA ABIGAIL +62 821-1397-6882</v>
      </c>
      <c r="F65" s="158">
        <f>IFERROR(__xludf.DUMMYFUNCTION("""COMPUTED_VALUE"""),3.52673730001235E14)</f>
        <v>352673730001235</v>
      </c>
      <c r="G65" s="158" t="str">
        <f>IFERROR(__xludf.DUMMYFUNCTION("""COMPUTED_VALUE"""),"SM-X236BZAAXID")</f>
        <v>SM-X236BZAAXID</v>
      </c>
      <c r="H65" s="160" t="str">
        <f>IFERROR(__xludf.DUMMYFUNCTION("""COMPUTED_VALUE"""),"G-TAB-A11+ LTE (6/128) GRAY (2025)")</f>
        <v>G-TAB-A11+ LTE (6/128) GRAY (2025)</v>
      </c>
      <c r="I65" s="208">
        <f>IFERROR(__xludf.DUMMYFUNCTION("""COMPUTED_VALUE"""),46081.0)</f>
        <v>46081</v>
      </c>
      <c r="J65" s="158">
        <f>IFERROR(__xludf.DUMMYFUNCTION("""COMPUTED_VALUE"""),0.0)</f>
        <v>0</v>
      </c>
      <c r="K65" s="160" t="str">
        <f>IFERROR(__xludf.DUMMYFUNCTION("""COMPUTED_VALUE"""),"On Agency/Ok")</f>
        <v>On Agency/Ok</v>
      </c>
      <c r="L65" s="158" t="str">
        <f>IFERROR(__xludf.DUMMYFUNCTION("""COMPUTED_VALUE"""),"Due within 14 days")</f>
        <v>Due within 14 days</v>
      </c>
      <c r="M65" s="158" t="str">
        <f>IFERROR(__xludf.DUMMYFUNCTION("""COMPUTED_VALUE"""),"1235.jpg")</f>
        <v>1235.jpg</v>
      </c>
      <c r="N65" s="158"/>
      <c r="O65" s="158"/>
      <c r="P65" s="158" t="str">
        <f>IFERROR(IF(ISNUMBER(MATCH(F65,'Step 1 Data Bank'!E:E, 0)), "On Data Bank", "Not In Data Bank"),"")</f>
        <v>On Data Bank</v>
      </c>
      <c r="Q65" s="158" t="str">
        <f t="array" ref="Q65">XLOOKUP(F65,'Step 1 Data Bank'!E:E,'Step 1 Data Bank'!M:M,"",0)</f>
        <v>AVAILABLE</v>
      </c>
      <c r="R65" s="160" t="str">
        <f t="array" ref="R65">XLOOKUP(F65,'Step 1 Data Bank'!E:E,'Step 1 Data Bank'!N:N,"",0)</f>
        <v>-</v>
      </c>
      <c r="S65" s="158" t="str">
        <f>IFERROR(IF(ISNUMBER(MATCH(F65,'OLD DATA'!H:H, 0)), "On OLD Data", "Not In Old Data"),"")</f>
        <v>Not In Old Data</v>
      </c>
      <c r="T65" s="158" t="str">
        <f t="array" ref="T65">XLOOKUP(F65,'OLD DATA'!H:H,'OLD DATA'!I:I,"",0)</f>
        <v/>
      </c>
      <c r="U65" s="158" t="str">
        <f t="array" ref="U65">XLOOKUP(F65,'OLD DATA'!H:H,'OLD DATA'!J:J,"",0)</f>
        <v/>
      </c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</row>
    <row r="66">
      <c r="A66" s="207">
        <f>IFERROR(__xludf.DUMMYFUNCTION("""COMPUTED_VALUE"""),46054.0)</f>
        <v>46054</v>
      </c>
      <c r="B66" s="158" t="str">
        <f>IFERROR(__xludf.DUMMYFUNCTION("""COMPUTED_VALUE"""),"GOAT")</f>
        <v>GOAT</v>
      </c>
      <c r="C66" s="158" t="str">
        <f>IFERROR(__xludf.DUMMYFUNCTION("""COMPUTED_VALUE"""),"Made Intan Deyana Wirata")</f>
        <v>Made Intan Deyana Wirata</v>
      </c>
      <c r="D66" s="158" t="str">
        <f>IFERROR(__xludf.DUMMYFUNCTION("""COMPUTED_VALUE"""),"Akbari")</f>
        <v>Akbari</v>
      </c>
      <c r="E66" s="160" t="str">
        <f>IFERROR(__xludf.DUMMYFUNCTION("""COMPUTED_VALUE"""),"ASTERIXA ABIGAIL +62 821-1397-6882")</f>
        <v>ASTERIXA ABIGAIL +62 821-1397-6882</v>
      </c>
      <c r="F66" s="158">
        <f>IFERROR(__xludf.DUMMYFUNCTION("""COMPUTED_VALUE"""),3.52673730001573E14)</f>
        <v>352673730001573</v>
      </c>
      <c r="G66" s="158" t="str">
        <f>IFERROR(__xludf.DUMMYFUNCTION("""COMPUTED_VALUE"""),"SM-X236BZAAXID")</f>
        <v>SM-X236BZAAXID</v>
      </c>
      <c r="H66" s="160" t="str">
        <f>IFERROR(__xludf.DUMMYFUNCTION("""COMPUTED_VALUE"""),"G-TAB-A11+ LTE (6/128) GRAY (2025)")</f>
        <v>G-TAB-A11+ LTE (6/128) GRAY (2025)</v>
      </c>
      <c r="I66" s="208">
        <f>IFERROR(__xludf.DUMMYFUNCTION("""COMPUTED_VALUE"""),46081.0)</f>
        <v>46081</v>
      </c>
      <c r="J66" s="158">
        <f>IFERROR(__xludf.DUMMYFUNCTION("""COMPUTED_VALUE"""),0.0)</f>
        <v>0</v>
      </c>
      <c r="K66" s="160" t="str">
        <f>IFERROR(__xludf.DUMMYFUNCTION("""COMPUTED_VALUE"""),"On Agency/Ok")</f>
        <v>On Agency/Ok</v>
      </c>
      <c r="L66" s="158" t="str">
        <f>IFERROR(__xludf.DUMMYFUNCTION("""COMPUTED_VALUE"""),"Due within 14 days")</f>
        <v>Due within 14 days</v>
      </c>
      <c r="M66" s="158" t="str">
        <f>IFERROR(__xludf.DUMMYFUNCTION("""COMPUTED_VALUE"""),"1573.jpg")</f>
        <v>1573.jpg</v>
      </c>
      <c r="N66" s="158"/>
      <c r="O66" s="158"/>
      <c r="P66" s="158" t="str">
        <f>IFERROR(IF(ISNUMBER(MATCH(F66,'Step 1 Data Bank'!E:E, 0)), "On Data Bank", "Not In Data Bank"),"")</f>
        <v>On Data Bank</v>
      </c>
      <c r="Q66" s="158" t="str">
        <f t="array" ref="Q66">XLOOKUP(F66,'Step 1 Data Bank'!E:E,'Step 1 Data Bank'!M:M,"",0)</f>
        <v>AVAILABLE</v>
      </c>
      <c r="R66" s="160" t="str">
        <f t="array" ref="R66">XLOOKUP(F66,'Step 1 Data Bank'!E:E,'Step 1 Data Bank'!N:N,"",0)</f>
        <v>-</v>
      </c>
      <c r="S66" s="158" t="str">
        <f>IFERROR(IF(ISNUMBER(MATCH(F66,'OLD DATA'!H:H, 0)), "On OLD Data", "Not In Old Data"),"")</f>
        <v>Not In Old Data</v>
      </c>
      <c r="T66" s="158" t="str">
        <f t="array" ref="T66">XLOOKUP(F66,'OLD DATA'!H:H,'OLD DATA'!I:I,"",0)</f>
        <v/>
      </c>
      <c r="U66" s="158" t="str">
        <f t="array" ref="U66">XLOOKUP(F66,'OLD DATA'!H:H,'OLD DATA'!J:J,"",0)</f>
        <v/>
      </c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</row>
    <row r="67">
      <c r="A67" s="207">
        <f>IFERROR(__xludf.DUMMYFUNCTION("""COMPUTED_VALUE"""),46082.0)</f>
        <v>46082</v>
      </c>
      <c r="B67" s="158" t="str">
        <f>IFERROR(__xludf.DUMMYFUNCTION("""COMPUTED_VALUE"""),"GOAT")</f>
        <v>GOAT</v>
      </c>
      <c r="C67" s="158" t="str">
        <f>IFERROR(__xludf.DUMMYFUNCTION("""COMPUTED_VALUE"""),"Anggi Paramita Gianieri")</f>
        <v>Anggi Paramita Gianieri</v>
      </c>
      <c r="D67" s="158" t="str">
        <f>IFERROR(__xludf.DUMMYFUNCTION("""COMPUTED_VALUE"""),"Cindana")</f>
        <v>Cindana</v>
      </c>
      <c r="E67" s="160" t="str">
        <f>IFERROR(__xludf.DUMMYFUNCTION("""COMPUTED_VALUE"""),"TASHYA FEBRIANI +62 812-9933-3295")</f>
        <v>TASHYA FEBRIANI +62 812-9933-3295</v>
      </c>
      <c r="F67" s="158">
        <f>IFERROR(__xludf.DUMMYFUNCTION("""COMPUTED_VALUE"""),3.54222650220389E14)</f>
        <v>354222650220389</v>
      </c>
      <c r="G67" s="158" t="str">
        <f>IFERROR(__xludf.DUMMYFUNCTION("""COMPUTED_VALUE"""),"S-SM-S938B/DS")</f>
        <v>S-SM-S938B/DS</v>
      </c>
      <c r="H67" s="160" t="str">
        <f>IFERROR(__xludf.DUMMYFUNCTION("""COMPUTED_VALUE"""),"S25 ULTRA (2025)")</f>
        <v>S25 ULTRA (2025)</v>
      </c>
      <c r="I67" s="208">
        <f>IFERROR(__xludf.DUMMYFUNCTION("""COMPUTED_VALUE"""),46106.0)</f>
        <v>46106</v>
      </c>
      <c r="J67" s="158">
        <f>IFERROR(__xludf.DUMMYFUNCTION("""COMPUTED_VALUE"""),-25.0)</f>
        <v>-25</v>
      </c>
      <c r="K67" s="160"/>
      <c r="L67" s="158" t="str">
        <f>IFERROR(__xludf.DUMMYFUNCTION("""COMPUTED_VALUE"""),"Not Overdue")</f>
        <v>Not Overdue</v>
      </c>
      <c r="M67" s="158"/>
      <c r="N67" s="158"/>
      <c r="O67" s="158"/>
      <c r="P67" s="158" t="str">
        <f>IFERROR(IF(ISNUMBER(MATCH(F67,'Step 1 Data Bank'!E:E, 0)), "On Data Bank", "Not In Data Bank"),"")</f>
        <v>Not In Data Bank</v>
      </c>
      <c r="Q67" s="158" t="str">
        <f t="array" ref="Q67">XLOOKUP(F67,'Step 1 Data Bank'!E:E,'Step 1 Data Bank'!M:M,"",0)</f>
        <v/>
      </c>
      <c r="R67" s="160" t="str">
        <f t="array" ref="R67">XLOOKUP(F67,'Step 1 Data Bank'!E:E,'Step 1 Data Bank'!N:N,"",0)</f>
        <v/>
      </c>
      <c r="S67" s="158" t="str">
        <f>IFERROR(IF(ISNUMBER(MATCH(F67,'OLD DATA'!H:H, 0)), "On OLD Data", "Not In Old Data"),"")</f>
        <v>On OLD Data</v>
      </c>
      <c r="T67" s="158" t="str">
        <f t="array" ref="T67">XLOOKUP(F67,'OLD DATA'!H:H,'OLD DATA'!I:I,"",0)</f>
        <v>LOCKER</v>
      </c>
      <c r="U67" s="158" t="str">
        <f t="array" ref="U67">XLOOKUP(F67,'OLD DATA'!H:H,'OLD DATA'!J:J,"",0)</f>
        <v/>
      </c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</row>
    <row r="68">
      <c r="A68" s="207">
        <f>IFERROR(__xludf.DUMMYFUNCTION("""COMPUTED_VALUE"""),46082.0)</f>
        <v>46082</v>
      </c>
      <c r="B68" s="158" t="str">
        <f>IFERROR(__xludf.DUMMYFUNCTION("""COMPUTED_VALUE"""),"GOAT")</f>
        <v>GOAT</v>
      </c>
      <c r="C68" s="158" t="str">
        <f>IFERROR(__xludf.DUMMYFUNCTION("""COMPUTED_VALUE"""),"Anggi Paramita Gianieri")</f>
        <v>Anggi Paramita Gianieri</v>
      </c>
      <c r="D68" s="158" t="str">
        <f>IFERROR(__xludf.DUMMYFUNCTION("""COMPUTED_VALUE"""),"Cindana")</f>
        <v>Cindana</v>
      </c>
      <c r="E68" s="160" t="str">
        <f>IFERROR(__xludf.DUMMYFUNCTION("""COMPUTED_VALUE"""),"TASHYA FEBRIANI +62 812-9933-3295")</f>
        <v>TASHYA FEBRIANI +62 812-9933-3295</v>
      </c>
      <c r="F68" s="158">
        <f>IFERROR(__xludf.DUMMYFUNCTION("""COMPUTED_VALUE"""),3.54222650226717E14)</f>
        <v>354222650226717</v>
      </c>
      <c r="G68" s="158" t="str">
        <f>IFERROR(__xludf.DUMMYFUNCTION("""COMPUTED_VALUE"""),"S-SM-S938B/DS")</f>
        <v>S-SM-S938B/DS</v>
      </c>
      <c r="H68" s="160" t="str">
        <f>IFERROR(__xludf.DUMMYFUNCTION("""COMPUTED_VALUE"""),"S25 ULTRA (2025)")</f>
        <v>S25 ULTRA (2025)</v>
      </c>
      <c r="I68" s="208">
        <f>IFERROR(__xludf.DUMMYFUNCTION("""COMPUTED_VALUE"""),46106.0)</f>
        <v>46106</v>
      </c>
      <c r="J68" s="158">
        <f>IFERROR(__xludf.DUMMYFUNCTION("""COMPUTED_VALUE"""),-25.0)</f>
        <v>-25</v>
      </c>
      <c r="K68" s="160"/>
      <c r="L68" s="158" t="str">
        <f>IFERROR(__xludf.DUMMYFUNCTION("""COMPUTED_VALUE"""),"Not Overdue")</f>
        <v>Not Overdue</v>
      </c>
      <c r="M68" s="158"/>
      <c r="N68" s="158"/>
      <c r="O68" s="158"/>
      <c r="P68" s="158" t="str">
        <f>IFERROR(IF(ISNUMBER(MATCH(F68,'Step 1 Data Bank'!E:E, 0)), "On Data Bank", "Not In Data Bank"),"")</f>
        <v>Not In Data Bank</v>
      </c>
      <c r="Q68" s="158" t="str">
        <f t="array" ref="Q68">XLOOKUP(F68,'Step 1 Data Bank'!E:E,'Step 1 Data Bank'!M:M,"",0)</f>
        <v/>
      </c>
      <c r="R68" s="160" t="str">
        <f t="array" ref="R68">XLOOKUP(F68,'Step 1 Data Bank'!E:E,'Step 1 Data Bank'!N:N,"",0)</f>
        <v/>
      </c>
      <c r="S68" s="158" t="str">
        <f>IFERROR(IF(ISNUMBER(MATCH(F68,'OLD DATA'!H:H, 0)), "On OLD Data", "Not In Old Data"),"")</f>
        <v>On OLD Data</v>
      </c>
      <c r="T68" s="158" t="str">
        <f t="array" ref="T68">XLOOKUP(F68,'OLD DATA'!H:H,'OLD DATA'!I:I,"",0)</f>
        <v>LOCKER</v>
      </c>
      <c r="U68" s="158" t="str">
        <f t="array" ref="U68">XLOOKUP(F68,'OLD DATA'!H:H,'OLD DATA'!J:J,"",0)</f>
        <v>Ferry Ferdiansyah</v>
      </c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</row>
    <row r="69">
      <c r="A69" s="207">
        <f>IFERROR(__xludf.DUMMYFUNCTION("""COMPUTED_VALUE"""),46082.0)</f>
        <v>46082</v>
      </c>
      <c r="B69" s="158" t="str">
        <f>IFERROR(__xludf.DUMMYFUNCTION("""COMPUTED_VALUE"""),"GOAT")</f>
        <v>GOAT</v>
      </c>
      <c r="C69" s="158" t="str">
        <f>IFERROR(__xludf.DUMMYFUNCTION("""COMPUTED_VALUE"""),"Anggi Paramita Gianieri")</f>
        <v>Anggi Paramita Gianieri</v>
      </c>
      <c r="D69" s="158" t="str">
        <f>IFERROR(__xludf.DUMMYFUNCTION("""COMPUTED_VALUE"""),"Cindana")</f>
        <v>Cindana</v>
      </c>
      <c r="E69" s="160" t="str">
        <f>IFERROR(__xludf.DUMMYFUNCTION("""COMPUTED_VALUE"""),"TASHYA FEBRIANI +62 812-9933-3295")</f>
        <v>TASHYA FEBRIANI +62 812-9933-3295</v>
      </c>
      <c r="F69" s="158">
        <f>IFERROR(__xludf.DUMMYFUNCTION("""COMPUTED_VALUE"""),3.54222650220728E14)</f>
        <v>354222650220728</v>
      </c>
      <c r="G69" s="158" t="str">
        <f>IFERROR(__xludf.DUMMYFUNCTION("""COMPUTED_VALUE"""),"S-SM-S938B/DS")</f>
        <v>S-SM-S938B/DS</v>
      </c>
      <c r="H69" s="160" t="str">
        <f>IFERROR(__xludf.DUMMYFUNCTION("""COMPUTED_VALUE"""),"S25 ULTRA (2025)")</f>
        <v>S25 ULTRA (2025)</v>
      </c>
      <c r="I69" s="208">
        <f>IFERROR(__xludf.DUMMYFUNCTION("""COMPUTED_VALUE"""),46106.0)</f>
        <v>46106</v>
      </c>
      <c r="J69" s="158">
        <f>IFERROR(__xludf.DUMMYFUNCTION("""COMPUTED_VALUE"""),-25.0)</f>
        <v>-25</v>
      </c>
      <c r="K69" s="160"/>
      <c r="L69" s="158" t="str">
        <f>IFERROR(__xludf.DUMMYFUNCTION("""COMPUTED_VALUE"""),"Not Overdue")</f>
        <v>Not Overdue</v>
      </c>
      <c r="M69" s="158"/>
      <c r="N69" s="158"/>
      <c r="O69" s="158"/>
      <c r="P69" s="158" t="str">
        <f>IFERROR(IF(ISNUMBER(MATCH(F69,'Step 1 Data Bank'!E:E, 0)), "On Data Bank", "Not In Data Bank"),"")</f>
        <v>Not In Data Bank</v>
      </c>
      <c r="Q69" s="158" t="str">
        <f t="array" ref="Q69">XLOOKUP(F69,'Step 1 Data Bank'!E:E,'Step 1 Data Bank'!M:M,"",0)</f>
        <v/>
      </c>
      <c r="R69" s="160" t="str">
        <f t="array" ref="R69">XLOOKUP(F69,'Step 1 Data Bank'!E:E,'Step 1 Data Bank'!N:N,"",0)</f>
        <v/>
      </c>
      <c r="S69" s="158" t="str">
        <f>IFERROR(IF(ISNUMBER(MATCH(F69,'OLD DATA'!H:H, 0)), "On OLD Data", "Not In Old Data"),"")</f>
        <v>On OLD Data</v>
      </c>
      <c r="T69" s="158" t="str">
        <f t="array" ref="T69">XLOOKUP(F69,'OLD DATA'!H:H,'OLD DATA'!I:I,"",0)</f>
        <v/>
      </c>
      <c r="U69" s="158" t="str">
        <f t="array" ref="U69">XLOOKUP(F69,'OLD DATA'!H:H,'OLD DATA'!J:J,"",0)</f>
        <v/>
      </c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</row>
    <row r="70">
      <c r="A70" s="207">
        <f>IFERROR(__xludf.DUMMYFUNCTION("""COMPUTED_VALUE"""),46082.0)</f>
        <v>46082</v>
      </c>
      <c r="B70" s="158" t="str">
        <f>IFERROR(__xludf.DUMMYFUNCTION("""COMPUTED_VALUE"""),"GOAT")</f>
        <v>GOAT</v>
      </c>
      <c r="C70" s="158" t="str">
        <f>IFERROR(__xludf.DUMMYFUNCTION("""COMPUTED_VALUE"""),"Anggi Paramita Gianieri")</f>
        <v>Anggi Paramita Gianieri</v>
      </c>
      <c r="D70" s="158" t="str">
        <f>IFERROR(__xludf.DUMMYFUNCTION("""COMPUTED_VALUE"""),"Cindana")</f>
        <v>Cindana</v>
      </c>
      <c r="E70" s="160" t="str">
        <f>IFERROR(__xludf.DUMMYFUNCTION("""COMPUTED_VALUE"""),"TASHYA FEBRIANI +62 812-9933-3295")</f>
        <v>TASHYA FEBRIANI +62 812-9933-3295</v>
      </c>
      <c r="F70" s="158">
        <f>IFERROR(__xludf.DUMMYFUNCTION("""COMPUTED_VALUE"""),3.54222650217146E14)</f>
        <v>354222650217146</v>
      </c>
      <c r="G70" s="158" t="str">
        <f>IFERROR(__xludf.DUMMYFUNCTION("""COMPUTED_VALUE"""),"S-SM-S938B/DS")</f>
        <v>S-SM-S938B/DS</v>
      </c>
      <c r="H70" s="160" t="str">
        <f>IFERROR(__xludf.DUMMYFUNCTION("""COMPUTED_VALUE"""),"S25 ULTRA (2025)")</f>
        <v>S25 ULTRA (2025)</v>
      </c>
      <c r="I70" s="208">
        <f>IFERROR(__xludf.DUMMYFUNCTION("""COMPUTED_VALUE"""),46106.0)</f>
        <v>46106</v>
      </c>
      <c r="J70" s="158">
        <f>IFERROR(__xludf.DUMMYFUNCTION("""COMPUTED_VALUE"""),-25.0)</f>
        <v>-25</v>
      </c>
      <c r="K70" s="160"/>
      <c r="L70" s="158" t="str">
        <f>IFERROR(__xludf.DUMMYFUNCTION("""COMPUTED_VALUE"""),"Not Overdue")</f>
        <v>Not Overdue</v>
      </c>
      <c r="M70" s="158"/>
      <c r="N70" s="158"/>
      <c r="O70" s="158"/>
      <c r="P70" s="158" t="str">
        <f>IFERROR(IF(ISNUMBER(MATCH(F70,'Step 1 Data Bank'!E:E, 0)), "On Data Bank", "Not In Data Bank"),"")</f>
        <v>Not In Data Bank</v>
      </c>
      <c r="Q70" s="158" t="str">
        <f t="array" ref="Q70">XLOOKUP(F70,'Step 1 Data Bank'!E:E,'Step 1 Data Bank'!M:M,"",0)</f>
        <v/>
      </c>
      <c r="R70" s="160" t="str">
        <f t="array" ref="R70">XLOOKUP(F70,'Step 1 Data Bank'!E:E,'Step 1 Data Bank'!N:N,"",0)</f>
        <v/>
      </c>
      <c r="S70" s="158" t="str">
        <f>IFERROR(IF(ISNUMBER(MATCH(F70,'OLD DATA'!H:H, 0)), "On OLD Data", "Not In Old Data"),"")</f>
        <v>On OLD Data</v>
      </c>
      <c r="T70" s="158" t="str">
        <f t="array" ref="T70">XLOOKUP(F70,'OLD DATA'!H:H,'OLD DATA'!I:I,"",0)</f>
        <v/>
      </c>
      <c r="U70" s="158" t="str">
        <f t="array" ref="U70">XLOOKUP(F70,'OLD DATA'!H:H,'OLD DATA'!J:J,"",0)</f>
        <v>Dico Ricardo</v>
      </c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</row>
    <row r="71">
      <c r="A71" s="207">
        <f>IFERROR(__xludf.DUMMYFUNCTION("""COMPUTED_VALUE"""),46082.0)</f>
        <v>46082</v>
      </c>
      <c r="B71" s="158" t="str">
        <f>IFERROR(__xludf.DUMMYFUNCTION("""COMPUTED_VALUE"""),"GOAT")</f>
        <v>GOAT</v>
      </c>
      <c r="C71" s="158" t="str">
        <f>IFERROR(__xludf.DUMMYFUNCTION("""COMPUTED_VALUE"""),"Anggi Paramita Gianieri")</f>
        <v>Anggi Paramita Gianieri</v>
      </c>
      <c r="D71" s="158" t="str">
        <f>IFERROR(__xludf.DUMMYFUNCTION("""COMPUTED_VALUE"""),"Cindana")</f>
        <v>Cindana</v>
      </c>
      <c r="E71" s="160" t="str">
        <f>IFERROR(__xludf.DUMMYFUNCTION("""COMPUTED_VALUE"""),"TASHYA FEBRIANI +62 812-9933-3295")</f>
        <v>TASHYA FEBRIANI +62 812-9933-3295</v>
      </c>
      <c r="F71" s="158">
        <f>IFERROR(__xludf.DUMMYFUNCTION("""COMPUTED_VALUE"""),3.54222650220652E14)</f>
        <v>354222650220652</v>
      </c>
      <c r="G71" s="158" t="str">
        <f>IFERROR(__xludf.DUMMYFUNCTION("""COMPUTED_VALUE"""),"S-SM-S938B/DS")</f>
        <v>S-SM-S938B/DS</v>
      </c>
      <c r="H71" s="160" t="str">
        <f>IFERROR(__xludf.DUMMYFUNCTION("""COMPUTED_VALUE"""),"S25 ULTRA (2025)")</f>
        <v>S25 ULTRA (2025)</v>
      </c>
      <c r="I71" s="208">
        <f>IFERROR(__xludf.DUMMYFUNCTION("""COMPUTED_VALUE"""),46106.0)</f>
        <v>46106</v>
      </c>
      <c r="J71" s="158">
        <f>IFERROR(__xludf.DUMMYFUNCTION("""COMPUTED_VALUE"""),-25.0)</f>
        <v>-25</v>
      </c>
      <c r="K71" s="160"/>
      <c r="L71" s="158" t="str">
        <f>IFERROR(__xludf.DUMMYFUNCTION("""COMPUTED_VALUE"""),"Not Overdue")</f>
        <v>Not Overdue</v>
      </c>
      <c r="M71" s="158"/>
      <c r="N71" s="158"/>
      <c r="O71" s="158"/>
      <c r="P71" s="158" t="str">
        <f>IFERROR(IF(ISNUMBER(MATCH(F71,'Step 1 Data Bank'!E:E, 0)), "On Data Bank", "Not In Data Bank"),"")</f>
        <v>Not In Data Bank</v>
      </c>
      <c r="Q71" s="158" t="str">
        <f t="array" ref="Q71">XLOOKUP(F71,'Step 1 Data Bank'!E:E,'Step 1 Data Bank'!M:M,"",0)</f>
        <v/>
      </c>
      <c r="R71" s="160" t="str">
        <f t="array" ref="R71">XLOOKUP(F71,'Step 1 Data Bank'!E:E,'Step 1 Data Bank'!N:N,"",0)</f>
        <v/>
      </c>
      <c r="S71" s="158" t="str">
        <f>IFERROR(IF(ISNUMBER(MATCH(F71,'OLD DATA'!H:H, 0)), "On OLD Data", "Not In Old Data"),"")</f>
        <v>On OLD Data</v>
      </c>
      <c r="T71" s="158" t="str">
        <f t="array" ref="T71">XLOOKUP(F71,'OLD DATA'!H:H,'OLD DATA'!I:I,"",0)</f>
        <v>WITH KOL</v>
      </c>
      <c r="U71" s="158" t="str">
        <f t="array" ref="U71">XLOOKUP(F71,'OLD DATA'!H:H,'OLD DATA'!J:J,"",0)</f>
        <v>BRYAN DOMANI</v>
      </c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</row>
    <row r="72">
      <c r="A72" s="207">
        <f>IFERROR(__xludf.DUMMYFUNCTION("""COMPUTED_VALUE"""),46082.0)</f>
        <v>46082</v>
      </c>
      <c r="B72" s="158" t="str">
        <f>IFERROR(__xludf.DUMMYFUNCTION("""COMPUTED_VALUE"""),"GOAT")</f>
        <v>GOAT</v>
      </c>
      <c r="C72" s="158" t="str">
        <f>IFERROR(__xludf.DUMMYFUNCTION("""COMPUTED_VALUE"""),"Anggi Paramita Gianieri")</f>
        <v>Anggi Paramita Gianieri</v>
      </c>
      <c r="D72" s="158" t="str">
        <f>IFERROR(__xludf.DUMMYFUNCTION("""COMPUTED_VALUE"""),"Cindana")</f>
        <v>Cindana</v>
      </c>
      <c r="E72" s="160" t="str">
        <f>IFERROR(__xludf.DUMMYFUNCTION("""COMPUTED_VALUE"""),"TASHYA FEBRIANI +62 812-9933-3295")</f>
        <v>TASHYA FEBRIANI +62 812-9933-3295</v>
      </c>
      <c r="F72" s="158">
        <f>IFERROR(__xludf.DUMMYFUNCTION("""COMPUTED_VALUE"""),3.54166470023624E14)</f>
        <v>354166470023624</v>
      </c>
      <c r="G72" s="158" t="str">
        <f>IFERROR(__xludf.DUMMYFUNCTION("""COMPUTED_VALUE"""),"SM-S936BDBBXID")</f>
        <v>SM-S936BDBBXID</v>
      </c>
      <c r="H72" s="160" t="str">
        <f>IFERROR(__xludf.DUMMYFUNCTION("""COMPUTED_VALUE"""),"G-S25+ (256GB) DARK BLUE (2025)")</f>
        <v>G-S25+ (256GB) DARK BLUE (2025)</v>
      </c>
      <c r="I72" s="208">
        <f>IFERROR(__xludf.DUMMYFUNCTION("""COMPUTED_VALUE"""),46106.0)</f>
        <v>46106</v>
      </c>
      <c r="J72" s="158">
        <f>IFERROR(__xludf.DUMMYFUNCTION("""COMPUTED_VALUE"""),-25.0)</f>
        <v>-25</v>
      </c>
      <c r="K72" s="160"/>
      <c r="L72" s="158" t="str">
        <f>IFERROR(__xludf.DUMMYFUNCTION("""COMPUTED_VALUE"""),"Not Overdue")</f>
        <v>Not Overdue</v>
      </c>
      <c r="M72" s="158"/>
      <c r="N72" s="158"/>
      <c r="O72" s="158"/>
      <c r="P72" s="158" t="str">
        <f>IFERROR(IF(ISNUMBER(MATCH(F72,'Step 1 Data Bank'!E:E, 0)), "On Data Bank", "Not In Data Bank"),"")</f>
        <v>On Data Bank</v>
      </c>
      <c r="Q72" s="158" t="str">
        <f t="array" ref="Q72">XLOOKUP(F72,'Step 1 Data Bank'!E:E,'Step 1 Data Bank'!M:M,"",0)</f>
        <v>AVAILABLE</v>
      </c>
      <c r="R72" s="160" t="str">
        <f t="array" ref="R72">XLOOKUP(F72,'Step 1 Data Bank'!E:E,'Step 1 Data Bank'!N:N,"",0)</f>
        <v>-</v>
      </c>
      <c r="S72" s="158" t="str">
        <f>IFERROR(IF(ISNUMBER(MATCH(F72,'OLD DATA'!H:H, 0)), "On OLD Data", "Not In Old Data"),"")</f>
        <v>On OLD Data</v>
      </c>
      <c r="T72" s="158" t="str">
        <f t="array" ref="T72">XLOOKUP(F72,'OLD DATA'!H:H,'OLD DATA'!I:I,"",0)</f>
        <v>LOCKER</v>
      </c>
      <c r="U72" s="158" t="str">
        <f t="array" ref="U72">XLOOKUP(F72,'OLD DATA'!H:H,'OLD DATA'!J:J,"",0)</f>
        <v/>
      </c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</row>
    <row r="73">
      <c r="A73" s="207">
        <f>IFERROR(__xludf.DUMMYFUNCTION("""COMPUTED_VALUE"""),46082.0)</f>
        <v>46082</v>
      </c>
      <c r="B73" s="158" t="str">
        <f>IFERROR(__xludf.DUMMYFUNCTION("""COMPUTED_VALUE"""),"GOAT")</f>
        <v>GOAT</v>
      </c>
      <c r="C73" s="158" t="str">
        <f>IFERROR(__xludf.DUMMYFUNCTION("""COMPUTED_VALUE"""),"Anggi Paramita Gianieri")</f>
        <v>Anggi Paramita Gianieri</v>
      </c>
      <c r="D73" s="158" t="str">
        <f>IFERROR(__xludf.DUMMYFUNCTION("""COMPUTED_VALUE"""),"Cindana")</f>
        <v>Cindana</v>
      </c>
      <c r="E73" s="160" t="str">
        <f>IFERROR(__xludf.DUMMYFUNCTION("""COMPUTED_VALUE"""),"TASHYA FEBRIANI +62 812-9933-3295")</f>
        <v>TASHYA FEBRIANI +62 812-9933-3295</v>
      </c>
      <c r="F73" s="158">
        <f>IFERROR(__xludf.DUMMYFUNCTION("""COMPUTED_VALUE"""),3.54222650221585E14)</f>
        <v>354222650221585</v>
      </c>
      <c r="G73" s="158" t="str">
        <f>IFERROR(__xludf.DUMMYFUNCTION("""COMPUTED_VALUE"""),"S-SM-S938B/DS")</f>
        <v>S-SM-S938B/DS</v>
      </c>
      <c r="H73" s="160" t="str">
        <f>IFERROR(__xludf.DUMMYFUNCTION("""COMPUTED_VALUE"""),"S25 ULTRA (2025)")</f>
        <v>S25 ULTRA (2025)</v>
      </c>
      <c r="I73" s="208">
        <f>IFERROR(__xludf.DUMMYFUNCTION("""COMPUTED_VALUE"""),46106.0)</f>
        <v>46106</v>
      </c>
      <c r="J73" s="158">
        <f>IFERROR(__xludf.DUMMYFUNCTION("""COMPUTED_VALUE"""),-25.0)</f>
        <v>-25</v>
      </c>
      <c r="K73" s="160"/>
      <c r="L73" s="158" t="str">
        <f>IFERROR(__xludf.DUMMYFUNCTION("""COMPUTED_VALUE"""),"Not Overdue")</f>
        <v>Not Overdue</v>
      </c>
      <c r="M73" s="158"/>
      <c r="N73" s="158"/>
      <c r="O73" s="158"/>
      <c r="P73" s="158" t="str">
        <f>IFERROR(IF(ISNUMBER(MATCH(F73,'Step 1 Data Bank'!E:E, 0)), "On Data Bank", "Not In Data Bank"),"")</f>
        <v>Not In Data Bank</v>
      </c>
      <c r="Q73" s="158" t="str">
        <f t="array" ref="Q73">XLOOKUP(F73,'Step 1 Data Bank'!E:E,'Step 1 Data Bank'!M:M,"",0)</f>
        <v/>
      </c>
      <c r="R73" s="160" t="str">
        <f t="array" ref="R73">XLOOKUP(F73,'Step 1 Data Bank'!E:E,'Step 1 Data Bank'!N:N,"",0)</f>
        <v/>
      </c>
      <c r="S73" s="158" t="str">
        <f>IFERROR(IF(ISNUMBER(MATCH(F73,'OLD DATA'!H:H, 0)), "On OLD Data", "Not In Old Data"),"")</f>
        <v>On OLD Data</v>
      </c>
      <c r="T73" s="158" t="str">
        <f t="array" ref="T73">XLOOKUP(F73,'OLD DATA'!H:H,'OLD DATA'!I:I,"",0)</f>
        <v>LOCKER</v>
      </c>
      <c r="U73" s="158" t="str">
        <f t="array" ref="U73">XLOOKUP(F73,'OLD DATA'!H:H,'OLD DATA'!J:J,"",0)</f>
        <v/>
      </c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</row>
    <row r="74">
      <c r="A74" s="207">
        <f>IFERROR(__xludf.DUMMYFUNCTION("""COMPUTED_VALUE"""),46082.0)</f>
        <v>46082</v>
      </c>
      <c r="B74" s="158" t="str">
        <f>IFERROR(__xludf.DUMMYFUNCTION("""COMPUTED_VALUE"""),"GOAT")</f>
        <v>GOAT</v>
      </c>
      <c r="C74" s="158" t="str">
        <f>IFERROR(__xludf.DUMMYFUNCTION("""COMPUTED_VALUE"""),"Anggi Paramita Gianieri")</f>
        <v>Anggi Paramita Gianieri</v>
      </c>
      <c r="D74" s="158" t="str">
        <f>IFERROR(__xludf.DUMMYFUNCTION("""COMPUTED_VALUE"""),"Cindana")</f>
        <v>Cindana</v>
      </c>
      <c r="E74" s="160" t="str">
        <f>IFERROR(__xludf.DUMMYFUNCTION("""COMPUTED_VALUE"""),"TASHYA FEBRIANI +62 812-9933-3295")</f>
        <v>TASHYA FEBRIANI +62 812-9933-3295</v>
      </c>
      <c r="F74" s="158">
        <f>IFERROR(__xludf.DUMMYFUNCTION("""COMPUTED_VALUE"""),3.54222650226691E14)</f>
        <v>354222650226691</v>
      </c>
      <c r="G74" s="158" t="str">
        <f>IFERROR(__xludf.DUMMYFUNCTION("""COMPUTED_VALUE"""),"S-SM-S938B/DS")</f>
        <v>S-SM-S938B/DS</v>
      </c>
      <c r="H74" s="160" t="str">
        <f>IFERROR(__xludf.DUMMYFUNCTION("""COMPUTED_VALUE"""),"S25 ULTRA (2025)")</f>
        <v>S25 ULTRA (2025)</v>
      </c>
      <c r="I74" s="208">
        <f>IFERROR(__xludf.DUMMYFUNCTION("""COMPUTED_VALUE"""),46106.0)</f>
        <v>46106</v>
      </c>
      <c r="J74" s="158">
        <f>IFERROR(__xludf.DUMMYFUNCTION("""COMPUTED_VALUE"""),-25.0)</f>
        <v>-25</v>
      </c>
      <c r="K74" s="160"/>
      <c r="L74" s="158" t="str">
        <f>IFERROR(__xludf.DUMMYFUNCTION("""COMPUTED_VALUE"""),"Not Overdue")</f>
        <v>Not Overdue</v>
      </c>
      <c r="M74" s="158"/>
      <c r="N74" s="158"/>
      <c r="O74" s="158"/>
      <c r="P74" s="158" t="str">
        <f>IFERROR(IF(ISNUMBER(MATCH(F74,'Step 1 Data Bank'!E:E, 0)), "On Data Bank", "Not In Data Bank"),"")</f>
        <v>Not In Data Bank</v>
      </c>
      <c r="Q74" s="158" t="str">
        <f t="array" ref="Q74">XLOOKUP(F74,'Step 1 Data Bank'!E:E,'Step 1 Data Bank'!M:M,"",0)</f>
        <v/>
      </c>
      <c r="R74" s="160" t="str">
        <f t="array" ref="R74">XLOOKUP(F74,'Step 1 Data Bank'!E:E,'Step 1 Data Bank'!N:N,"",0)</f>
        <v/>
      </c>
      <c r="S74" s="158" t="str">
        <f>IFERROR(IF(ISNUMBER(MATCH(F74,'OLD DATA'!H:H, 0)), "On OLD Data", "Not In Old Data"),"")</f>
        <v>On OLD Data</v>
      </c>
      <c r="T74" s="158" t="str">
        <f t="array" ref="T74">XLOOKUP(F74,'OLD DATA'!H:H,'OLD DATA'!I:I,"",0)</f>
        <v/>
      </c>
      <c r="U74" s="158" t="str">
        <f t="array" ref="U74">XLOOKUP(F74,'OLD DATA'!H:H,'OLD DATA'!J:J,"",0)</f>
        <v>Coach Zeys</v>
      </c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</row>
    <row r="75">
      <c r="A75" s="207">
        <f>IFERROR(__xludf.DUMMYFUNCTION("""COMPUTED_VALUE"""),46082.0)</f>
        <v>46082</v>
      </c>
      <c r="B75" s="158" t="str">
        <f>IFERROR(__xludf.DUMMYFUNCTION("""COMPUTED_VALUE"""),"GOAT")</f>
        <v>GOAT</v>
      </c>
      <c r="C75" s="158" t="str">
        <f>IFERROR(__xludf.DUMMYFUNCTION("""COMPUTED_VALUE"""),"Anggi Paramita Gianieri")</f>
        <v>Anggi Paramita Gianieri</v>
      </c>
      <c r="D75" s="158" t="str">
        <f>IFERROR(__xludf.DUMMYFUNCTION("""COMPUTED_VALUE"""),"Cindana")</f>
        <v>Cindana</v>
      </c>
      <c r="E75" s="160" t="str">
        <f>IFERROR(__xludf.DUMMYFUNCTION("""COMPUTED_VALUE"""),"TASHYA FEBRIANI +62 812-9933-3295")</f>
        <v>TASHYA FEBRIANI +62 812-9933-3295</v>
      </c>
      <c r="F75" s="158">
        <f>IFERROR(__xludf.DUMMYFUNCTION("""COMPUTED_VALUE"""),3.54222650226204E14)</f>
        <v>354222650226204</v>
      </c>
      <c r="G75" s="158" t="str">
        <f>IFERROR(__xludf.DUMMYFUNCTION("""COMPUTED_VALUE"""),"S-SM-S938B/DS")</f>
        <v>S-SM-S938B/DS</v>
      </c>
      <c r="H75" s="160" t="str">
        <f>IFERROR(__xludf.DUMMYFUNCTION("""COMPUTED_VALUE"""),"S25 ULTRA (2025)")</f>
        <v>S25 ULTRA (2025)</v>
      </c>
      <c r="I75" s="208">
        <f>IFERROR(__xludf.DUMMYFUNCTION("""COMPUTED_VALUE"""),46106.0)</f>
        <v>46106</v>
      </c>
      <c r="J75" s="158">
        <f>IFERROR(__xludf.DUMMYFUNCTION("""COMPUTED_VALUE"""),-25.0)</f>
        <v>-25</v>
      </c>
      <c r="K75" s="160"/>
      <c r="L75" s="158" t="str">
        <f>IFERROR(__xludf.DUMMYFUNCTION("""COMPUTED_VALUE"""),"on")</f>
        <v>on</v>
      </c>
      <c r="M75" s="158"/>
      <c r="N75" s="158"/>
      <c r="O75" s="158"/>
      <c r="P75" s="158" t="str">
        <f>IFERROR(IF(ISNUMBER(MATCH(F75,'Step 1 Data Bank'!E:E, 0)), "On Data Bank", "Not In Data Bank"),"")</f>
        <v>Not In Data Bank</v>
      </c>
      <c r="Q75" s="158" t="str">
        <f t="array" ref="Q75">XLOOKUP(F75,'Step 1 Data Bank'!E:E,'Step 1 Data Bank'!M:M,"",0)</f>
        <v/>
      </c>
      <c r="R75" s="160" t="str">
        <f t="array" ref="R75">XLOOKUP(F75,'Step 1 Data Bank'!E:E,'Step 1 Data Bank'!N:N,"",0)</f>
        <v/>
      </c>
      <c r="S75" s="158" t="str">
        <f>IFERROR(IF(ISNUMBER(MATCH(F75,'OLD DATA'!H:H, 0)), "On OLD Data", "Not In Old Data"),"")</f>
        <v>On OLD Data</v>
      </c>
      <c r="T75" s="158" t="str">
        <f t="array" ref="T75">XLOOKUP(F75,'OLD DATA'!H:H,'OLD DATA'!I:I,"",0)</f>
        <v/>
      </c>
      <c r="U75" s="158" t="str">
        <f t="array" ref="U75">XLOOKUP(F75,'OLD DATA'!H:H,'OLD DATA'!J:J,"",0)</f>
        <v/>
      </c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</row>
    <row r="76">
      <c r="A76" s="158"/>
      <c r="B76" s="158"/>
      <c r="C76" s="158"/>
      <c r="D76" s="158"/>
      <c r="E76" s="160"/>
      <c r="F76" s="158"/>
      <c r="G76" s="158"/>
      <c r="H76" s="160"/>
      <c r="I76" s="158"/>
      <c r="J76" s="158"/>
      <c r="K76" s="160"/>
      <c r="L76" s="158"/>
      <c r="M76" s="158"/>
      <c r="N76" s="158"/>
      <c r="O76" s="158"/>
      <c r="P76" s="158" t="str">
        <f>IFERROR(IF(ISNUMBER(MATCH(F76,'Step 1 Data Bank'!E:E, 0)), "On Data Bank", "Not In Data Bank"),"")</f>
        <v>Not In Data Bank</v>
      </c>
      <c r="Q76" s="158" t="str">
        <f t="array" ref="Q76">XLOOKUP(F76,'Step 1 Data Bank'!E:E,'Step 1 Data Bank'!M:M,"",0)</f>
        <v/>
      </c>
      <c r="R76" s="160" t="str">
        <f t="array" ref="R76">XLOOKUP(F76,'Step 1 Data Bank'!E:E,'Step 1 Data Bank'!N:N,"",0)</f>
        <v/>
      </c>
      <c r="S76" s="158" t="str">
        <f>IFERROR(IF(ISNUMBER(MATCH(F76,'OLD DATA'!H:H, 0)), "On OLD Data", "Not In Old Data"),"")</f>
        <v>Not In Old Data</v>
      </c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</row>
    <row r="77">
      <c r="A77" s="158"/>
      <c r="B77" s="158"/>
      <c r="C77" s="158"/>
      <c r="D77" s="158"/>
      <c r="E77" s="160"/>
      <c r="F77" s="158"/>
      <c r="G77" s="158"/>
      <c r="H77" s="160"/>
      <c r="I77" s="158"/>
      <c r="J77" s="158"/>
      <c r="K77" s="160"/>
      <c r="L77" s="158"/>
      <c r="M77" s="158"/>
      <c r="N77" s="158"/>
      <c r="O77" s="158"/>
      <c r="P77" s="158" t="str">
        <f>IFERROR(IF(ISNUMBER(MATCH(F77,'Step 1 Data Bank'!E:E, 0)), "On Data Bank", "Not In Data Bank"),"")</f>
        <v>Not In Data Bank</v>
      </c>
      <c r="Q77" s="158" t="str">
        <f t="array" ref="Q77">XLOOKUP(F77,'Step 1 Data Bank'!E:E,'Step 1 Data Bank'!M:M,"",0)</f>
        <v/>
      </c>
      <c r="R77" s="160" t="str">
        <f t="array" ref="R77">XLOOKUP(F77,'Step 1 Data Bank'!E:E,'Step 1 Data Bank'!N:N,"",0)</f>
        <v/>
      </c>
      <c r="S77" s="158" t="str">
        <f>IFERROR(IF(ISNUMBER(MATCH(F77,'OLD DATA'!H:H, 0)), "On OLD Data", "Not In Old Data"),"")</f>
        <v>Not In Old Data</v>
      </c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</row>
    <row r="78">
      <c r="A78" s="158"/>
      <c r="B78" s="158"/>
      <c r="C78" s="158"/>
      <c r="D78" s="158"/>
      <c r="E78" s="160"/>
      <c r="F78" s="158"/>
      <c r="G78" s="158"/>
      <c r="H78" s="160"/>
      <c r="I78" s="158"/>
      <c r="J78" s="158"/>
      <c r="K78" s="160"/>
      <c r="L78" s="158"/>
      <c r="M78" s="158"/>
      <c r="N78" s="158"/>
      <c r="O78" s="158"/>
      <c r="P78" s="158" t="str">
        <f>IFERROR(IF(ISNUMBER(MATCH(F78,'Step 1 Data Bank'!E:E, 0)), "On Data Bank", "Not In Data Bank"),"")</f>
        <v>Not In Data Bank</v>
      </c>
      <c r="Q78" s="158" t="str">
        <f t="array" ref="Q78">XLOOKUP(F78,'Step 1 Data Bank'!E:E,'Step 1 Data Bank'!M:M,"",0)</f>
        <v/>
      </c>
      <c r="R78" s="160" t="str">
        <f t="array" ref="R78">XLOOKUP(F78,'Step 1 Data Bank'!E:E,'Step 1 Data Bank'!N:N,"",0)</f>
        <v/>
      </c>
      <c r="S78" s="158" t="str">
        <f>IFERROR(IF(ISNUMBER(MATCH(F78,'OLD DATA'!H:H, 0)), "On OLD Data", "Not In Old Data"),"")</f>
        <v>Not In Old Data</v>
      </c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</row>
    <row r="79">
      <c r="A79" s="158"/>
      <c r="B79" s="158"/>
      <c r="C79" s="158"/>
      <c r="D79" s="158"/>
      <c r="E79" s="160"/>
      <c r="F79" s="158"/>
      <c r="G79" s="158"/>
      <c r="H79" s="160"/>
      <c r="I79" s="158"/>
      <c r="J79" s="158"/>
      <c r="K79" s="160"/>
      <c r="L79" s="158"/>
      <c r="M79" s="158"/>
      <c r="N79" s="158"/>
      <c r="O79" s="158"/>
      <c r="P79" s="158" t="str">
        <f>IF(ISNUMBER(MATCH(F79,'Step 1 Data Bank'!E:E, 0)), "On Data Bank", "Not In Data Bank")</f>
        <v>Not In Data Bank</v>
      </c>
      <c r="Q79" s="158" t="str">
        <f t="array" ref="Q79">XLOOKUP(F79,'Step 1 Data Bank'!E:E,'Step 1 Data Bank'!M:M,"",0)</f>
        <v/>
      </c>
      <c r="R79" s="160" t="str">
        <f t="array" ref="R79">XLOOKUP(F79,'Step 1 Data Bank'!E:E,'Step 1 Data Bank'!N:N,"",0)</f>
        <v/>
      </c>
      <c r="S79" s="158" t="str">
        <f>IFERROR(IF(ISNUMBER(MATCH(F79,'OLD DATA'!H:H, 0)), "On OLD Data", "Not In Old Data"),"")</f>
        <v>Not In Old Data</v>
      </c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</row>
    <row r="80">
      <c r="A80" s="158"/>
      <c r="B80" s="158"/>
      <c r="C80" s="158"/>
      <c r="D80" s="158"/>
      <c r="E80" s="160"/>
      <c r="F80" s="158"/>
      <c r="G80" s="158"/>
      <c r="H80" s="160"/>
      <c r="I80" s="158"/>
      <c r="J80" s="158"/>
      <c r="K80" s="160"/>
      <c r="L80" s="158"/>
      <c r="M80" s="158"/>
      <c r="N80" s="158"/>
      <c r="O80" s="158"/>
      <c r="P80" s="158" t="str">
        <f>IFERROR(IF(ISNUMBER(MATCH(F80,'Step 1 Data Bank'!E:E, 0)), "On Data Bank", "Not In Data Bank"),"")</f>
        <v>Not In Data Bank</v>
      </c>
      <c r="Q80" s="158" t="str">
        <f t="array" ref="Q80">XLOOKUP(F80,'Step 1 Data Bank'!E:E,'Step 1 Data Bank'!M:M,"",0)</f>
        <v/>
      </c>
      <c r="R80" s="160" t="str">
        <f t="array" ref="R80">XLOOKUP(F80,'Step 1 Data Bank'!E:E,'Step 1 Data Bank'!N:N,"",0)</f>
        <v/>
      </c>
      <c r="S80" s="158" t="str">
        <f>IFERROR(IF(ISNUMBER(MATCH(F80,'OLD DATA'!H:H, 0)), "On OLD Data", "Not In Old Data"),"")</f>
        <v>Not In Old Data</v>
      </c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</row>
    <row r="81">
      <c r="A81" s="158"/>
      <c r="B81" s="158"/>
      <c r="C81" s="158"/>
      <c r="D81" s="158"/>
      <c r="E81" s="160"/>
      <c r="F81" s="158"/>
      <c r="G81" s="158"/>
      <c r="H81" s="160"/>
      <c r="I81" s="158"/>
      <c r="J81" s="158"/>
      <c r="K81" s="160"/>
      <c r="L81" s="158"/>
      <c r="M81" s="158"/>
      <c r="N81" s="158"/>
      <c r="O81" s="158"/>
      <c r="P81" s="158" t="str">
        <f>IFERROR(IF(ISNUMBER(MATCH(F81,'Step 1 Data Bank'!E:E, 0)), "On Data Bank", "Not In Data Bank"),"")</f>
        <v>Not In Data Bank</v>
      </c>
      <c r="Q81" s="158" t="str">
        <f t="array" ref="Q81">XLOOKUP(F81,'Step 1 Data Bank'!E:E,'Step 1 Data Bank'!M:M,"",0)</f>
        <v/>
      </c>
      <c r="R81" s="160" t="str">
        <f t="array" ref="R81">XLOOKUP(F81,'Step 1 Data Bank'!E:E,'Step 1 Data Bank'!N:N,"",0)</f>
        <v/>
      </c>
      <c r="S81" s="158" t="str">
        <f>IFERROR(IF(ISNUMBER(MATCH(F81,'OLD DATA'!H:H, 0)), "On OLD Data", "Not In Old Data"),"")</f>
        <v>Not In Old Data</v>
      </c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</row>
    <row r="82">
      <c r="A82" s="158"/>
      <c r="B82" s="158"/>
      <c r="C82" s="158"/>
      <c r="D82" s="158"/>
      <c r="E82" s="160"/>
      <c r="F82" s="158"/>
      <c r="G82" s="158"/>
      <c r="H82" s="160"/>
      <c r="I82" s="158"/>
      <c r="J82" s="158"/>
      <c r="K82" s="160"/>
      <c r="L82" s="158"/>
      <c r="M82" s="158"/>
      <c r="N82" s="158"/>
      <c r="O82" s="158"/>
      <c r="P82" s="158" t="str">
        <f>IFERROR(IF(ISNUMBER(MATCH(F82,'Step 1 Data Bank'!E:E, 0)), "On Data Bank", "Not In Data Bank"),"")</f>
        <v>Not In Data Bank</v>
      </c>
      <c r="Q82" s="158" t="str">
        <f t="array" ref="Q82">XLOOKUP(F82,'Step 1 Data Bank'!E:E,'Step 1 Data Bank'!M:M,"",0)</f>
        <v/>
      </c>
      <c r="R82" s="160" t="str">
        <f t="array" ref="R82">XLOOKUP(F82,'Step 1 Data Bank'!E:E,'Step 1 Data Bank'!N:N,"",0)</f>
        <v/>
      </c>
      <c r="S82" s="158" t="str">
        <f>IFERROR(IF(ISNUMBER(MATCH(F82,'OLD DATA'!H:H, 0)), "On OLD Data", "Not In Old Data"),"")</f>
        <v>Not In Old Data</v>
      </c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</row>
    <row r="83">
      <c r="A83" s="158"/>
      <c r="B83" s="158"/>
      <c r="C83" s="158"/>
      <c r="D83" s="158"/>
      <c r="E83" s="160"/>
      <c r="F83" s="158"/>
      <c r="G83" s="158"/>
      <c r="H83" s="160"/>
      <c r="I83" s="158"/>
      <c r="J83" s="158"/>
      <c r="K83" s="160"/>
      <c r="L83" s="158"/>
      <c r="M83" s="158"/>
      <c r="N83" s="158"/>
      <c r="O83" s="158"/>
      <c r="P83" s="158" t="str">
        <f>IFERROR(IF(ISNUMBER(MATCH(F83,'Step 1 Data Bank'!E:E, 0)), "On Data Bank", "Not In Data Bank"),"")</f>
        <v>Not In Data Bank</v>
      </c>
      <c r="Q83" s="158" t="str">
        <f t="array" ref="Q83">XLOOKUP(F83,'Step 1 Data Bank'!E:E,'Step 1 Data Bank'!M:M,"",0)</f>
        <v/>
      </c>
      <c r="R83" s="160" t="str">
        <f t="array" ref="R83">XLOOKUP(F83,'Step 1 Data Bank'!E:E,'Step 1 Data Bank'!N:N,"",0)</f>
        <v/>
      </c>
      <c r="S83" s="158" t="str">
        <f>IFERROR(IF(ISNUMBER(MATCH(F83,'OLD DATA'!H:H, 0)), "On OLD Data", "Not In Old Data"),"")</f>
        <v>Not In Old Data</v>
      </c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</row>
    <row r="84">
      <c r="A84" s="158"/>
      <c r="B84" s="158"/>
      <c r="C84" s="158"/>
      <c r="D84" s="158"/>
      <c r="E84" s="160"/>
      <c r="F84" s="158"/>
      <c r="G84" s="158"/>
      <c r="H84" s="160"/>
      <c r="I84" s="158"/>
      <c r="J84" s="158"/>
      <c r="K84" s="160"/>
      <c r="L84" s="158"/>
      <c r="M84" s="158"/>
      <c r="N84" s="158"/>
      <c r="O84" s="158"/>
      <c r="P84" s="158" t="str">
        <f>IFERROR(IF(ISNUMBER(MATCH(F84,'Step 1 Data Bank'!E:E, 0)), "On Data Bank", "Not In Data Bank"),"")</f>
        <v>Not In Data Bank</v>
      </c>
      <c r="Q84" s="158" t="str">
        <f t="array" ref="Q84">XLOOKUP(F84,'Step 1 Data Bank'!E:E,'Step 1 Data Bank'!M:M,"",0)</f>
        <v/>
      </c>
      <c r="R84" s="160" t="str">
        <f t="array" ref="R84">XLOOKUP(F84,'Step 1 Data Bank'!E:E,'Step 1 Data Bank'!N:N,"",0)</f>
        <v/>
      </c>
      <c r="S84" s="158" t="str">
        <f>IFERROR(IF(ISNUMBER(MATCH(F84,'OLD DATA'!H:H, 0)), "On OLD Data", "Not In Old Data"),"")</f>
        <v>Not In Old Data</v>
      </c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</row>
    <row r="85">
      <c r="A85" s="158"/>
      <c r="B85" s="158"/>
      <c r="C85" s="158"/>
      <c r="D85" s="158"/>
      <c r="E85" s="160"/>
      <c r="F85" s="158"/>
      <c r="G85" s="158"/>
      <c r="H85" s="160"/>
      <c r="I85" s="158"/>
      <c r="J85" s="158"/>
      <c r="K85" s="160"/>
      <c r="L85" s="158"/>
      <c r="M85" s="158"/>
      <c r="N85" s="158"/>
      <c r="O85" s="158"/>
      <c r="P85" s="158" t="str">
        <f>IFERROR(IF(ISNUMBER(MATCH(F85,'Step 1 Data Bank'!E:E, 0)), "On Data Bank", "Not In Data Bank"),"")</f>
        <v>Not In Data Bank</v>
      </c>
      <c r="Q85" s="158" t="str">
        <f t="array" ref="Q85">XLOOKUP(F85,'Step 1 Data Bank'!E:E,'Step 1 Data Bank'!M:M,"",0)</f>
        <v/>
      </c>
      <c r="R85" s="160" t="str">
        <f t="array" ref="R85">XLOOKUP(F85,'Step 1 Data Bank'!E:E,'Step 1 Data Bank'!N:N,"",0)</f>
        <v/>
      </c>
      <c r="S85" s="158" t="str">
        <f>IFERROR(IF(ISNUMBER(MATCH(F85,'OLD DATA'!H:H, 0)), "On OLD Data", "Not In Old Data"),"")</f>
        <v>Not In Old Data</v>
      </c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</row>
    <row r="86">
      <c r="A86" s="158"/>
      <c r="B86" s="158"/>
      <c r="C86" s="158"/>
      <c r="D86" s="158"/>
      <c r="E86" s="160"/>
      <c r="F86" s="158"/>
      <c r="G86" s="158"/>
      <c r="H86" s="160"/>
      <c r="I86" s="158"/>
      <c r="J86" s="158"/>
      <c r="K86" s="160"/>
      <c r="L86" s="158"/>
      <c r="M86" s="158"/>
      <c r="N86" s="158"/>
      <c r="O86" s="158"/>
      <c r="P86" s="158" t="str">
        <f>IFERROR(IF(ISNUMBER(MATCH(F86,'Step 1 Data Bank'!E:E, 0)), "On Data Bank", "Not In Data Bank"),"")</f>
        <v>Not In Data Bank</v>
      </c>
      <c r="Q86" s="158" t="str">
        <f t="array" ref="Q86">XLOOKUP(F86,'Step 1 Data Bank'!E:E,'Step 1 Data Bank'!M:M,"",0)</f>
        <v/>
      </c>
      <c r="R86" s="160" t="str">
        <f t="array" ref="R86">XLOOKUP(F86,'Step 1 Data Bank'!E:E,'Step 1 Data Bank'!N:N,"",0)</f>
        <v/>
      </c>
      <c r="S86" s="158" t="str">
        <f>IFERROR(IF(ISNUMBER(MATCH(F86,'OLD DATA'!H:H, 0)), "On OLD Data", "Not In Old Data"),"")</f>
        <v>Not In Old Data</v>
      </c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</row>
    <row r="87">
      <c r="A87" s="158"/>
      <c r="B87" s="158"/>
      <c r="C87" s="158"/>
      <c r="D87" s="158"/>
      <c r="E87" s="160"/>
      <c r="F87" s="158"/>
      <c r="G87" s="158"/>
      <c r="H87" s="160"/>
      <c r="I87" s="158"/>
      <c r="J87" s="158"/>
      <c r="K87" s="160"/>
      <c r="L87" s="158"/>
      <c r="M87" s="158"/>
      <c r="N87" s="158"/>
      <c r="O87" s="158"/>
      <c r="P87" s="158" t="str">
        <f>IFERROR(IF(ISNUMBER(MATCH(F87,'Step 1 Data Bank'!E:E, 0)), "On Data Bank", "Not In Data Bank"),"")</f>
        <v>Not In Data Bank</v>
      </c>
      <c r="Q87" s="158" t="str">
        <f t="array" ref="Q87">XLOOKUP(F87,'Step 1 Data Bank'!E:E,'Step 1 Data Bank'!M:M,"",0)</f>
        <v/>
      </c>
      <c r="R87" s="160" t="str">
        <f t="array" ref="R87">XLOOKUP(F87,'Step 1 Data Bank'!E:E,'Step 1 Data Bank'!N:N,"",0)</f>
        <v/>
      </c>
      <c r="S87" s="158" t="str">
        <f>IFERROR(IF(ISNUMBER(MATCH(F87,'OLD DATA'!H:H, 0)), "On OLD Data", "Not In Old Data"),"")</f>
        <v>Not In Old Data</v>
      </c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</row>
    <row r="88">
      <c r="A88" s="158"/>
      <c r="B88" s="158"/>
      <c r="C88" s="158"/>
      <c r="D88" s="158"/>
      <c r="E88" s="160"/>
      <c r="F88" s="158"/>
      <c r="G88" s="158"/>
      <c r="H88" s="160"/>
      <c r="I88" s="158"/>
      <c r="J88" s="158"/>
      <c r="K88" s="160"/>
      <c r="L88" s="158"/>
      <c r="M88" s="158"/>
      <c r="N88" s="158"/>
      <c r="O88" s="158"/>
      <c r="P88" s="158" t="str">
        <f>IFERROR(IF(ISNUMBER(MATCH(F88,'Step 1 Data Bank'!E:E, 0)), "On Data Bank", "Not In Data Bank"),"")</f>
        <v>Not In Data Bank</v>
      </c>
      <c r="Q88" s="158" t="str">
        <f t="array" ref="Q88">XLOOKUP(F88,'Step 1 Data Bank'!E:E,'Step 1 Data Bank'!M:M,"",0)</f>
        <v/>
      </c>
      <c r="R88" s="160" t="str">
        <f t="array" ref="R88">XLOOKUP(F88,'Step 1 Data Bank'!E:E,'Step 1 Data Bank'!N:N,"",0)</f>
        <v/>
      </c>
      <c r="S88" s="158" t="str">
        <f>IFERROR(IF(ISNUMBER(MATCH(F88,'OLD DATA'!H:H, 0)), "On OLD Data", "Not In Old Data"),"")</f>
        <v>Not In Old Data</v>
      </c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</row>
    <row r="89">
      <c r="A89" s="158"/>
      <c r="B89" s="158"/>
      <c r="C89" s="158"/>
      <c r="D89" s="158"/>
      <c r="E89" s="160"/>
      <c r="F89" s="158"/>
      <c r="G89" s="158"/>
      <c r="H89" s="160"/>
      <c r="I89" s="158"/>
      <c r="J89" s="158"/>
      <c r="K89" s="160"/>
      <c r="L89" s="158"/>
      <c r="M89" s="158"/>
      <c r="N89" s="158"/>
      <c r="O89" s="158"/>
      <c r="P89" s="158" t="str">
        <f>IFERROR(IF(ISNUMBER(MATCH(F89,'Step 1 Data Bank'!E:E, 0)), "On Data Bank", "Not In Data Bank"),"")</f>
        <v>Not In Data Bank</v>
      </c>
      <c r="Q89" s="158" t="str">
        <f t="array" ref="Q89">XLOOKUP(F89,'Step 1 Data Bank'!E:E,'Step 1 Data Bank'!M:M,"",0)</f>
        <v/>
      </c>
      <c r="R89" s="160" t="str">
        <f t="array" ref="R89">XLOOKUP(F89,'Step 1 Data Bank'!E:E,'Step 1 Data Bank'!N:N,"",0)</f>
        <v/>
      </c>
      <c r="S89" s="158" t="str">
        <f>IFERROR(IF(ISNUMBER(MATCH(F89,'OLD DATA'!H:H, 0)), "On OLD Data", "Not In Old Data"),"")</f>
        <v>Not In Old Data</v>
      </c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</row>
    <row r="90">
      <c r="A90" s="158"/>
      <c r="B90" s="158"/>
      <c r="C90" s="158"/>
      <c r="D90" s="158"/>
      <c r="E90" s="160"/>
      <c r="F90" s="158"/>
      <c r="G90" s="158"/>
      <c r="H90" s="160"/>
      <c r="I90" s="158"/>
      <c r="J90" s="158"/>
      <c r="K90" s="160"/>
      <c r="L90" s="158"/>
      <c r="M90" s="158"/>
      <c r="N90" s="158"/>
      <c r="O90" s="158"/>
      <c r="P90" s="158" t="str">
        <f>IFERROR(IF(ISNUMBER(MATCH(F90,'Step 1 Data Bank'!E:E, 0)), "On Data Bank", "Not In Data Bank"),"")</f>
        <v>Not In Data Bank</v>
      </c>
      <c r="Q90" s="158" t="str">
        <f t="array" ref="Q90">XLOOKUP(F90,'Step 1 Data Bank'!E:E,'Step 1 Data Bank'!M:M,"",0)</f>
        <v/>
      </c>
      <c r="R90" s="160" t="str">
        <f t="array" ref="R90">XLOOKUP(F90,'Step 1 Data Bank'!E:E,'Step 1 Data Bank'!N:N,"",0)</f>
        <v/>
      </c>
      <c r="S90" s="158" t="str">
        <f>IFERROR(IF(ISNUMBER(MATCH(F90,'OLD DATA'!H:H, 0)), "On OLD Data", "Not In Old Data"),"")</f>
        <v>Not In Old Data</v>
      </c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</row>
    <row r="91">
      <c r="A91" s="158"/>
      <c r="B91" s="158"/>
      <c r="C91" s="158"/>
      <c r="D91" s="158"/>
      <c r="E91" s="160"/>
      <c r="F91" s="158"/>
      <c r="G91" s="158"/>
      <c r="H91" s="160"/>
      <c r="I91" s="158"/>
      <c r="J91" s="158"/>
      <c r="K91" s="160"/>
      <c r="L91" s="158"/>
      <c r="M91" s="158"/>
      <c r="N91" s="158"/>
      <c r="O91" s="158"/>
      <c r="P91" s="158" t="str">
        <f>IFERROR(IF(ISNUMBER(MATCH(F91,'Step 1 Data Bank'!E:E, 0)), "On Data Bank", "Not In Data Bank"),"")</f>
        <v>Not In Data Bank</v>
      </c>
      <c r="Q91" s="158" t="str">
        <f t="array" ref="Q91">XLOOKUP(F91,'Step 1 Data Bank'!E:E,'Step 1 Data Bank'!M:M,"",0)</f>
        <v/>
      </c>
      <c r="R91" s="160" t="str">
        <f t="array" ref="R91">XLOOKUP(F91,'Step 1 Data Bank'!E:E,'Step 1 Data Bank'!N:N,"",0)</f>
        <v/>
      </c>
      <c r="S91" s="158" t="str">
        <f>IFERROR(IF(ISNUMBER(MATCH(F91,'OLD DATA'!H:H, 0)), "On OLD Data", "Not In Old Data"),"")</f>
        <v>Not In Old Data</v>
      </c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</row>
    <row r="92">
      <c r="A92" s="158"/>
      <c r="B92" s="158"/>
      <c r="C92" s="158"/>
      <c r="D92" s="158"/>
      <c r="E92" s="160"/>
      <c r="F92" s="158"/>
      <c r="G92" s="158"/>
      <c r="H92" s="160"/>
      <c r="I92" s="158"/>
      <c r="J92" s="158"/>
      <c r="K92" s="160"/>
      <c r="L92" s="158"/>
      <c r="M92" s="158"/>
      <c r="N92" s="158"/>
      <c r="O92" s="158"/>
      <c r="P92" s="158" t="str">
        <f>IFERROR(IF(ISNUMBER(MATCH(F92,'Step 1 Data Bank'!E:E, 0)), "On Data Bank", "Not In Data Bank"),"")</f>
        <v>Not In Data Bank</v>
      </c>
      <c r="Q92" s="158" t="str">
        <f t="array" ref="Q92">XLOOKUP(F92,'Step 1 Data Bank'!E:E,'Step 1 Data Bank'!M:M,"",0)</f>
        <v/>
      </c>
      <c r="R92" s="160" t="str">
        <f t="array" ref="R92">XLOOKUP(F92,'Step 1 Data Bank'!E:E,'Step 1 Data Bank'!N:N,"",0)</f>
        <v/>
      </c>
      <c r="S92" s="158" t="str">
        <f>IFERROR(IF(ISNUMBER(MATCH(F92,'OLD DATA'!H:H, 0)), "On OLD Data", "Not In Old Data"),"")</f>
        <v>Not In Old Data</v>
      </c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</row>
    <row r="93">
      <c r="A93" s="158"/>
      <c r="B93" s="158"/>
      <c r="C93" s="158"/>
      <c r="D93" s="158"/>
      <c r="E93" s="160"/>
      <c r="F93" s="158"/>
      <c r="G93" s="158"/>
      <c r="H93" s="160"/>
      <c r="I93" s="158"/>
      <c r="J93" s="158"/>
      <c r="K93" s="160"/>
      <c r="L93" s="158"/>
      <c r="M93" s="158"/>
      <c r="N93" s="158"/>
      <c r="O93" s="158"/>
      <c r="P93" s="158" t="str">
        <f>IFERROR(IF(ISNUMBER(MATCH(F93,'Step 1 Data Bank'!E:E, 0)), "On Data Bank", "Not In Data Bank"),"")</f>
        <v>Not In Data Bank</v>
      </c>
      <c r="Q93" s="158" t="str">
        <f t="array" ref="Q93">XLOOKUP(F93,'Step 1 Data Bank'!E:E,'Step 1 Data Bank'!M:M,"",0)</f>
        <v/>
      </c>
      <c r="R93" s="160" t="str">
        <f t="array" ref="R93">XLOOKUP(F93,'Step 1 Data Bank'!E:E,'Step 1 Data Bank'!N:N,"",0)</f>
        <v/>
      </c>
      <c r="S93" s="158" t="str">
        <f>IFERROR(IF(ISNUMBER(MATCH(F93,'OLD DATA'!H:H, 0)), "On OLD Data", "Not In Old Data"),"")</f>
        <v>Not In Old Data</v>
      </c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</row>
    <row r="94">
      <c r="A94" s="158"/>
      <c r="B94" s="158"/>
      <c r="C94" s="158"/>
      <c r="D94" s="158"/>
      <c r="E94" s="160"/>
      <c r="F94" s="158"/>
      <c r="G94" s="158"/>
      <c r="H94" s="160"/>
      <c r="I94" s="158"/>
      <c r="J94" s="158"/>
      <c r="K94" s="160"/>
      <c r="L94" s="158"/>
      <c r="M94" s="158"/>
      <c r="N94" s="158"/>
      <c r="O94" s="158"/>
      <c r="P94" s="158" t="str">
        <f>IFERROR(IF(ISNUMBER(MATCH(F94,'Step 1 Data Bank'!E:E, 0)), "On Data Bank", "Not In Data Bank"),"")</f>
        <v>Not In Data Bank</v>
      </c>
      <c r="Q94" s="158" t="str">
        <f t="array" ref="Q94">XLOOKUP(F94,'Step 1 Data Bank'!E:E,'Step 1 Data Bank'!M:M,"",0)</f>
        <v/>
      </c>
      <c r="R94" s="160" t="str">
        <f t="array" ref="R94">XLOOKUP(F94,'Step 1 Data Bank'!E:E,'Step 1 Data Bank'!N:N,"",0)</f>
        <v/>
      </c>
      <c r="S94" s="158" t="str">
        <f>IFERROR(IF(ISNUMBER(MATCH(F94,'OLD DATA'!H:H, 0)), "On OLD Data", "Not In Old Data"),"")</f>
        <v>Not In Old Data</v>
      </c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</row>
    <row r="95">
      <c r="A95" s="158"/>
      <c r="B95" s="158"/>
      <c r="C95" s="158"/>
      <c r="D95" s="158"/>
      <c r="E95" s="160"/>
      <c r="F95" s="158"/>
      <c r="G95" s="158"/>
      <c r="H95" s="160"/>
      <c r="I95" s="158"/>
      <c r="J95" s="158"/>
      <c r="K95" s="160"/>
      <c r="L95" s="158"/>
      <c r="M95" s="158"/>
      <c r="N95" s="158"/>
      <c r="O95" s="158"/>
      <c r="P95" s="158" t="str">
        <f>IFERROR(IF(ISNUMBER(MATCH(F95,'Step 1 Data Bank'!E:E, 0)), "On Data Bank", "Not In Data Bank"),"")</f>
        <v>Not In Data Bank</v>
      </c>
      <c r="Q95" s="158" t="str">
        <f t="array" ref="Q95">XLOOKUP(F95,'Step 1 Data Bank'!E:E,'Step 1 Data Bank'!M:M,"",0)</f>
        <v/>
      </c>
      <c r="R95" s="160" t="str">
        <f t="array" ref="R95">XLOOKUP(F95,'Step 1 Data Bank'!E:E,'Step 1 Data Bank'!N:N,"",0)</f>
        <v/>
      </c>
      <c r="S95" s="158" t="str">
        <f>IFERROR(IF(ISNUMBER(MATCH(F95,'OLD DATA'!H:H, 0)), "On OLD Data", "Not In Old Data"),"")</f>
        <v>Not In Old Data</v>
      </c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</row>
    <row r="96">
      <c r="A96" s="158"/>
      <c r="B96" s="158"/>
      <c r="C96" s="158"/>
      <c r="D96" s="158"/>
      <c r="E96" s="160"/>
      <c r="F96" s="158"/>
      <c r="G96" s="158"/>
      <c r="H96" s="160"/>
      <c r="I96" s="158"/>
      <c r="J96" s="158"/>
      <c r="K96" s="160"/>
      <c r="L96" s="158"/>
      <c r="M96" s="158"/>
      <c r="N96" s="158"/>
      <c r="O96" s="158"/>
      <c r="P96" s="158" t="str">
        <f>IFERROR(IF(ISNUMBER(MATCH(F96,'Step 1 Data Bank'!E:E, 0)), "On Data Bank", "Not In Data Bank"),"")</f>
        <v>Not In Data Bank</v>
      </c>
      <c r="Q96" s="158" t="str">
        <f t="array" ref="Q96">XLOOKUP(F96,'Step 1 Data Bank'!E:E,'Step 1 Data Bank'!M:M,"",0)</f>
        <v/>
      </c>
      <c r="R96" s="160" t="str">
        <f t="array" ref="R96">XLOOKUP(F96,'Step 1 Data Bank'!E:E,'Step 1 Data Bank'!N:N,"",0)</f>
        <v/>
      </c>
      <c r="S96" s="158" t="str">
        <f>IFERROR(IF(ISNUMBER(MATCH(F96,'OLD DATA'!H:H, 0)), "On OLD Data", "Not In Old Data"),"")</f>
        <v>Not In Old Data</v>
      </c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</row>
    <row r="97">
      <c r="A97" s="158"/>
      <c r="B97" s="158"/>
      <c r="C97" s="158"/>
      <c r="D97" s="158"/>
      <c r="E97" s="160"/>
      <c r="F97" s="158"/>
      <c r="G97" s="158"/>
      <c r="H97" s="160"/>
      <c r="I97" s="158"/>
      <c r="J97" s="158"/>
      <c r="K97" s="160"/>
      <c r="L97" s="158"/>
      <c r="M97" s="158"/>
      <c r="N97" s="158"/>
      <c r="O97" s="158"/>
      <c r="P97" s="158" t="str">
        <f>IFERROR(IF(ISNUMBER(MATCH(F97,'Step 1 Data Bank'!E:E, 0)), "On Data Bank", "Not In Data Bank"),"")</f>
        <v>Not In Data Bank</v>
      </c>
      <c r="Q97" s="158" t="str">
        <f t="array" ref="Q97">XLOOKUP(F97,'Step 1 Data Bank'!E:E,'Step 1 Data Bank'!M:M,"",0)</f>
        <v/>
      </c>
      <c r="R97" s="160" t="str">
        <f t="array" ref="R97">XLOOKUP(F97,'Step 1 Data Bank'!E:E,'Step 1 Data Bank'!N:N,"",0)</f>
        <v/>
      </c>
      <c r="S97" s="158" t="str">
        <f>IFERROR(IF(ISNUMBER(MATCH(F97,'OLD DATA'!H:H, 0)), "On OLD Data", "Not In Old Data"),"")</f>
        <v>Not In Old Data</v>
      </c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</row>
    <row r="98">
      <c r="A98" s="158"/>
      <c r="B98" s="158"/>
      <c r="C98" s="158"/>
      <c r="D98" s="158"/>
      <c r="E98" s="160"/>
      <c r="F98" s="158"/>
      <c r="G98" s="158"/>
      <c r="H98" s="160"/>
      <c r="I98" s="158"/>
      <c r="J98" s="158"/>
      <c r="K98" s="160"/>
      <c r="L98" s="158"/>
      <c r="M98" s="158"/>
      <c r="N98" s="158"/>
      <c r="O98" s="158"/>
      <c r="P98" s="158" t="str">
        <f>IFERROR(IF(ISNUMBER(MATCH(F98,'Step 1 Data Bank'!E:E, 0)), "On Data Bank", "Not In Data Bank"),"")</f>
        <v>Not In Data Bank</v>
      </c>
      <c r="Q98" s="158" t="str">
        <f t="array" ref="Q98">XLOOKUP(F98,'Step 1 Data Bank'!E:E,'Step 1 Data Bank'!M:M,"",0)</f>
        <v/>
      </c>
      <c r="R98" s="160" t="str">
        <f t="array" ref="R98">XLOOKUP(F98,'Step 1 Data Bank'!E:E,'Step 1 Data Bank'!N:N,"",0)</f>
        <v/>
      </c>
      <c r="S98" s="158" t="str">
        <f>IFERROR(IF(ISNUMBER(MATCH(F98,'OLD DATA'!H:H, 0)), "On OLD Data", "Not In Old Data"),"")</f>
        <v>Not In Old Data</v>
      </c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</row>
    <row r="99">
      <c r="A99" s="158"/>
      <c r="B99" s="158"/>
      <c r="C99" s="158"/>
      <c r="D99" s="158"/>
      <c r="E99" s="160"/>
      <c r="F99" s="158"/>
      <c r="G99" s="158"/>
      <c r="H99" s="160"/>
      <c r="I99" s="158"/>
      <c r="J99" s="158"/>
      <c r="K99" s="160"/>
      <c r="L99" s="158"/>
      <c r="M99" s="158"/>
      <c r="N99" s="158"/>
      <c r="O99" s="158"/>
      <c r="P99" s="158" t="str">
        <f>IFERROR(IF(ISNUMBER(MATCH(F99,'Step 1 Data Bank'!E:E, 0)), "On Data Bank", "Not In Data Bank"),"")</f>
        <v>Not In Data Bank</v>
      </c>
      <c r="Q99" s="158" t="str">
        <f t="array" ref="Q99">XLOOKUP(F99,'Step 1 Data Bank'!E:E,'Step 1 Data Bank'!M:M,"",0)</f>
        <v/>
      </c>
      <c r="R99" s="160" t="str">
        <f t="array" ref="R99">XLOOKUP(F99,'Step 1 Data Bank'!E:E,'Step 1 Data Bank'!N:N,"",0)</f>
        <v/>
      </c>
      <c r="S99" s="158" t="str">
        <f>IFERROR(IF(ISNUMBER(MATCH(F99,'OLD DATA'!H:H, 0)), "On OLD Data", "Not In Old Data"),"")</f>
        <v>Not In Old Data</v>
      </c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</row>
    <row r="100">
      <c r="A100" s="158"/>
      <c r="B100" s="158"/>
      <c r="C100" s="158"/>
      <c r="D100" s="158"/>
      <c r="E100" s="160"/>
      <c r="F100" s="158"/>
      <c r="G100" s="158"/>
      <c r="H100" s="160"/>
      <c r="I100" s="158"/>
      <c r="J100" s="158"/>
      <c r="K100" s="160"/>
      <c r="L100" s="158"/>
      <c r="M100" s="158"/>
      <c r="N100" s="158"/>
      <c r="O100" s="158"/>
      <c r="P100" s="158" t="str">
        <f>IFERROR(IF(ISNUMBER(MATCH(F100,'Step 1 Data Bank'!E:E, 0)), "On Data Bank", "Not In Data Bank"),"")</f>
        <v>Not In Data Bank</v>
      </c>
      <c r="Q100" s="158" t="str">
        <f t="array" ref="Q100">XLOOKUP(F100,'Step 1 Data Bank'!E:E,'Step 1 Data Bank'!M:M,"",0)</f>
        <v/>
      </c>
      <c r="R100" s="160" t="str">
        <f t="array" ref="R100">XLOOKUP(F100,'Step 1 Data Bank'!E:E,'Step 1 Data Bank'!N:N,"",0)</f>
        <v/>
      </c>
      <c r="S100" s="158" t="str">
        <f>IFERROR(IF(ISNUMBER(MATCH(F100,'OLD DATA'!H:H, 0)), "On OLD Data", "Not In Old Data"),"")</f>
        <v>Not In Old Data</v>
      </c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</row>
    <row r="101">
      <c r="A101" s="158"/>
      <c r="B101" s="158"/>
      <c r="C101" s="158"/>
      <c r="D101" s="158"/>
      <c r="E101" s="160"/>
      <c r="F101" s="158"/>
      <c r="G101" s="158"/>
      <c r="H101" s="160"/>
      <c r="I101" s="158"/>
      <c r="J101" s="158"/>
      <c r="K101" s="160"/>
      <c r="L101" s="158"/>
      <c r="M101" s="158"/>
      <c r="N101" s="158"/>
      <c r="O101" s="158"/>
      <c r="P101" s="158" t="str">
        <f>IFERROR(IF(ISNUMBER(MATCH(F101,'Step 1 Data Bank'!E:E, 0)), "On Data Bank", "Not In Data Bank"),"")</f>
        <v>Not In Data Bank</v>
      </c>
      <c r="Q101" s="158" t="str">
        <f t="array" ref="Q101">XLOOKUP(F101,'Step 1 Data Bank'!E:E,'Step 1 Data Bank'!M:M,"",0)</f>
        <v/>
      </c>
      <c r="R101" s="160" t="str">
        <f t="array" ref="R101">XLOOKUP(F101,'Step 1 Data Bank'!E:E,'Step 1 Data Bank'!N:N,"",0)</f>
        <v/>
      </c>
      <c r="S101" s="158" t="str">
        <f>IFERROR(IF(ISNUMBER(MATCH(F101,'OLD DATA'!H:H, 0)), "On OLD Data", "Not In Old Data"),"")</f>
        <v>Not In Old Data</v>
      </c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</row>
    <row r="102">
      <c r="A102" s="158"/>
      <c r="B102" s="158"/>
      <c r="C102" s="158"/>
      <c r="D102" s="158"/>
      <c r="E102" s="160"/>
      <c r="F102" s="158"/>
      <c r="G102" s="158"/>
      <c r="H102" s="160"/>
      <c r="I102" s="158"/>
      <c r="J102" s="158"/>
      <c r="K102" s="160"/>
      <c r="L102" s="158"/>
      <c r="M102" s="158"/>
      <c r="N102" s="158"/>
      <c r="O102" s="158"/>
      <c r="P102" s="158" t="str">
        <f>IFERROR(IF(ISNUMBER(MATCH(F102,'Step 1 Data Bank'!E:E, 0)), "On Data Bank", "Not In Data Bank"),"")</f>
        <v>Not In Data Bank</v>
      </c>
      <c r="Q102" s="158" t="str">
        <f t="array" ref="Q102">XLOOKUP(F102,'Step 1 Data Bank'!E:E,'Step 1 Data Bank'!M:M,"",0)</f>
        <v/>
      </c>
      <c r="R102" s="160" t="str">
        <f t="array" ref="R102">XLOOKUP(F102,'Step 1 Data Bank'!E:E,'Step 1 Data Bank'!N:N,"",0)</f>
        <v/>
      </c>
      <c r="S102" s="158" t="str">
        <f>IFERROR(IF(ISNUMBER(MATCH(F102,'OLD DATA'!H:H, 0)), "On OLD Data", "Not In Old Data"),"")</f>
        <v>Not In Old Data</v>
      </c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</row>
    <row r="103">
      <c r="A103" s="158"/>
      <c r="B103" s="158"/>
      <c r="C103" s="158"/>
      <c r="D103" s="158"/>
      <c r="E103" s="160"/>
      <c r="F103" s="158"/>
      <c r="G103" s="158"/>
      <c r="H103" s="160"/>
      <c r="I103" s="158"/>
      <c r="J103" s="158"/>
      <c r="K103" s="160"/>
      <c r="L103" s="158"/>
      <c r="M103" s="158"/>
      <c r="N103" s="158"/>
      <c r="O103" s="158"/>
      <c r="P103" s="158" t="str">
        <f>IFERROR(IF(ISNUMBER(MATCH(F103,'Step 1 Data Bank'!E:E, 0)), "On Data Bank", "Not In Data Bank"),"")</f>
        <v>Not In Data Bank</v>
      </c>
      <c r="Q103" s="158" t="str">
        <f t="array" ref="Q103">XLOOKUP(F103,'Step 1 Data Bank'!E:E,'Step 1 Data Bank'!M:M,"",0)</f>
        <v/>
      </c>
      <c r="R103" s="160" t="str">
        <f t="array" ref="R103">XLOOKUP(F103,'Step 1 Data Bank'!E:E,'Step 1 Data Bank'!N:N,"",0)</f>
        <v/>
      </c>
      <c r="S103" s="158" t="str">
        <f>IFERROR(IF(ISNUMBER(MATCH(F103,'OLD DATA'!H:H, 0)), "On OLD Data", "Not In Old Data"),"")</f>
        <v>Not In Old Data</v>
      </c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</row>
    <row r="104">
      <c r="A104" s="207">
        <f>IFERROR(__xludf.DUMMYFUNCTION("""COMPUTED_VALUE"""),46113.0)</f>
        <v>46113</v>
      </c>
      <c r="B104" s="158" t="str">
        <f>IFERROR(__xludf.DUMMYFUNCTION("""COMPUTED_VALUE"""),"GOAT")</f>
        <v>GOAT</v>
      </c>
      <c r="C104" s="158" t="str">
        <f>IFERROR(__xludf.DUMMYFUNCTION("""COMPUTED_VALUE"""),"Made Intan Deyana Wirata")</f>
        <v>Made Intan Deyana Wirata</v>
      </c>
      <c r="D104" s="158" t="str">
        <f>IFERROR(__xludf.DUMMYFUNCTION("""COMPUTED_VALUE"""),"Intan")</f>
        <v>Intan</v>
      </c>
      <c r="E104" s="160" t="str">
        <f>IFERROR(__xludf.DUMMYFUNCTION("""COMPUTED_VALUE"""),"ALIA ALIFIA +62 822 9883 6303")</f>
        <v>ALIA ALIFIA +62 822 9883 6303</v>
      </c>
      <c r="F104" s="158">
        <f>IFERROR(__xludf.DUMMYFUNCTION("""COMPUTED_VALUE"""),3.57703230036798E14)</f>
        <v>357703230036798</v>
      </c>
      <c r="G104" s="158" t="str">
        <f>IFERROR(__xludf.DUMMYFUNCTION("""COMPUTED_VALUE"""),"SM-A566BZKSXID")</f>
        <v>SM-A566BZKSXID</v>
      </c>
      <c r="H104" s="160" t="str">
        <f>IFERROR(__xludf.DUMMYFUNCTION("""COMPUTED_VALUE"""),"G-A56-5G (8/128) BLACK (2025)")</f>
        <v>G-A56-5G (8/128) BLACK (2025)</v>
      </c>
      <c r="I104" s="208">
        <f>IFERROR(__xludf.DUMMYFUNCTION("""COMPUTED_VALUE"""),46142.0)</f>
        <v>46142</v>
      </c>
      <c r="J104" s="158">
        <f>IFERROR(__xludf.DUMMYFUNCTION("""COMPUTED_VALUE"""),-61.0)</f>
        <v>-61</v>
      </c>
      <c r="K104" s="160"/>
      <c r="L104" s="158" t="str">
        <f>IFERROR(__xludf.DUMMYFUNCTION("""COMPUTED_VALUE"""),"Not Overdue")</f>
        <v>Not Overdue</v>
      </c>
      <c r="M104" s="158"/>
      <c r="N104" s="158"/>
      <c r="O104" s="158"/>
      <c r="P104" s="158" t="str">
        <f>IFERROR(IF(ISNUMBER(MATCH(F104,'Step 1 Data Bank'!E:E, 0)), "On Data Bank", "Not In Data Bank"),"")</f>
        <v>On Data Bank</v>
      </c>
      <c r="Q104" s="158" t="str">
        <f t="array" ref="Q104">XLOOKUP(F104,'Step 1 Data Bank'!E:E,'Step 1 Data Bank'!M:M,"",0)</f>
        <v>AVAILABLE</v>
      </c>
      <c r="R104" s="160" t="str">
        <f t="array" ref="R104">XLOOKUP(F104,'Step 1 Data Bank'!E:E,'Step 1 Data Bank'!N:N,"",0)</f>
        <v>-</v>
      </c>
      <c r="S104" s="158" t="str">
        <f>IFERROR(IF(ISNUMBER(MATCH(F104,'OLD DATA'!H:H, 0)), "On OLD Data", "Not In Old Data"),"")</f>
        <v>Not In Old Data</v>
      </c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</row>
    <row r="105">
      <c r="A105" s="207">
        <f>IFERROR(__xludf.DUMMYFUNCTION("""COMPUTED_VALUE"""),46113.0)</f>
        <v>46113</v>
      </c>
      <c r="B105" s="158" t="str">
        <f>IFERROR(__xludf.DUMMYFUNCTION("""COMPUTED_VALUE"""),"GOAT")</f>
        <v>GOAT</v>
      </c>
      <c r="C105" s="158" t="str">
        <f>IFERROR(__xludf.DUMMYFUNCTION("""COMPUTED_VALUE"""),"Made Intan Deyana Wirata")</f>
        <v>Made Intan Deyana Wirata</v>
      </c>
      <c r="D105" s="158" t="str">
        <f>IFERROR(__xludf.DUMMYFUNCTION("""COMPUTED_VALUE"""),"Intan")</f>
        <v>Intan</v>
      </c>
      <c r="E105" s="160" t="str">
        <f>IFERROR(__xludf.DUMMYFUNCTION("""COMPUTED_VALUE"""),"ALIA ALIFIA +62 822 9883 6303")</f>
        <v>ALIA ALIFIA +62 822 9883 6303</v>
      </c>
      <c r="F105" s="158">
        <f>IFERROR(__xludf.DUMMYFUNCTION("""COMPUTED_VALUE"""),3.54922130015404E14)</f>
        <v>354922130015404</v>
      </c>
      <c r="G105" s="158" t="str">
        <f>IFERROR(__xludf.DUMMYFUNCTION("""COMPUTED_VALUE"""),"SM-S937BZSBXID")</f>
        <v>SM-S937BZSBXID</v>
      </c>
      <c r="H105" s="160" t="str">
        <f>IFERROR(__xludf.DUMMYFUNCTION("""COMPUTED_VALUE"""),"G-S25-EDGE 12/256 SILVER (2025)")</f>
        <v>G-S25-EDGE 12/256 SILVER (2025)</v>
      </c>
      <c r="I105" s="208">
        <f>IFERROR(__xludf.DUMMYFUNCTION("""COMPUTED_VALUE"""),46142.0)</f>
        <v>46142</v>
      </c>
      <c r="J105" s="158">
        <f>IFERROR(__xludf.DUMMYFUNCTION("""COMPUTED_VALUE"""),-61.0)</f>
        <v>-61</v>
      </c>
      <c r="K105" s="160"/>
      <c r="L105" s="158" t="str">
        <f>IFERROR(__xludf.DUMMYFUNCTION("""COMPUTED_VALUE"""),"Not Overdue")</f>
        <v>Not Overdue</v>
      </c>
      <c r="M105" s="158"/>
      <c r="N105" s="158"/>
      <c r="O105" s="158"/>
      <c r="P105" s="158" t="str">
        <f>IFERROR(IF(ISNUMBER(MATCH(F105,'Step 1 Data Bank'!E:E, 0)), "On Data Bank", "Not In Data Bank"),"")</f>
        <v>On Data Bank</v>
      </c>
      <c r="Q105" s="158" t="str">
        <f t="array" ref="Q105">XLOOKUP(F105,'Step 1 Data Bank'!E:E,'Step 1 Data Bank'!M:M,"",0)</f>
        <v>AVAILABLE</v>
      </c>
      <c r="R105" s="160" t="str">
        <f t="array" ref="R105">XLOOKUP(F105,'Step 1 Data Bank'!E:E,'Step 1 Data Bank'!N:N,"",0)</f>
        <v>-</v>
      </c>
      <c r="S105" s="158" t="str">
        <f>IFERROR(IF(ISNUMBER(MATCH(F105,'OLD DATA'!H:H, 0)), "On OLD Data", "Not In Old Data"),"")</f>
        <v>Not In Old Data</v>
      </c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</row>
    <row r="106">
      <c r="A106" s="207">
        <f>IFERROR(__xludf.DUMMYFUNCTION("""COMPUTED_VALUE"""),46113.0)</f>
        <v>46113</v>
      </c>
      <c r="B106" s="158" t="str">
        <f>IFERROR(__xludf.DUMMYFUNCTION("""COMPUTED_VALUE"""),"GOAT")</f>
        <v>GOAT</v>
      </c>
      <c r="C106" s="158" t="str">
        <f>IFERROR(__xludf.DUMMYFUNCTION("""COMPUTED_VALUE"""),"Made Intan Deyana Wirata")</f>
        <v>Made Intan Deyana Wirata</v>
      </c>
      <c r="D106" s="158" t="str">
        <f>IFERROR(__xludf.DUMMYFUNCTION("""COMPUTED_VALUE"""),"Intan")</f>
        <v>Intan</v>
      </c>
      <c r="E106" s="160" t="str">
        <f>IFERROR(__xludf.DUMMYFUNCTION("""COMPUTED_VALUE"""),"ALIA ALIFIA +62 822 9883 6303")</f>
        <v>ALIA ALIFIA +62 822 9883 6303</v>
      </c>
      <c r="F106" s="158">
        <f>IFERROR(__xludf.DUMMYFUNCTION("""COMPUTED_VALUE"""),3.54312420022502E14)</f>
        <v>354312420022502</v>
      </c>
      <c r="G106" s="158" t="str">
        <f>IFERROR(__xludf.DUMMYFUNCTION("""COMPUTED_VALUE"""),"SM-F766BDBAXID")</f>
        <v>SM-F766BDBAXID</v>
      </c>
      <c r="H106" s="160" t="str">
        <f>IFERROR(__xludf.DUMMYFUNCTION("""COMPUTED_VALUE"""),"G-Z-FLIP7 256GB DARK BLUE (2025)")</f>
        <v>G-Z-FLIP7 256GB DARK BLUE (2025)</v>
      </c>
      <c r="I106" s="208">
        <f>IFERROR(__xludf.DUMMYFUNCTION("""COMPUTED_VALUE"""),46142.0)</f>
        <v>46142</v>
      </c>
      <c r="J106" s="158">
        <f>IFERROR(__xludf.DUMMYFUNCTION("""COMPUTED_VALUE"""),-61.0)</f>
        <v>-61</v>
      </c>
      <c r="K106" s="160"/>
      <c r="L106" s="158" t="str">
        <f>IFERROR(__xludf.DUMMYFUNCTION("""COMPUTED_VALUE"""),"Not Overdue")</f>
        <v>Not Overdue</v>
      </c>
      <c r="M106" s="158"/>
      <c r="N106" s="158"/>
      <c r="O106" s="158"/>
      <c r="P106" s="158" t="str">
        <f>IFERROR(IF(ISNUMBER(MATCH(F106,'Step 1 Data Bank'!E:E, 0)), "On Data Bank", "Not In Data Bank"),"")</f>
        <v>On Data Bank</v>
      </c>
      <c r="Q106" s="158" t="str">
        <f t="array" ref="Q106">XLOOKUP(F106,'Step 1 Data Bank'!E:E,'Step 1 Data Bank'!M:M,"",0)</f>
        <v>LOANED / ON KOL</v>
      </c>
      <c r="R106" s="160" t="str">
        <f t="array" ref="R106">XLOOKUP(F106,'Step 1 Data Bank'!E:E,'Step 1 Data Bank'!N:N,"",0)</f>
        <v>Zahral  Antika</v>
      </c>
      <c r="S106" s="158" t="str">
        <f>IFERROR(IF(ISNUMBER(MATCH(F106,'OLD DATA'!H:H, 0)), "On OLD Data", "Not In Old Data"),"")</f>
        <v>Not In Old Data</v>
      </c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</row>
    <row r="107">
      <c r="A107" s="207">
        <f>IFERROR(__xludf.DUMMYFUNCTION("""COMPUTED_VALUE"""),46113.0)</f>
        <v>46113</v>
      </c>
      <c r="B107" s="158" t="str">
        <f>IFERROR(__xludf.DUMMYFUNCTION("""COMPUTED_VALUE"""),"GOAT")</f>
        <v>GOAT</v>
      </c>
      <c r="C107" s="158" t="str">
        <f>IFERROR(__xludf.DUMMYFUNCTION("""COMPUTED_VALUE"""),"Made Intan Deyana Wirata")</f>
        <v>Made Intan Deyana Wirata</v>
      </c>
      <c r="D107" s="158" t="str">
        <f>IFERROR(__xludf.DUMMYFUNCTION("""COMPUTED_VALUE"""),"Intan")</f>
        <v>Intan</v>
      </c>
      <c r="E107" s="160" t="str">
        <f>IFERROR(__xludf.DUMMYFUNCTION("""COMPUTED_VALUE"""),"ALIA ALIFIA +62 822 9883 6303")</f>
        <v>ALIA ALIFIA +62 822 9883 6303</v>
      </c>
      <c r="F107" s="158">
        <f>IFERROR(__xludf.DUMMYFUNCTION("""COMPUTED_VALUE"""),3.50576850133328E14)</f>
        <v>350576850133328</v>
      </c>
      <c r="G107" s="158" t="str">
        <f>IFERROR(__xludf.DUMMYFUNCTION("""COMPUTED_VALUE"""),"SM-A075FZGDXID")</f>
        <v>SM-A075FZGDXID</v>
      </c>
      <c r="H107" s="160" t="str">
        <f>IFERROR(__xludf.DUMMYFUNCTION("""COMPUTED_VALUE"""),"G-A07 (4/64) GREEN (2025)")</f>
        <v>G-A07 (4/64) GREEN (2025)</v>
      </c>
      <c r="I107" s="208">
        <f>IFERROR(__xludf.DUMMYFUNCTION("""COMPUTED_VALUE"""),46142.0)</f>
        <v>46142</v>
      </c>
      <c r="J107" s="158">
        <f>IFERROR(__xludf.DUMMYFUNCTION("""COMPUTED_VALUE"""),-61.0)</f>
        <v>-61</v>
      </c>
      <c r="K107" s="160"/>
      <c r="L107" s="158" t="str">
        <f>IFERROR(__xludf.DUMMYFUNCTION("""COMPUTED_VALUE"""),"Not Overdue")</f>
        <v>Not Overdue</v>
      </c>
      <c r="M107" s="158"/>
      <c r="N107" s="158"/>
      <c r="O107" s="158"/>
      <c r="P107" s="158" t="str">
        <f>IFERROR(IF(ISNUMBER(MATCH(F107,'Step 1 Data Bank'!E:E, 0)), "On Data Bank", "Not In Data Bank"),"")</f>
        <v>Not In Data Bank</v>
      </c>
      <c r="Q107" s="158" t="str">
        <f t="array" ref="Q107">XLOOKUP(F107,'Step 1 Data Bank'!E:E,'Step 1 Data Bank'!M:M,"",0)</f>
        <v/>
      </c>
      <c r="R107" s="160" t="str">
        <f t="array" ref="R107">XLOOKUP(F107,'Step 1 Data Bank'!E:E,'Step 1 Data Bank'!N:N,"",0)</f>
        <v/>
      </c>
      <c r="S107" s="158" t="str">
        <f>IFERROR(IF(ISNUMBER(MATCH(F107,'OLD DATA'!H:H, 0)), "On OLD Data", "Not In Old Data"),"")</f>
        <v>Not In Old Data</v>
      </c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</row>
    <row r="108">
      <c r="A108" s="207">
        <f>IFERROR(__xludf.DUMMYFUNCTION("""COMPUTED_VALUE"""),46113.0)</f>
        <v>46113</v>
      </c>
      <c r="B108" s="158" t="str">
        <f>IFERROR(__xludf.DUMMYFUNCTION("""COMPUTED_VALUE"""),"GOAT")</f>
        <v>GOAT</v>
      </c>
      <c r="C108" s="158" t="str">
        <f>IFERROR(__xludf.DUMMYFUNCTION("""COMPUTED_VALUE"""),"Made Intan Deyana Wirata")</f>
        <v>Made Intan Deyana Wirata</v>
      </c>
      <c r="D108" s="158" t="str">
        <f>IFERROR(__xludf.DUMMYFUNCTION("""COMPUTED_VALUE"""),"Intan")</f>
        <v>Intan</v>
      </c>
      <c r="E108" s="160" t="str">
        <f>IFERROR(__xludf.DUMMYFUNCTION("""COMPUTED_VALUE"""),"ALIA ALIFIA +62 822 9883 6303")</f>
        <v>ALIA ALIFIA +62 822 9883 6303</v>
      </c>
      <c r="F108" s="158">
        <f>IFERROR(__xludf.DUMMYFUNCTION("""COMPUTED_VALUE"""),3.5585115031023E14)</f>
        <v>355851150310230</v>
      </c>
      <c r="G108" s="158" t="str">
        <f>IFERROR(__xludf.DUMMYFUNCTION("""COMPUTED_VALUE"""),"SM-A176BZKKXID")</f>
        <v>SM-A176BZKKXID</v>
      </c>
      <c r="H108" s="160" t="str">
        <f>IFERROR(__xludf.DUMMYFUNCTION("""COMPUTED_VALUE"""),"G-A17-5G (8/256) BLACK (2025)")</f>
        <v>G-A17-5G (8/256) BLACK (2025)</v>
      </c>
      <c r="I108" s="208">
        <f>IFERROR(__xludf.DUMMYFUNCTION("""COMPUTED_VALUE"""),46142.0)</f>
        <v>46142</v>
      </c>
      <c r="J108" s="158">
        <f>IFERROR(__xludf.DUMMYFUNCTION("""COMPUTED_VALUE"""),-61.0)</f>
        <v>-61</v>
      </c>
      <c r="K108" s="160"/>
      <c r="L108" s="158" t="str">
        <f>IFERROR(__xludf.DUMMYFUNCTION("""COMPUTED_VALUE"""),"Not Overdue")</f>
        <v>Not Overdue</v>
      </c>
      <c r="M108" s="158"/>
      <c r="N108" s="158"/>
      <c r="O108" s="158"/>
      <c r="P108" s="158" t="str">
        <f>IFERROR(IF(ISNUMBER(MATCH(F108,'Step 1 Data Bank'!E:E, 0)), "On Data Bank", "Not In Data Bank"),"")</f>
        <v>On Data Bank</v>
      </c>
      <c r="Q108" s="158" t="str">
        <f t="array" ref="Q108">XLOOKUP(F108,'Step 1 Data Bank'!E:E,'Step 1 Data Bank'!M:M,"",0)</f>
        <v>LOANED / ON KOL</v>
      </c>
      <c r="R108" s="160" t="str">
        <f t="array" ref="R108">XLOOKUP(F108,'Step 1 Data Bank'!E:E,'Step 1 Data Bank'!N:N,"",0)</f>
        <v>Davrizojol</v>
      </c>
      <c r="S108" s="158" t="str">
        <f>IFERROR(IF(ISNUMBER(MATCH(F108,'OLD DATA'!H:H, 0)), "On OLD Data", "Not In Old Data"),"")</f>
        <v>Not In Old Data</v>
      </c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</row>
    <row r="109">
      <c r="A109" s="207">
        <f>IFERROR(__xludf.DUMMYFUNCTION("""COMPUTED_VALUE"""),46113.0)</f>
        <v>46113</v>
      </c>
      <c r="B109" s="158" t="str">
        <f>IFERROR(__xludf.DUMMYFUNCTION("""COMPUTED_VALUE"""),"GOAT")</f>
        <v>GOAT</v>
      </c>
      <c r="C109" s="158" t="str">
        <f>IFERROR(__xludf.DUMMYFUNCTION("""COMPUTED_VALUE"""),"Made Intan Deyana Wirata")</f>
        <v>Made Intan Deyana Wirata</v>
      </c>
      <c r="D109" s="158" t="str">
        <f>IFERROR(__xludf.DUMMYFUNCTION("""COMPUTED_VALUE"""),"Intan")</f>
        <v>Intan</v>
      </c>
      <c r="E109" s="160" t="str">
        <f>IFERROR(__xludf.DUMMYFUNCTION("""COMPUTED_VALUE"""),"ALIA ALIFIA +62 822 9883 6303")</f>
        <v>ALIA ALIFIA +62 822 9883 6303</v>
      </c>
      <c r="F109" s="158">
        <f>IFERROR(__xludf.DUMMYFUNCTION("""COMPUTED_VALUE"""),3.51298320043586E14)</f>
        <v>351298320043586</v>
      </c>
      <c r="G109" s="158" t="str">
        <f>IFERROR(__xludf.DUMMYFUNCTION("""COMPUTED_VALUE"""),"SM-S731BZKCXID")</f>
        <v>SM-S731BZKCXID</v>
      </c>
      <c r="H109" s="160" t="str">
        <f>IFERROR(__xludf.DUMMYFUNCTION("""COMPUTED_VALUE"""),"G-S25-FE, 8/256GB, BLACK (2025)")</f>
        <v>G-S25-FE, 8/256GB, BLACK (2025)</v>
      </c>
      <c r="I109" s="208">
        <f>IFERROR(__xludf.DUMMYFUNCTION("""COMPUTED_VALUE"""),46142.0)</f>
        <v>46142</v>
      </c>
      <c r="J109" s="158">
        <f>IFERROR(__xludf.DUMMYFUNCTION("""COMPUTED_VALUE"""),-61.0)</f>
        <v>-61</v>
      </c>
      <c r="K109" s="160"/>
      <c r="L109" s="158" t="str">
        <f>IFERROR(__xludf.DUMMYFUNCTION("""COMPUTED_VALUE"""),"Not Overdue")</f>
        <v>Not Overdue</v>
      </c>
      <c r="M109" s="158"/>
      <c r="N109" s="158"/>
      <c r="O109" s="158"/>
      <c r="P109" s="158" t="str">
        <f>IFERROR(IF(ISNUMBER(MATCH(F109,'Step 1 Data Bank'!E:E, 0)), "On Data Bank", "Not In Data Bank"),"")</f>
        <v>On Data Bank</v>
      </c>
      <c r="Q109" s="158" t="str">
        <f t="array" ref="Q109">XLOOKUP(F109,'Step 1 Data Bank'!E:E,'Step 1 Data Bank'!M:M,"",0)</f>
        <v>LOANED / ON KOL</v>
      </c>
      <c r="R109" s="160" t="str">
        <f t="array" ref="R109">XLOOKUP(F109,'Step 1 Data Bank'!E:E,'Step 1 Data Bank'!N:N,"",0)</f>
        <v>Azzura Bisyir</v>
      </c>
      <c r="S109" s="158" t="str">
        <f>IFERROR(IF(ISNUMBER(MATCH(F109,'OLD DATA'!H:H, 0)), "On OLD Data", "Not In Old Data"),"")</f>
        <v>Not In Old Data</v>
      </c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</row>
    <row r="110">
      <c r="A110" s="207">
        <f>IFERROR(__xludf.DUMMYFUNCTION("""COMPUTED_VALUE"""),46113.0)</f>
        <v>46113</v>
      </c>
      <c r="B110" s="158" t="str">
        <f>IFERROR(__xludf.DUMMYFUNCTION("""COMPUTED_VALUE"""),"GOAT")</f>
        <v>GOAT</v>
      </c>
      <c r="C110" s="158" t="str">
        <f>IFERROR(__xludf.DUMMYFUNCTION("""COMPUTED_VALUE"""),"Made Intan Deyana Wirata")</f>
        <v>Made Intan Deyana Wirata</v>
      </c>
      <c r="D110" s="158" t="str">
        <f>IFERROR(__xludf.DUMMYFUNCTION("""COMPUTED_VALUE"""),"Intan")</f>
        <v>Intan</v>
      </c>
      <c r="E110" s="160" t="str">
        <f>IFERROR(__xludf.DUMMYFUNCTION("""COMPUTED_VALUE"""),"ALIA ALIFIA +62 822 9883 6303")</f>
        <v>ALIA ALIFIA +62 822 9883 6303</v>
      </c>
      <c r="F110" s="158" t="str">
        <f>IFERROR(__xludf.DUMMYFUNCTION("""COMPUTED_VALUE"""),"RFAY82AG9GJ")</f>
        <v>RFAY82AG9GJ</v>
      </c>
      <c r="G110" s="158" t="str">
        <f>IFERROR(__xludf.DUMMYFUNCTION("""COMPUTED_VALUE"""),"SM-R420NZAAXSE")</f>
        <v>SM-R420NZAAXSE</v>
      </c>
      <c r="H110" s="160" t="str">
        <f>IFERROR(__xludf.DUMMYFUNCTION("""COMPUTED_VALUE"""),"G-BUDS3-FE, GRAY (2025)")</f>
        <v>G-BUDS3-FE, GRAY (2025)</v>
      </c>
      <c r="I110" s="208">
        <f>IFERROR(__xludf.DUMMYFUNCTION("""COMPUTED_VALUE"""),46142.0)</f>
        <v>46142</v>
      </c>
      <c r="J110" s="158">
        <f>IFERROR(__xludf.DUMMYFUNCTION("""COMPUTED_VALUE"""),-61.0)</f>
        <v>-61</v>
      </c>
      <c r="K110" s="160"/>
      <c r="L110" s="158" t="str">
        <f>IFERROR(__xludf.DUMMYFUNCTION("""COMPUTED_VALUE"""),"Not Overdue")</f>
        <v>Not Overdue</v>
      </c>
      <c r="M110" s="158"/>
      <c r="N110" s="158"/>
      <c r="O110" s="158"/>
      <c r="P110" s="158" t="str">
        <f>IFERROR(IF(ISNUMBER(MATCH(F110,'Step 1 Data Bank'!E:E, 0)), "On Data Bank", "Not In Data Bank"),"")</f>
        <v>On Data Bank</v>
      </c>
      <c r="Q110" s="158" t="str">
        <f t="array" ref="Q110">XLOOKUP(F110,'Step 1 Data Bank'!E:E,'Step 1 Data Bank'!M:M,"",0)</f>
        <v>LOANED / ON KOL</v>
      </c>
      <c r="R110" s="160" t="str">
        <f t="array" ref="R110">XLOOKUP(F110,'Step 1 Data Bank'!E:E,'Step 1 Data Bank'!N:N,"",0)</f>
        <v>Zuhair</v>
      </c>
      <c r="S110" s="158" t="str">
        <f>IFERROR(IF(ISNUMBER(MATCH(F110,'OLD DATA'!H:H, 0)), "On OLD Data", "Not In Old Data"),"")</f>
        <v>Not In Old Data</v>
      </c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</row>
    <row r="111">
      <c r="A111" s="207">
        <f>IFERROR(__xludf.DUMMYFUNCTION("""COMPUTED_VALUE"""),46113.0)</f>
        <v>46113</v>
      </c>
      <c r="B111" s="158" t="str">
        <f>IFERROR(__xludf.DUMMYFUNCTION("""COMPUTED_VALUE"""),"GOAT")</f>
        <v>GOAT</v>
      </c>
      <c r="C111" s="158" t="str">
        <f>IFERROR(__xludf.DUMMYFUNCTION("""COMPUTED_VALUE"""),"Made Intan Deyana Wirata")</f>
        <v>Made Intan Deyana Wirata</v>
      </c>
      <c r="D111" s="158" t="str">
        <f>IFERROR(__xludf.DUMMYFUNCTION("""COMPUTED_VALUE"""),"Intan")</f>
        <v>Intan</v>
      </c>
      <c r="E111" s="160" t="str">
        <f>IFERROR(__xludf.DUMMYFUNCTION("""COMPUTED_VALUE"""),"ALIA ALIFIA +62 822 9883 6303")</f>
        <v>ALIA ALIFIA +62 822 9883 6303</v>
      </c>
      <c r="F111" s="158">
        <f>IFERROR(__xludf.DUMMYFUNCTION("""COMPUTED_VALUE"""),3.58387120010078E14)</f>
        <v>358387120010078</v>
      </c>
      <c r="G111" s="158" t="str">
        <f>IFERROR(__xludf.DUMMYFUNCTION("""COMPUTED_VALUE"""),"SM-X936BZAAXID")</f>
        <v>SM-X936BZAAXID</v>
      </c>
      <c r="H111" s="160" t="str">
        <f>IFERROR(__xludf.DUMMYFUNCTION("""COMPUTED_VALUE"""),"G-TAB-S11-ULTRA-5G, GRAY (2025)")</f>
        <v>G-TAB-S11-ULTRA-5G, GRAY (2025)</v>
      </c>
      <c r="I111" s="208">
        <f>IFERROR(__xludf.DUMMYFUNCTION("""COMPUTED_VALUE"""),46142.0)</f>
        <v>46142</v>
      </c>
      <c r="J111" s="158">
        <f>IFERROR(__xludf.DUMMYFUNCTION("""COMPUTED_VALUE"""),-61.0)</f>
        <v>-61</v>
      </c>
      <c r="K111" s="160"/>
      <c r="L111" s="158" t="str">
        <f>IFERROR(__xludf.DUMMYFUNCTION("""COMPUTED_VALUE"""),"Not Overdue")</f>
        <v>Not Overdue</v>
      </c>
      <c r="M111" s="158"/>
      <c r="N111" s="158"/>
      <c r="O111" s="158"/>
      <c r="P111" s="158" t="str">
        <f>IFERROR(IF(ISNUMBER(MATCH(F111,'Step 1 Data Bank'!E:E, 0)), "On Data Bank", "Not In Data Bank"),"")</f>
        <v>On Data Bank</v>
      </c>
      <c r="Q111" s="158" t="str">
        <f t="array" ref="Q111">XLOOKUP(F111,'Step 1 Data Bank'!E:E,'Step 1 Data Bank'!M:M,"",0)</f>
        <v>LOANED / ON KOL</v>
      </c>
      <c r="R111" s="160" t="str">
        <f t="array" ref="R111">XLOOKUP(F111,'Step 1 Data Bank'!E:E,'Step 1 Data Bank'!N:N,"",0)</f>
        <v>Taufanoz</v>
      </c>
      <c r="S111" s="158" t="str">
        <f>IFERROR(IF(ISNUMBER(MATCH(F111,'OLD DATA'!H:H, 0)), "On OLD Data", "Not In Old Data"),"")</f>
        <v>Not In Old Data</v>
      </c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</row>
    <row r="112">
      <c r="A112" s="207">
        <f>IFERROR(__xludf.DUMMYFUNCTION("""COMPUTED_VALUE"""),46113.0)</f>
        <v>46113</v>
      </c>
      <c r="B112" s="158" t="str">
        <f>IFERROR(__xludf.DUMMYFUNCTION("""COMPUTED_VALUE"""),"GOAT")</f>
        <v>GOAT</v>
      </c>
      <c r="C112" s="158" t="str">
        <f>IFERROR(__xludf.DUMMYFUNCTION("""COMPUTED_VALUE"""),"Made Intan Deyana Wirata")</f>
        <v>Made Intan Deyana Wirata</v>
      </c>
      <c r="D112" s="158" t="str">
        <f>IFERROR(__xludf.DUMMYFUNCTION("""COMPUTED_VALUE"""),"Intan")</f>
        <v>Intan</v>
      </c>
      <c r="E112" s="160" t="str">
        <f>IFERROR(__xludf.DUMMYFUNCTION("""COMPUTED_VALUE"""),"ALIA ALIFIA +62 822 9883 6303")</f>
        <v>ALIA ALIFIA +62 822 9883 6303</v>
      </c>
      <c r="F112" s="158" t="str">
        <f>IFERROR(__xludf.DUMMYFUNCTION("""COMPUTED_VALUE"""),"RFAY91Z2KKY")</f>
        <v>RFAY91Z2KKY</v>
      </c>
      <c r="G112" s="158" t="str">
        <f>IFERROR(__xludf.DUMMYFUNCTION("""COMPUTED_VALUE"""),"SM-L320NDAAXSE")</f>
        <v>SM-L320NDAAXSE</v>
      </c>
      <c r="H112" s="160" t="str">
        <f>IFERROR(__xludf.DUMMYFUNCTION("""COMPUTED_VALUE"""),"G-WATCH8 40MM DARK GRAY (2025)")</f>
        <v>G-WATCH8 40MM DARK GRAY (2025)</v>
      </c>
      <c r="I112" s="208">
        <f>IFERROR(__xludf.DUMMYFUNCTION("""COMPUTED_VALUE"""),46142.0)</f>
        <v>46142</v>
      </c>
      <c r="J112" s="158">
        <f>IFERROR(__xludf.DUMMYFUNCTION("""COMPUTED_VALUE"""),-61.0)</f>
        <v>-61</v>
      </c>
      <c r="K112" s="160"/>
      <c r="L112" s="158" t="str">
        <f>IFERROR(__xludf.DUMMYFUNCTION("""COMPUTED_VALUE"""),"Not Overdue")</f>
        <v>Not Overdue</v>
      </c>
      <c r="M112" s="158"/>
      <c r="N112" s="158"/>
      <c r="O112" s="158"/>
      <c r="P112" s="158" t="str">
        <f>IFERROR(IF(ISNUMBER(MATCH(F112,'Step 1 Data Bank'!E:E, 0)), "On Data Bank", "Not In Data Bank"),"")</f>
        <v>On Data Bank</v>
      </c>
      <c r="Q112" s="158" t="str">
        <f t="array" ref="Q112">XLOOKUP(F112,'Step 1 Data Bank'!E:E,'Step 1 Data Bank'!M:M,"",0)</f>
        <v>LOANED / ON KOL</v>
      </c>
      <c r="R112" s="160" t="str">
        <f t="array" ref="R112">XLOOKUP(F112,'Step 1 Data Bank'!E:E,'Step 1 Data Bank'!N:N,"",0)</f>
        <v>Zuhair</v>
      </c>
      <c r="S112" s="158" t="str">
        <f>IFERROR(IF(ISNUMBER(MATCH(F112,'OLD DATA'!H:H, 0)), "On OLD Data", "Not In Old Data"),"")</f>
        <v>Not In Old Data</v>
      </c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</row>
    <row r="113">
      <c r="A113" s="207">
        <f>IFERROR(__xludf.DUMMYFUNCTION("""COMPUTED_VALUE"""),46113.0)</f>
        <v>46113</v>
      </c>
      <c r="B113" s="158" t="str">
        <f>IFERROR(__xludf.DUMMYFUNCTION("""COMPUTED_VALUE"""),"GOAT")</f>
        <v>GOAT</v>
      </c>
      <c r="C113" s="158" t="str">
        <f>IFERROR(__xludf.DUMMYFUNCTION("""COMPUTED_VALUE"""),"Made Intan Deyana Wirata")</f>
        <v>Made Intan Deyana Wirata</v>
      </c>
      <c r="D113" s="158" t="str">
        <f>IFERROR(__xludf.DUMMYFUNCTION("""COMPUTED_VALUE"""),"Intan")</f>
        <v>Intan</v>
      </c>
      <c r="E113" s="160" t="str">
        <f>IFERROR(__xludf.DUMMYFUNCTION("""COMPUTED_VALUE"""),"ALIA ALIFIA +62 822 9883 6303")</f>
        <v>ALIA ALIFIA +62 822 9883 6303</v>
      </c>
      <c r="F113" s="158" t="str">
        <f>IFERROR(__xludf.DUMMYFUNCTION("""COMPUTED_VALUE"""),"RFAY922LAAZ")</f>
        <v>RFAY922LAAZ</v>
      </c>
      <c r="G113" s="158" t="str">
        <f>IFERROR(__xludf.DUMMYFUNCTION("""COMPUTED_VALUE"""),"SM-L320NZSAXSE")</f>
        <v>SM-L320NZSAXSE</v>
      </c>
      <c r="H113" s="160" t="str">
        <f>IFERROR(__xludf.DUMMYFUNCTION("""COMPUTED_VALUE"""),"G-WATCH8 40MM SILVER (2025)")</f>
        <v>G-WATCH8 40MM SILVER (2025)</v>
      </c>
      <c r="I113" s="208">
        <f>IFERROR(__xludf.DUMMYFUNCTION("""COMPUTED_VALUE"""),46142.0)</f>
        <v>46142</v>
      </c>
      <c r="J113" s="158">
        <f>IFERROR(__xludf.DUMMYFUNCTION("""COMPUTED_VALUE"""),-61.0)</f>
        <v>-61</v>
      </c>
      <c r="K113" s="160"/>
      <c r="L113" s="158" t="str">
        <f>IFERROR(__xludf.DUMMYFUNCTION("""COMPUTED_VALUE"""),"Not Overdue")</f>
        <v>Not Overdue</v>
      </c>
      <c r="M113" s="158"/>
      <c r="N113" s="158"/>
      <c r="O113" s="158"/>
      <c r="P113" s="158" t="str">
        <f>IFERROR(IF(ISNUMBER(MATCH(F113,'Step 1 Data Bank'!E:E, 0)), "On Data Bank", "Not In Data Bank"),"")</f>
        <v>On Data Bank</v>
      </c>
      <c r="Q113" s="158" t="str">
        <f t="array" ref="Q113">XLOOKUP(F113,'Step 1 Data Bank'!E:E,'Step 1 Data Bank'!M:M,"",0)</f>
        <v>LOANED / ON KOL</v>
      </c>
      <c r="R113" s="160" t="str">
        <f t="array" ref="R113">XLOOKUP(F113,'Step 1 Data Bank'!E:E,'Step 1 Data Bank'!N:N,"",0)</f>
        <v>Shafa Lubis</v>
      </c>
      <c r="S113" s="158" t="str">
        <f>IFERROR(IF(ISNUMBER(MATCH(F113,'OLD DATA'!H:H, 0)), "On OLD Data", "Not In Old Data"),"")</f>
        <v>Not In Old Data</v>
      </c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</row>
    <row r="114">
      <c r="A114" s="207">
        <f>IFERROR(__xludf.DUMMYFUNCTION("""COMPUTED_VALUE"""),46143.0)</f>
        <v>46143</v>
      </c>
      <c r="B114" s="158" t="str">
        <f>IFERROR(__xludf.DUMMYFUNCTION("""COMPUTED_VALUE"""),"GOAT")</f>
        <v>GOAT</v>
      </c>
      <c r="C114" s="158" t="str">
        <f>IFERROR(__xludf.DUMMYFUNCTION("""COMPUTED_VALUE"""),"Made Intan Deyana Wirata")</f>
        <v>Made Intan Deyana Wirata</v>
      </c>
      <c r="D114" s="158" t="str">
        <f>IFERROR(__xludf.DUMMYFUNCTION("""COMPUTED_VALUE"""),"Yaya")</f>
        <v>Yaya</v>
      </c>
      <c r="E114" s="160" t="str">
        <f>IFERROR(__xludf.DUMMYFUNCTION("""COMPUTED_VALUE"""),"TASHYA FEBRIANI +62 812-9933-3295")</f>
        <v>TASHYA FEBRIANI +62 812-9933-3295</v>
      </c>
      <c r="F114" s="158">
        <f>IFERROR(__xludf.DUMMYFUNCTION("""COMPUTED_VALUE"""),3.50576850050233E14)</f>
        <v>350576850050233</v>
      </c>
      <c r="G114" s="158" t="str">
        <f>IFERROR(__xludf.DUMMYFUNCTION("""COMPUTED_VALUE"""),"SM-A075FZKDXID")</f>
        <v>SM-A075FZKDXID</v>
      </c>
      <c r="H114" s="160" t="str">
        <f>IFERROR(__xludf.DUMMYFUNCTION("""COMPUTED_VALUE"""),"G-A07 (4/64) BLACK (2025)")</f>
        <v>G-A07 (4/64) BLACK (2025)</v>
      </c>
      <c r="I114" s="209">
        <f>IFERROR(__xludf.DUMMYFUNCTION("""COMPUTED_VALUE"""),46167.0)</f>
        <v>46167</v>
      </c>
      <c r="J114" s="158">
        <f>IFERROR(__xludf.DUMMYFUNCTION("""COMPUTED_VALUE"""),-86.0)</f>
        <v>-86</v>
      </c>
      <c r="K114" s="160"/>
      <c r="L114" s="158" t="str">
        <f>IFERROR(__xludf.DUMMYFUNCTION("""COMPUTED_VALUE"""),"Not Overdue")</f>
        <v>Not Overdue</v>
      </c>
      <c r="M114" s="158"/>
      <c r="N114" s="158"/>
      <c r="O114" s="158"/>
      <c r="P114" s="158" t="str">
        <f>IFERROR(IF(ISNUMBER(MATCH(F114,'Step 1 Data Bank'!E:E, 0)), "On Data Bank", "Not In Data Bank"),"")</f>
        <v>Not In Data Bank</v>
      </c>
      <c r="Q114" s="158" t="str">
        <f t="array" ref="Q114">XLOOKUP(F114,'Step 1 Data Bank'!E:E,'Step 1 Data Bank'!M:M,"",0)</f>
        <v/>
      </c>
      <c r="R114" s="160" t="str">
        <f t="array" ref="R114">XLOOKUP(F114,'Step 1 Data Bank'!E:E,'Step 1 Data Bank'!N:N,"",0)</f>
        <v/>
      </c>
      <c r="S114" s="158" t="str">
        <f>IFERROR(IF(ISNUMBER(MATCH(F114,'OLD DATA'!H:H, 0)), "On OLD Data", "Not In Old Data"),"")</f>
        <v>Not In Old Data</v>
      </c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</row>
    <row r="115">
      <c r="A115" s="207">
        <f>IFERROR(__xludf.DUMMYFUNCTION("""COMPUTED_VALUE"""),46143.0)</f>
        <v>46143</v>
      </c>
      <c r="B115" s="158" t="str">
        <f>IFERROR(__xludf.DUMMYFUNCTION("""COMPUTED_VALUE"""),"GOAT")</f>
        <v>GOAT</v>
      </c>
      <c r="C115" s="158" t="str">
        <f>IFERROR(__xludf.DUMMYFUNCTION("""COMPUTED_VALUE"""),"Made Intan Deyana Wirata")</f>
        <v>Made Intan Deyana Wirata</v>
      </c>
      <c r="D115" s="158" t="str">
        <f>IFERROR(__xludf.DUMMYFUNCTION("""COMPUTED_VALUE"""),"Yaya")</f>
        <v>Yaya</v>
      </c>
      <c r="E115" s="160" t="str">
        <f>IFERROR(__xludf.DUMMYFUNCTION("""COMPUTED_VALUE"""),"TASHYA FEBRIANI +62 812-9933-3295")</f>
        <v>TASHYA FEBRIANI +62 812-9933-3295</v>
      </c>
      <c r="F115" s="158">
        <f>IFERROR(__xludf.DUMMYFUNCTION("""COMPUTED_VALUE"""),3.5057685004973E14)</f>
        <v>350576850049730</v>
      </c>
      <c r="G115" s="158" t="str">
        <f>IFERROR(__xludf.DUMMYFUNCTION("""COMPUTED_VALUE"""),"SM-A075FZKDXID")</f>
        <v>SM-A075FZKDXID</v>
      </c>
      <c r="H115" s="160" t="str">
        <f>IFERROR(__xludf.DUMMYFUNCTION("""COMPUTED_VALUE"""),"G-A07 (4/64) BLACK (2025)")</f>
        <v>G-A07 (4/64) BLACK (2025)</v>
      </c>
      <c r="I115" s="209">
        <f>IFERROR(__xludf.DUMMYFUNCTION("""COMPUTED_VALUE"""),46167.0)</f>
        <v>46167</v>
      </c>
      <c r="J115" s="158">
        <f>IFERROR(__xludf.DUMMYFUNCTION("""COMPUTED_VALUE"""),-86.0)</f>
        <v>-86</v>
      </c>
      <c r="K115" s="160"/>
      <c r="L115" s="158" t="str">
        <f>IFERROR(__xludf.DUMMYFUNCTION("""COMPUTED_VALUE"""),"Not Overdue")</f>
        <v>Not Overdue</v>
      </c>
      <c r="M115" s="158"/>
      <c r="N115" s="158"/>
      <c r="O115" s="158"/>
      <c r="P115" s="158" t="str">
        <f>IFERROR(IF(ISNUMBER(MATCH(F115,'Step 1 Data Bank'!E:E, 0)), "On Data Bank", "Not In Data Bank"),"")</f>
        <v>Not In Data Bank</v>
      </c>
      <c r="Q115" s="158" t="str">
        <f t="array" ref="Q115">XLOOKUP(F115,'Step 1 Data Bank'!E:E,'Step 1 Data Bank'!M:M,"",0)</f>
        <v/>
      </c>
      <c r="R115" s="160" t="str">
        <f t="array" ref="R115">XLOOKUP(F115,'Step 1 Data Bank'!E:E,'Step 1 Data Bank'!N:N,"",0)</f>
        <v/>
      </c>
      <c r="S115" s="158" t="str">
        <f>IFERROR(IF(ISNUMBER(MATCH(F115,'OLD DATA'!H:H, 0)), "On OLD Data", "Not In Old Data"),"")</f>
        <v>Not In Old Data</v>
      </c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</row>
    <row r="116">
      <c r="A116" s="207">
        <f>IFERROR(__xludf.DUMMYFUNCTION("""COMPUTED_VALUE"""),46143.0)</f>
        <v>46143</v>
      </c>
      <c r="B116" s="158" t="str">
        <f>IFERROR(__xludf.DUMMYFUNCTION("""COMPUTED_VALUE"""),"GOAT")</f>
        <v>GOAT</v>
      </c>
      <c r="C116" s="158" t="str">
        <f>IFERROR(__xludf.DUMMYFUNCTION("""COMPUTED_VALUE"""),"Made Intan Deyana Wirata")</f>
        <v>Made Intan Deyana Wirata</v>
      </c>
      <c r="D116" s="158" t="str">
        <f>IFERROR(__xludf.DUMMYFUNCTION("""COMPUTED_VALUE"""),"Yaya")</f>
        <v>Yaya</v>
      </c>
      <c r="E116" s="160" t="str">
        <f>IFERROR(__xludf.DUMMYFUNCTION("""COMPUTED_VALUE"""),"TASHYA FEBRIANI +62 812-9933-3295")</f>
        <v>TASHYA FEBRIANI +62 812-9933-3295</v>
      </c>
      <c r="F116" s="158">
        <f>IFERROR(__xludf.DUMMYFUNCTION("""COMPUTED_VALUE"""),3.51225500068133E14)</f>
        <v>351225500068133</v>
      </c>
      <c r="G116" s="158" t="str">
        <f>IFERROR(__xludf.DUMMYFUNCTION("""COMPUTED_VALUE"""),"SM-A075FZGGXID")</f>
        <v>SM-A075FZGGXID</v>
      </c>
      <c r="H116" s="160" t="str">
        <f>IFERROR(__xludf.DUMMYFUNCTION("""COMPUTED_VALUE"""),"G-A07 (4/128) GREEN (2025)")</f>
        <v>G-A07 (4/128) GREEN (2025)</v>
      </c>
      <c r="I116" s="209">
        <f>IFERROR(__xludf.DUMMYFUNCTION("""COMPUTED_VALUE"""),46167.0)</f>
        <v>46167</v>
      </c>
      <c r="J116" s="158">
        <f>IFERROR(__xludf.DUMMYFUNCTION("""COMPUTED_VALUE"""),-86.0)</f>
        <v>-86</v>
      </c>
      <c r="K116" s="160"/>
      <c r="L116" s="158" t="str">
        <f>IFERROR(__xludf.DUMMYFUNCTION("""COMPUTED_VALUE"""),"Not Overdue")</f>
        <v>Not Overdue</v>
      </c>
      <c r="M116" s="158"/>
      <c r="N116" s="158"/>
      <c r="O116" s="158"/>
      <c r="P116" s="158" t="str">
        <f>IFERROR(IF(ISNUMBER(MATCH(F116,'Step 1 Data Bank'!E:E, 0)), "On Data Bank", "Not In Data Bank"),"")</f>
        <v>Not In Data Bank</v>
      </c>
      <c r="Q116" s="158" t="str">
        <f t="array" ref="Q116">XLOOKUP(F116,'Step 1 Data Bank'!E:E,'Step 1 Data Bank'!M:M,"",0)</f>
        <v/>
      </c>
      <c r="R116" s="160" t="str">
        <f t="array" ref="R116">XLOOKUP(F116,'Step 1 Data Bank'!E:E,'Step 1 Data Bank'!N:N,"",0)</f>
        <v/>
      </c>
      <c r="S116" s="158" t="str">
        <f>IFERROR(IF(ISNUMBER(MATCH(F116,'OLD DATA'!H:H, 0)), "On OLD Data", "Not In Old Data"),"")</f>
        <v>Not In Old Data</v>
      </c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</row>
    <row r="117">
      <c r="A117" s="207">
        <f>IFERROR(__xludf.DUMMYFUNCTION("""COMPUTED_VALUE"""),46143.0)</f>
        <v>46143</v>
      </c>
      <c r="B117" s="158" t="str">
        <f>IFERROR(__xludf.DUMMYFUNCTION("""COMPUTED_VALUE"""),"GOAT")</f>
        <v>GOAT</v>
      </c>
      <c r="C117" s="158" t="str">
        <f>IFERROR(__xludf.DUMMYFUNCTION("""COMPUTED_VALUE"""),"Made Intan Deyana Wirata")</f>
        <v>Made Intan Deyana Wirata</v>
      </c>
      <c r="D117" s="158" t="str">
        <f>IFERROR(__xludf.DUMMYFUNCTION("""COMPUTED_VALUE"""),"Yaya")</f>
        <v>Yaya</v>
      </c>
      <c r="E117" s="160" t="str">
        <f>IFERROR(__xludf.DUMMYFUNCTION("""COMPUTED_VALUE"""),"TASHYA FEBRIANI +62 812-9933-3295")</f>
        <v>TASHYA FEBRIANI +62 812-9933-3295</v>
      </c>
      <c r="F117" s="158">
        <f>IFERROR(__xludf.DUMMYFUNCTION("""COMPUTED_VALUE"""),3.51225500068307E14)</f>
        <v>351225500068307</v>
      </c>
      <c r="G117" s="158" t="str">
        <f>IFERROR(__xludf.DUMMYFUNCTION("""COMPUTED_VALUE"""),"SM-A075FZGGXID")</f>
        <v>SM-A075FZGGXID</v>
      </c>
      <c r="H117" s="160" t="str">
        <f>IFERROR(__xludf.DUMMYFUNCTION("""COMPUTED_VALUE"""),"G-A07 (4/128) GREEN (2025)")</f>
        <v>G-A07 (4/128) GREEN (2025)</v>
      </c>
      <c r="I117" s="209">
        <f>IFERROR(__xludf.DUMMYFUNCTION("""COMPUTED_VALUE"""),46167.0)</f>
        <v>46167</v>
      </c>
      <c r="J117" s="158">
        <f>IFERROR(__xludf.DUMMYFUNCTION("""COMPUTED_VALUE"""),-86.0)</f>
        <v>-86</v>
      </c>
      <c r="K117" s="160"/>
      <c r="L117" s="158" t="str">
        <f>IFERROR(__xludf.DUMMYFUNCTION("""COMPUTED_VALUE"""),"Not Overdue")</f>
        <v>Not Overdue</v>
      </c>
      <c r="M117" s="158"/>
      <c r="N117" s="158"/>
      <c r="O117" s="158"/>
      <c r="P117" s="158" t="str">
        <f>IFERROR(IF(ISNUMBER(MATCH(F117,'Step 1 Data Bank'!E:E, 0)), "On Data Bank", "Not In Data Bank"),"")</f>
        <v>Not In Data Bank</v>
      </c>
      <c r="Q117" s="158" t="str">
        <f t="array" ref="Q117">XLOOKUP(F117,'Step 1 Data Bank'!E:E,'Step 1 Data Bank'!M:M,"",0)</f>
        <v/>
      </c>
      <c r="R117" s="160" t="str">
        <f t="array" ref="R117">XLOOKUP(F117,'Step 1 Data Bank'!E:E,'Step 1 Data Bank'!N:N,"",0)</f>
        <v/>
      </c>
      <c r="S117" s="158" t="str">
        <f>IFERROR(IF(ISNUMBER(MATCH(F117,'OLD DATA'!H:H, 0)), "On OLD Data", "Not In Old Data"),"")</f>
        <v>Not In Old Data</v>
      </c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</row>
    <row r="118">
      <c r="A118" s="207">
        <f>IFERROR(__xludf.DUMMYFUNCTION("""COMPUTED_VALUE"""),46143.0)</f>
        <v>46143</v>
      </c>
      <c r="B118" s="158" t="str">
        <f>IFERROR(__xludf.DUMMYFUNCTION("""COMPUTED_VALUE"""),"GOAT")</f>
        <v>GOAT</v>
      </c>
      <c r="C118" s="158" t="str">
        <f>IFERROR(__xludf.DUMMYFUNCTION("""COMPUTED_VALUE"""),"Made Intan Deyana Wirata")</f>
        <v>Made Intan Deyana Wirata</v>
      </c>
      <c r="D118" s="158" t="str">
        <f>IFERROR(__xludf.DUMMYFUNCTION("""COMPUTED_VALUE"""),"Yaya")</f>
        <v>Yaya</v>
      </c>
      <c r="E118" s="160" t="str">
        <f>IFERROR(__xludf.DUMMYFUNCTION("""COMPUTED_VALUE"""),"TASHYA FEBRIANI +62 812-9933-3295")</f>
        <v>TASHYA FEBRIANI +62 812-9933-3295</v>
      </c>
      <c r="F118" s="158">
        <f>IFERROR(__xludf.DUMMYFUNCTION("""COMPUTED_VALUE"""),3.50576850173928E14)</f>
        <v>350576850173928</v>
      </c>
      <c r="G118" s="158" t="str">
        <f>IFERROR(__xludf.DUMMYFUNCTION("""COMPUTED_VALUE"""),"SM-A075FLVDXID")</f>
        <v>SM-A075FLVDXID</v>
      </c>
      <c r="H118" s="160" t="str">
        <f>IFERROR(__xludf.DUMMYFUNCTION("""COMPUTED_VALUE"""),"G-A07 (4/64) LIGHT VIOLET (2025)")</f>
        <v>G-A07 (4/64) LIGHT VIOLET (2025)</v>
      </c>
      <c r="I118" s="209">
        <f>IFERROR(__xludf.DUMMYFUNCTION("""COMPUTED_VALUE"""),46167.0)</f>
        <v>46167</v>
      </c>
      <c r="J118" s="158">
        <f>IFERROR(__xludf.DUMMYFUNCTION("""COMPUTED_VALUE"""),-86.0)</f>
        <v>-86</v>
      </c>
      <c r="K118" s="160"/>
      <c r="L118" s="158" t="str">
        <f>IFERROR(__xludf.DUMMYFUNCTION("""COMPUTED_VALUE"""),"Not Overdue")</f>
        <v>Not Overdue</v>
      </c>
      <c r="M118" s="158"/>
      <c r="N118" s="158"/>
      <c r="O118" s="158"/>
      <c r="P118" s="158" t="str">
        <f>IFERROR(IF(ISNUMBER(MATCH(F118,'Step 1 Data Bank'!E:E, 0)), "On Data Bank", "Not In Data Bank"),"")</f>
        <v>Not In Data Bank</v>
      </c>
      <c r="Q118" s="158" t="str">
        <f t="array" ref="Q118">XLOOKUP(F118,'Step 1 Data Bank'!E:E,'Step 1 Data Bank'!M:M,"",0)</f>
        <v/>
      </c>
      <c r="R118" s="160" t="str">
        <f t="array" ref="R118">XLOOKUP(F118,'Step 1 Data Bank'!E:E,'Step 1 Data Bank'!N:N,"",0)</f>
        <v/>
      </c>
      <c r="S118" s="158" t="str">
        <f>IFERROR(IF(ISNUMBER(MATCH(F118,'OLD DATA'!H:H, 0)), "On OLD Data", "Not In Old Data"),"")</f>
        <v>Not In Old Data</v>
      </c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</row>
    <row r="119">
      <c r="A119" s="207">
        <f>IFERROR(__xludf.DUMMYFUNCTION("""COMPUTED_VALUE"""),46143.0)</f>
        <v>46143</v>
      </c>
      <c r="B119" s="158" t="str">
        <f>IFERROR(__xludf.DUMMYFUNCTION("""COMPUTED_VALUE"""),"GOAT")</f>
        <v>GOAT</v>
      </c>
      <c r="C119" s="158" t="str">
        <f>IFERROR(__xludf.DUMMYFUNCTION("""COMPUTED_VALUE"""),"Made Intan Deyana Wirata")</f>
        <v>Made Intan Deyana Wirata</v>
      </c>
      <c r="D119" s="158" t="str">
        <f>IFERROR(__xludf.DUMMYFUNCTION("""COMPUTED_VALUE"""),"Yaya")</f>
        <v>Yaya</v>
      </c>
      <c r="E119" s="160" t="str">
        <f>IFERROR(__xludf.DUMMYFUNCTION("""COMPUTED_VALUE"""),"TASHYA FEBRIANI +62 812-9933-3295")</f>
        <v>TASHYA FEBRIANI +62 812-9933-3295</v>
      </c>
      <c r="F119" s="158">
        <f>IFERROR(__xludf.DUMMYFUNCTION("""COMPUTED_VALUE"""),3.55851150270376E14)</f>
        <v>355851150270376</v>
      </c>
      <c r="G119" s="158" t="str">
        <f>IFERROR(__xludf.DUMMYFUNCTION("""COMPUTED_VALUE"""),"SM-A176BZAKXID")</f>
        <v>SM-A176BZAKXID</v>
      </c>
      <c r="H119" s="160" t="str">
        <f>IFERROR(__xludf.DUMMYFUNCTION("""COMPUTED_VALUE"""),"G-A17-5G (8/256) GRAY (2025)")</f>
        <v>G-A17-5G (8/256) GRAY (2025)</v>
      </c>
      <c r="I119" s="209">
        <f>IFERROR(__xludf.DUMMYFUNCTION("""COMPUTED_VALUE"""),46167.0)</f>
        <v>46167</v>
      </c>
      <c r="J119" s="158">
        <f>IFERROR(__xludf.DUMMYFUNCTION("""COMPUTED_VALUE"""),-86.0)</f>
        <v>-86</v>
      </c>
      <c r="K119" s="160"/>
      <c r="L119" s="158" t="str">
        <f>IFERROR(__xludf.DUMMYFUNCTION("""COMPUTED_VALUE"""),"Not Overdue")</f>
        <v>Not Overdue</v>
      </c>
      <c r="M119" s="158"/>
      <c r="N119" s="158"/>
      <c r="O119" s="158"/>
      <c r="P119" s="158" t="str">
        <f>IFERROR(IF(ISNUMBER(MATCH(F119,'Step 1 Data Bank'!E:E, 0)), "On Data Bank", "Not In Data Bank"),"")</f>
        <v>Not In Data Bank</v>
      </c>
      <c r="Q119" s="158" t="str">
        <f t="array" ref="Q119">XLOOKUP(F119,'Step 1 Data Bank'!E:E,'Step 1 Data Bank'!M:M,"",0)</f>
        <v/>
      </c>
      <c r="R119" s="160" t="str">
        <f t="array" ref="R119">XLOOKUP(F119,'Step 1 Data Bank'!E:E,'Step 1 Data Bank'!N:N,"",0)</f>
        <v/>
      </c>
      <c r="S119" s="158" t="str">
        <f>IFERROR(IF(ISNUMBER(MATCH(F119,'OLD DATA'!H:H, 0)), "On OLD Data", "Not In Old Data"),"")</f>
        <v>Not In Old Data</v>
      </c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</row>
    <row r="120">
      <c r="A120" s="207">
        <f>IFERROR(__xludf.DUMMYFUNCTION("""COMPUTED_VALUE"""),46143.0)</f>
        <v>46143</v>
      </c>
      <c r="B120" s="158" t="str">
        <f>IFERROR(__xludf.DUMMYFUNCTION("""COMPUTED_VALUE"""),"GOAT")</f>
        <v>GOAT</v>
      </c>
      <c r="C120" s="158" t="str">
        <f>IFERROR(__xludf.DUMMYFUNCTION("""COMPUTED_VALUE"""),"Made Intan Deyana Wirata")</f>
        <v>Made Intan Deyana Wirata</v>
      </c>
      <c r="D120" s="158" t="str">
        <f>IFERROR(__xludf.DUMMYFUNCTION("""COMPUTED_VALUE"""),"Yaya")</f>
        <v>Yaya</v>
      </c>
      <c r="E120" s="160" t="str">
        <f>IFERROR(__xludf.DUMMYFUNCTION("""COMPUTED_VALUE"""),"TASHYA FEBRIANI +62 812-9933-3295")</f>
        <v>TASHYA FEBRIANI +62 812-9933-3295</v>
      </c>
      <c r="F120" s="158">
        <f>IFERROR(__xludf.DUMMYFUNCTION("""COMPUTED_VALUE"""),3.55851150267695E14)</f>
        <v>355851150267695</v>
      </c>
      <c r="G120" s="158" t="str">
        <f>IFERROR(__xludf.DUMMYFUNCTION("""COMPUTED_VALUE"""),"SM-A176BZAKXID")</f>
        <v>SM-A176BZAKXID</v>
      </c>
      <c r="H120" s="160" t="str">
        <f>IFERROR(__xludf.DUMMYFUNCTION("""COMPUTED_VALUE"""),"G-A17-5G (8/256) GRAY (2025)")</f>
        <v>G-A17-5G (8/256) GRAY (2025)</v>
      </c>
      <c r="I120" s="209">
        <f>IFERROR(__xludf.DUMMYFUNCTION("""COMPUTED_VALUE"""),46167.0)</f>
        <v>46167</v>
      </c>
      <c r="J120" s="158">
        <f>IFERROR(__xludf.DUMMYFUNCTION("""COMPUTED_VALUE"""),-86.0)</f>
        <v>-86</v>
      </c>
      <c r="K120" s="160"/>
      <c r="L120" s="158" t="str">
        <f>IFERROR(__xludf.DUMMYFUNCTION("""COMPUTED_VALUE"""),"Not Overdue")</f>
        <v>Not Overdue</v>
      </c>
      <c r="M120" s="158"/>
      <c r="N120" s="158"/>
      <c r="O120" s="158"/>
      <c r="P120" s="158" t="str">
        <f>IFERROR(IF(ISNUMBER(MATCH(F120,'Step 1 Data Bank'!E:E, 0)), "On Data Bank", "Not In Data Bank"),"")</f>
        <v>Not In Data Bank</v>
      </c>
      <c r="Q120" s="158" t="str">
        <f t="array" ref="Q120">XLOOKUP(F120,'Step 1 Data Bank'!E:E,'Step 1 Data Bank'!M:M,"",0)</f>
        <v/>
      </c>
      <c r="R120" s="160" t="str">
        <f t="array" ref="R120">XLOOKUP(F120,'Step 1 Data Bank'!E:E,'Step 1 Data Bank'!N:N,"",0)</f>
        <v/>
      </c>
      <c r="S120" s="158" t="str">
        <f>IFERROR(IF(ISNUMBER(MATCH(F120,'OLD DATA'!H:H, 0)), "On OLD Data", "Not In Old Data"),"")</f>
        <v>Not In Old Data</v>
      </c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</row>
    <row r="121">
      <c r="A121" s="207">
        <f>IFERROR(__xludf.DUMMYFUNCTION("""COMPUTED_VALUE"""),46143.0)</f>
        <v>46143</v>
      </c>
      <c r="B121" s="158" t="str">
        <f>IFERROR(__xludf.DUMMYFUNCTION("""COMPUTED_VALUE"""),"GOAT")</f>
        <v>GOAT</v>
      </c>
      <c r="C121" s="158" t="str">
        <f>IFERROR(__xludf.DUMMYFUNCTION("""COMPUTED_VALUE"""),"Made Intan Deyana Wirata")</f>
        <v>Made Intan Deyana Wirata</v>
      </c>
      <c r="D121" s="158" t="str">
        <f>IFERROR(__xludf.DUMMYFUNCTION("""COMPUTED_VALUE"""),"Yaya")</f>
        <v>Yaya</v>
      </c>
      <c r="E121" s="160" t="str">
        <f>IFERROR(__xludf.DUMMYFUNCTION("""COMPUTED_VALUE"""),"TASHYA FEBRIANI +62 812-9933-3295")</f>
        <v>TASHYA FEBRIANI +62 812-9933-3295</v>
      </c>
      <c r="F121" s="158">
        <f>IFERROR(__xludf.DUMMYFUNCTION("""COMPUTED_VALUE"""),3.55851150216718E14)</f>
        <v>355851150216718</v>
      </c>
      <c r="G121" s="158" t="str">
        <f>IFERROR(__xludf.DUMMYFUNCTION("""COMPUTED_VALUE"""),"SM-A176BZBKXID")</f>
        <v>SM-A176BZBKXID</v>
      </c>
      <c r="H121" s="160" t="str">
        <f>IFERROR(__xludf.DUMMYFUNCTION("""COMPUTED_VALUE"""),"G-A17-5G (8/256) BLUE (2025)")</f>
        <v>G-A17-5G (8/256) BLUE (2025)</v>
      </c>
      <c r="I121" s="209">
        <f>IFERROR(__xludf.DUMMYFUNCTION("""COMPUTED_VALUE"""),46167.0)</f>
        <v>46167</v>
      </c>
      <c r="J121" s="158">
        <f>IFERROR(__xludf.DUMMYFUNCTION("""COMPUTED_VALUE"""),-86.0)</f>
        <v>-86</v>
      </c>
      <c r="K121" s="160"/>
      <c r="L121" s="158" t="str">
        <f>IFERROR(__xludf.DUMMYFUNCTION("""COMPUTED_VALUE"""),"Not Overdue")</f>
        <v>Not Overdue</v>
      </c>
      <c r="M121" s="158"/>
      <c r="N121" s="158"/>
      <c r="O121" s="158"/>
      <c r="P121" s="158" t="str">
        <f>IFERROR(IF(ISNUMBER(MATCH(F121,'Step 1 Data Bank'!E:E, 0)), "On Data Bank", "Not In Data Bank"),"")</f>
        <v>Not In Data Bank</v>
      </c>
      <c r="Q121" s="158" t="str">
        <f t="array" ref="Q121">XLOOKUP(F121,'Step 1 Data Bank'!E:E,'Step 1 Data Bank'!M:M,"",0)</f>
        <v/>
      </c>
      <c r="R121" s="160" t="str">
        <f t="array" ref="R121">XLOOKUP(F121,'Step 1 Data Bank'!E:E,'Step 1 Data Bank'!N:N,"",0)</f>
        <v/>
      </c>
      <c r="S121" s="158" t="str">
        <f>IFERROR(IF(ISNUMBER(MATCH(F121,'OLD DATA'!H:H, 0)), "On OLD Data", "Not In Old Data"),"")</f>
        <v>Not In Old Data</v>
      </c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</row>
    <row r="122">
      <c r="A122" s="207">
        <f>IFERROR(__xludf.DUMMYFUNCTION("""COMPUTED_VALUE"""),46143.0)</f>
        <v>46143</v>
      </c>
      <c r="B122" s="158" t="str">
        <f>IFERROR(__xludf.DUMMYFUNCTION("""COMPUTED_VALUE"""),"GOAT")</f>
        <v>GOAT</v>
      </c>
      <c r="C122" s="158" t="str">
        <f>IFERROR(__xludf.DUMMYFUNCTION("""COMPUTED_VALUE"""),"Made Intan Deyana Wirata")</f>
        <v>Made Intan Deyana Wirata</v>
      </c>
      <c r="D122" s="158" t="str">
        <f>IFERROR(__xludf.DUMMYFUNCTION("""COMPUTED_VALUE"""),"Yaya")</f>
        <v>Yaya</v>
      </c>
      <c r="E122" s="160" t="str">
        <f>IFERROR(__xludf.DUMMYFUNCTION("""COMPUTED_VALUE"""),"TASHYA FEBRIANI +62 812-9933-3295")</f>
        <v>TASHYA FEBRIANI +62 812-9933-3295</v>
      </c>
      <c r="F122" s="158">
        <f>IFERROR(__xludf.DUMMYFUNCTION("""COMPUTED_VALUE"""),3.55851150222146E14)</f>
        <v>355851150222146</v>
      </c>
      <c r="G122" s="158" t="str">
        <f>IFERROR(__xludf.DUMMYFUNCTION("""COMPUTED_VALUE"""),"SM-A176BZBKXID")</f>
        <v>SM-A176BZBKXID</v>
      </c>
      <c r="H122" s="160" t="str">
        <f>IFERROR(__xludf.DUMMYFUNCTION("""COMPUTED_VALUE"""),"G-A17-5G (8/256) BLUE (2025)")</f>
        <v>G-A17-5G (8/256) BLUE (2025)</v>
      </c>
      <c r="I122" s="209">
        <f>IFERROR(__xludf.DUMMYFUNCTION("""COMPUTED_VALUE"""),46167.0)</f>
        <v>46167</v>
      </c>
      <c r="J122" s="158">
        <f>IFERROR(__xludf.DUMMYFUNCTION("""COMPUTED_VALUE"""),-86.0)</f>
        <v>-86</v>
      </c>
      <c r="K122" s="160"/>
      <c r="L122" s="158" t="str">
        <f>IFERROR(__xludf.DUMMYFUNCTION("""COMPUTED_VALUE"""),"Not Overdue")</f>
        <v>Not Overdue</v>
      </c>
      <c r="M122" s="158"/>
      <c r="N122" s="158"/>
      <c r="O122" s="158"/>
      <c r="P122" s="158" t="str">
        <f>IFERROR(IF(ISNUMBER(MATCH(F122,'Step 1 Data Bank'!E:E, 0)), "On Data Bank", "Not In Data Bank"),"")</f>
        <v>Not In Data Bank</v>
      </c>
      <c r="Q122" s="158" t="str">
        <f t="array" ref="Q122">XLOOKUP(F122,'Step 1 Data Bank'!E:E,'Step 1 Data Bank'!M:M,"",0)</f>
        <v/>
      </c>
      <c r="R122" s="160" t="str">
        <f t="array" ref="R122">XLOOKUP(F122,'Step 1 Data Bank'!E:E,'Step 1 Data Bank'!N:N,"",0)</f>
        <v/>
      </c>
      <c r="S122" s="158" t="str">
        <f>IFERROR(IF(ISNUMBER(MATCH(F122,'OLD DATA'!H:H, 0)), "On OLD Data", "Not In Old Data"),"")</f>
        <v>Not In Old Data</v>
      </c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</row>
    <row r="123">
      <c r="A123" s="207">
        <f>IFERROR(__xludf.DUMMYFUNCTION("""COMPUTED_VALUE"""),46143.0)</f>
        <v>46143</v>
      </c>
      <c r="B123" s="158" t="str">
        <f>IFERROR(__xludf.DUMMYFUNCTION("""COMPUTED_VALUE"""),"GOAT")</f>
        <v>GOAT</v>
      </c>
      <c r="C123" s="158" t="str">
        <f>IFERROR(__xludf.DUMMYFUNCTION("""COMPUTED_VALUE"""),"Made Intan Deyana Wirata")</f>
        <v>Made Intan Deyana Wirata</v>
      </c>
      <c r="D123" s="158" t="str">
        <f>IFERROR(__xludf.DUMMYFUNCTION("""COMPUTED_VALUE"""),"Yaya")</f>
        <v>Yaya</v>
      </c>
      <c r="E123" s="160" t="str">
        <f>IFERROR(__xludf.DUMMYFUNCTION("""COMPUTED_VALUE"""),"TASHYA FEBRIANI +62 812-9933-3295")</f>
        <v>TASHYA FEBRIANI +62 812-9933-3295</v>
      </c>
      <c r="F123" s="158">
        <f>IFERROR(__xludf.DUMMYFUNCTION("""COMPUTED_VALUE"""),3.55500720575067E14)</f>
        <v>355500720575067</v>
      </c>
      <c r="G123" s="158" t="str">
        <f>IFERROR(__xludf.DUMMYFUNCTION("""COMPUTED_VALUE"""),"SM-A175FLBDXID")</f>
        <v>SM-A175FLBDXID</v>
      </c>
      <c r="H123" s="160" t="str">
        <f>IFERROR(__xludf.DUMMYFUNCTION("""COMPUTED_VALUE"""),"G-A17 (8/128) LIGHT BLUE (2025)")</f>
        <v>G-A17 (8/128) LIGHT BLUE (2025)</v>
      </c>
      <c r="I123" s="209">
        <f>IFERROR(__xludf.DUMMYFUNCTION("""COMPUTED_VALUE"""),46167.0)</f>
        <v>46167</v>
      </c>
      <c r="J123" s="158">
        <f>IFERROR(__xludf.DUMMYFUNCTION("""COMPUTED_VALUE"""),-86.0)</f>
        <v>-86</v>
      </c>
      <c r="K123" s="160"/>
      <c r="L123" s="158" t="str">
        <f>IFERROR(__xludf.DUMMYFUNCTION("""COMPUTED_VALUE"""),"Not Overdue")</f>
        <v>Not Overdue</v>
      </c>
      <c r="M123" s="158"/>
      <c r="N123" s="158"/>
      <c r="O123" s="158"/>
      <c r="P123" s="158" t="str">
        <f>IFERROR(IF(ISNUMBER(MATCH(F123,'Step 1 Data Bank'!E:E, 0)), "On Data Bank", "Not In Data Bank"),"")</f>
        <v>Not In Data Bank</v>
      </c>
      <c r="Q123" s="158" t="str">
        <f t="array" ref="Q123">XLOOKUP(F123,'Step 1 Data Bank'!E:E,'Step 1 Data Bank'!M:M,"",0)</f>
        <v/>
      </c>
      <c r="R123" s="160" t="str">
        <f t="array" ref="R123">XLOOKUP(F123,'Step 1 Data Bank'!E:E,'Step 1 Data Bank'!N:N,"",0)</f>
        <v/>
      </c>
      <c r="S123" s="158" t="str">
        <f>IFERROR(IF(ISNUMBER(MATCH(F123,'OLD DATA'!H:H, 0)), "On OLD Data", "Not In Old Data"),"")</f>
        <v>Not In Old Data</v>
      </c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</row>
    <row r="124">
      <c r="A124" s="207">
        <f>IFERROR(__xludf.DUMMYFUNCTION("""COMPUTED_VALUE"""),46143.0)</f>
        <v>46143</v>
      </c>
      <c r="B124" s="158" t="str">
        <f>IFERROR(__xludf.DUMMYFUNCTION("""COMPUTED_VALUE"""),"GOAT")</f>
        <v>GOAT</v>
      </c>
      <c r="C124" s="158" t="str">
        <f>IFERROR(__xludf.DUMMYFUNCTION("""COMPUTED_VALUE"""),"Made Intan Deyana Wirata")</f>
        <v>Made Intan Deyana Wirata</v>
      </c>
      <c r="D124" s="158" t="str">
        <f>IFERROR(__xludf.DUMMYFUNCTION("""COMPUTED_VALUE"""),"Yaya")</f>
        <v>Yaya</v>
      </c>
      <c r="E124" s="160" t="str">
        <f>IFERROR(__xludf.DUMMYFUNCTION("""COMPUTED_VALUE"""),"TASHYA FEBRIANI +62 812-9933-3295")</f>
        <v>TASHYA FEBRIANI +62 812-9933-3295</v>
      </c>
      <c r="F124" s="158">
        <f>IFERROR(__xludf.DUMMYFUNCTION("""COMPUTED_VALUE"""),3.55500720229715E14)</f>
        <v>355500720229715</v>
      </c>
      <c r="G124" s="158" t="str">
        <f>IFERROR(__xludf.DUMMYFUNCTION("""COMPUTED_VALUE"""),"SM-A175FLBDXID")</f>
        <v>SM-A175FLBDXID</v>
      </c>
      <c r="H124" s="160" t="str">
        <f>IFERROR(__xludf.DUMMYFUNCTION("""COMPUTED_VALUE"""),"G-A17 (8/128) LIGHT BLUE (2025)")</f>
        <v>G-A17 (8/128) LIGHT BLUE (2025)</v>
      </c>
      <c r="I124" s="209">
        <f>IFERROR(__xludf.DUMMYFUNCTION("""COMPUTED_VALUE"""),46167.0)</f>
        <v>46167</v>
      </c>
      <c r="J124" s="158">
        <f>IFERROR(__xludf.DUMMYFUNCTION("""COMPUTED_VALUE"""),-86.0)</f>
        <v>-86</v>
      </c>
      <c r="K124" s="160"/>
      <c r="L124" s="158" t="str">
        <f>IFERROR(__xludf.DUMMYFUNCTION("""COMPUTED_VALUE"""),"Not Overdue")</f>
        <v>Not Overdue</v>
      </c>
      <c r="M124" s="158"/>
      <c r="N124" s="158"/>
      <c r="O124" s="158"/>
      <c r="P124" s="158" t="str">
        <f>IFERROR(IF(ISNUMBER(MATCH(F124,'Step 1 Data Bank'!E:E, 0)), "On Data Bank", "Not In Data Bank"),"")</f>
        <v>Not In Data Bank</v>
      </c>
      <c r="Q124" s="158" t="str">
        <f t="array" ref="Q124">XLOOKUP(F124,'Step 1 Data Bank'!E:E,'Step 1 Data Bank'!M:M,"",0)</f>
        <v/>
      </c>
      <c r="R124" s="160" t="str">
        <f t="array" ref="R124">XLOOKUP(F124,'Step 1 Data Bank'!E:E,'Step 1 Data Bank'!N:N,"",0)</f>
        <v/>
      </c>
      <c r="S124" s="158" t="str">
        <f>IFERROR(IF(ISNUMBER(MATCH(F124,'OLD DATA'!H:H, 0)), "On OLD Data", "Not In Old Data"),"")</f>
        <v>Not In Old Data</v>
      </c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</row>
    <row r="125">
      <c r="A125" s="207">
        <f>IFERROR(__xludf.DUMMYFUNCTION("""COMPUTED_VALUE"""),46143.0)</f>
        <v>46143</v>
      </c>
      <c r="B125" s="158" t="str">
        <f>IFERROR(__xludf.DUMMYFUNCTION("""COMPUTED_VALUE"""),"GOAT")</f>
        <v>GOAT</v>
      </c>
      <c r="C125" s="158" t="str">
        <f>IFERROR(__xludf.DUMMYFUNCTION("""COMPUTED_VALUE"""),"Made Intan Deyana Wirata")</f>
        <v>Made Intan Deyana Wirata</v>
      </c>
      <c r="D125" s="158" t="str">
        <f>IFERROR(__xludf.DUMMYFUNCTION("""COMPUTED_VALUE"""),"Yaya")</f>
        <v>Yaya</v>
      </c>
      <c r="E125" s="160" t="str">
        <f>IFERROR(__xludf.DUMMYFUNCTION("""COMPUTED_VALUE"""),"TASHYA FEBRIANI +62 812-9933-3295")</f>
        <v>TASHYA FEBRIANI +62 812-9933-3295</v>
      </c>
      <c r="F125" s="158">
        <f>IFERROR(__xludf.DUMMYFUNCTION("""COMPUTED_VALUE"""),3.55500720655505E14)</f>
        <v>355500720655505</v>
      </c>
      <c r="G125" s="158" t="str">
        <f>IFERROR(__xludf.DUMMYFUNCTION("""COMPUTED_VALUE"""),"SM-A175FLBDXID")</f>
        <v>SM-A175FLBDXID</v>
      </c>
      <c r="H125" s="160" t="str">
        <f>IFERROR(__xludf.DUMMYFUNCTION("""COMPUTED_VALUE"""),"G-A17 (8/128) LIGHT BLUE (2025)")</f>
        <v>G-A17 (8/128) LIGHT BLUE (2025)</v>
      </c>
      <c r="I125" s="209">
        <f>IFERROR(__xludf.DUMMYFUNCTION("""COMPUTED_VALUE"""),46167.0)</f>
        <v>46167</v>
      </c>
      <c r="J125" s="158">
        <f>IFERROR(__xludf.DUMMYFUNCTION("""COMPUTED_VALUE"""),-86.0)</f>
        <v>-86</v>
      </c>
      <c r="K125" s="160"/>
      <c r="L125" s="158" t="str">
        <f>IFERROR(__xludf.DUMMYFUNCTION("""COMPUTED_VALUE"""),"Not Overdue")</f>
        <v>Not Overdue</v>
      </c>
      <c r="M125" s="158"/>
      <c r="N125" s="158"/>
      <c r="O125" s="158"/>
      <c r="P125" s="158" t="str">
        <f>IFERROR(IF(ISNUMBER(MATCH(F125,'Step 1 Data Bank'!E:E, 0)), "On Data Bank", "Not In Data Bank"),"")</f>
        <v>Not In Data Bank</v>
      </c>
      <c r="Q125" s="158" t="str">
        <f t="array" ref="Q125">XLOOKUP(F125,'Step 1 Data Bank'!E:E,'Step 1 Data Bank'!M:M,"",0)</f>
        <v/>
      </c>
      <c r="R125" s="160" t="str">
        <f t="array" ref="R125">XLOOKUP(F125,'Step 1 Data Bank'!E:E,'Step 1 Data Bank'!N:N,"",0)</f>
        <v/>
      </c>
      <c r="S125" s="158" t="str">
        <f>IFERROR(IF(ISNUMBER(MATCH(F125,'OLD DATA'!H:H, 0)), "On OLD Data", "Not In Old Data"),"")</f>
        <v>Not In Old Data</v>
      </c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</row>
    <row r="126">
      <c r="A126" s="207">
        <f>IFERROR(__xludf.DUMMYFUNCTION("""COMPUTED_VALUE"""),46143.0)</f>
        <v>46143</v>
      </c>
      <c r="B126" s="158" t="str">
        <f>IFERROR(__xludf.DUMMYFUNCTION("""COMPUTED_VALUE"""),"GOAT")</f>
        <v>GOAT</v>
      </c>
      <c r="C126" s="158" t="str">
        <f>IFERROR(__xludf.DUMMYFUNCTION("""COMPUTED_VALUE"""),"Made Intan Deyana Wirata")</f>
        <v>Made Intan Deyana Wirata</v>
      </c>
      <c r="D126" s="158" t="str">
        <f>IFERROR(__xludf.DUMMYFUNCTION("""COMPUTED_VALUE"""),"Yaya")</f>
        <v>Yaya</v>
      </c>
      <c r="E126" s="160" t="str">
        <f>IFERROR(__xludf.DUMMYFUNCTION("""COMPUTED_VALUE"""),"TASHYA FEBRIANI +62 812-9933-3295")</f>
        <v>TASHYA FEBRIANI +62 812-9933-3295</v>
      </c>
      <c r="F126" s="158">
        <f>IFERROR(__xludf.DUMMYFUNCTION("""COMPUTED_VALUE"""),3.55500720591106E14)</f>
        <v>355500720591106</v>
      </c>
      <c r="G126" s="158" t="str">
        <f>IFERROR(__xludf.DUMMYFUNCTION("""COMPUTED_VALUE"""),"SM-A175FZKDXID")</f>
        <v>SM-A175FZKDXID</v>
      </c>
      <c r="H126" s="160" t="str">
        <f>IFERROR(__xludf.DUMMYFUNCTION("""COMPUTED_VALUE"""),"G-A17 (8/128) BLACK (2025)")</f>
        <v>G-A17 (8/128) BLACK (2025)</v>
      </c>
      <c r="I126" s="209">
        <f>IFERROR(__xludf.DUMMYFUNCTION("""COMPUTED_VALUE"""),46167.0)</f>
        <v>46167</v>
      </c>
      <c r="J126" s="158">
        <f>IFERROR(__xludf.DUMMYFUNCTION("""COMPUTED_VALUE"""),-86.0)</f>
        <v>-86</v>
      </c>
      <c r="K126" s="160"/>
      <c r="L126" s="158" t="str">
        <f>IFERROR(__xludf.DUMMYFUNCTION("""COMPUTED_VALUE"""),"Not Overdue")</f>
        <v>Not Overdue</v>
      </c>
      <c r="M126" s="158"/>
      <c r="N126" s="158"/>
      <c r="O126" s="158"/>
      <c r="P126" s="158" t="str">
        <f>IFERROR(IF(ISNUMBER(MATCH(F126,'Step 1 Data Bank'!E:E, 0)), "On Data Bank", "Not In Data Bank"),"")</f>
        <v>Not In Data Bank</v>
      </c>
      <c r="Q126" s="158" t="str">
        <f t="array" ref="Q126">XLOOKUP(F126,'Step 1 Data Bank'!E:E,'Step 1 Data Bank'!M:M,"",0)</f>
        <v/>
      </c>
      <c r="R126" s="160" t="str">
        <f t="array" ref="R126">XLOOKUP(F126,'Step 1 Data Bank'!E:E,'Step 1 Data Bank'!N:N,"",0)</f>
        <v/>
      </c>
      <c r="S126" s="158" t="str">
        <f>IFERROR(IF(ISNUMBER(MATCH(F126,'OLD DATA'!H:H, 0)), "On OLD Data", "Not In Old Data"),"")</f>
        <v>Not In Old Data</v>
      </c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</row>
    <row r="127">
      <c r="A127" s="207">
        <f>IFERROR(__xludf.DUMMYFUNCTION("""COMPUTED_VALUE"""),46143.0)</f>
        <v>46143</v>
      </c>
      <c r="B127" s="158" t="str">
        <f>IFERROR(__xludf.DUMMYFUNCTION("""COMPUTED_VALUE"""),"GOAT")</f>
        <v>GOAT</v>
      </c>
      <c r="C127" s="158" t="str">
        <f>IFERROR(__xludf.DUMMYFUNCTION("""COMPUTED_VALUE"""),"Made Intan Deyana Wirata")</f>
        <v>Made Intan Deyana Wirata</v>
      </c>
      <c r="D127" s="158" t="str">
        <f>IFERROR(__xludf.DUMMYFUNCTION("""COMPUTED_VALUE"""),"Yaya")</f>
        <v>Yaya</v>
      </c>
      <c r="E127" s="160" t="str">
        <f>IFERROR(__xludf.DUMMYFUNCTION("""COMPUTED_VALUE"""),"TASHYA FEBRIANI +62 812-9933-3295")</f>
        <v>TASHYA FEBRIANI +62 812-9933-3295</v>
      </c>
      <c r="F127" s="158">
        <f>IFERROR(__xludf.DUMMYFUNCTION("""COMPUTED_VALUE"""),3.51225503077255E14)</f>
        <v>351225503077255</v>
      </c>
      <c r="G127" s="158" t="str">
        <f>IFERROR(__xludf.DUMMYFUNCTION("""COMPUTED_VALUE"""),"SM-A075FLVGXID")</f>
        <v>SM-A075FLVGXID</v>
      </c>
      <c r="H127" s="160" t="str">
        <f>IFERROR(__xludf.DUMMYFUNCTION("""COMPUTED_VALUE"""),"G-A07 (4/128) LIGHT VIOLET (2025)")</f>
        <v>G-A07 (4/128) LIGHT VIOLET (2025)</v>
      </c>
      <c r="I127" s="209">
        <f>IFERROR(__xludf.DUMMYFUNCTION("""COMPUTED_VALUE"""),46172.0)</f>
        <v>46172</v>
      </c>
      <c r="J127" s="158">
        <f>IFERROR(__xludf.DUMMYFUNCTION("""COMPUTED_VALUE"""),-91.0)</f>
        <v>-91</v>
      </c>
      <c r="K127" s="160"/>
      <c r="L127" s="158" t="str">
        <f>IFERROR(__xludf.DUMMYFUNCTION("""COMPUTED_VALUE"""),"Not Overdue")</f>
        <v>Not Overdue</v>
      </c>
      <c r="M127" s="158"/>
      <c r="N127" s="158"/>
      <c r="O127" s="158"/>
      <c r="P127" s="158" t="str">
        <f>IFERROR(IF(ISNUMBER(MATCH(F127,'Step 1 Data Bank'!E:E, 0)), "On Data Bank", "Not In Data Bank"),"")</f>
        <v>On Data Bank</v>
      </c>
      <c r="Q127" s="158" t="str">
        <f t="array" ref="Q127">XLOOKUP(F127,'Step 1 Data Bank'!E:E,'Step 1 Data Bank'!M:M,"",0)</f>
        <v>LOANED / ON KOL</v>
      </c>
      <c r="R127" s="160" t="str">
        <f t="array" ref="R127">XLOOKUP(F127,'Step 1 Data Bank'!E:E,'Step 1 Data Bank'!N:N,"",0)</f>
        <v>Helin Alvia</v>
      </c>
      <c r="S127" s="158" t="str">
        <f>IFERROR(IF(ISNUMBER(MATCH(F127,'OLD DATA'!H:H, 0)), "On OLD Data", "Not In Old Data"),"")</f>
        <v>Not In Old Data</v>
      </c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</row>
    <row r="128">
      <c r="A128" s="207">
        <f>IFERROR(__xludf.DUMMYFUNCTION("""COMPUTED_VALUE"""),46143.0)</f>
        <v>46143</v>
      </c>
      <c r="B128" s="158" t="str">
        <f>IFERROR(__xludf.DUMMYFUNCTION("""COMPUTED_VALUE"""),"GOAT")</f>
        <v>GOAT</v>
      </c>
      <c r="C128" s="158" t="str">
        <f>IFERROR(__xludf.DUMMYFUNCTION("""COMPUTED_VALUE"""),"Made Intan Deyana Wirata")</f>
        <v>Made Intan Deyana Wirata</v>
      </c>
      <c r="D128" s="158" t="str">
        <f>IFERROR(__xludf.DUMMYFUNCTION("""COMPUTED_VALUE"""),"Yaya")</f>
        <v>Yaya</v>
      </c>
      <c r="E128" s="160" t="str">
        <f>IFERROR(__xludf.DUMMYFUNCTION("""COMPUTED_VALUE"""),"TASHYA FEBRIANI +62 812-9933-3295")</f>
        <v>TASHYA FEBRIANI +62 812-9933-3295</v>
      </c>
      <c r="F128" s="158">
        <f>IFERROR(__xludf.DUMMYFUNCTION("""COMPUTED_VALUE"""),3.51225503076083E14)</f>
        <v>351225503076083</v>
      </c>
      <c r="G128" s="158" t="str">
        <f>IFERROR(__xludf.DUMMYFUNCTION("""COMPUTED_VALUE"""),"SM-A075FLVGXID")</f>
        <v>SM-A075FLVGXID</v>
      </c>
      <c r="H128" s="160" t="str">
        <f>IFERROR(__xludf.DUMMYFUNCTION("""COMPUTED_VALUE"""),"G-A07 (4/128) LIGHT VIOLET (2025)")</f>
        <v>G-A07 (4/128) LIGHT VIOLET (2025)</v>
      </c>
      <c r="I128" s="209">
        <f>IFERROR(__xludf.DUMMYFUNCTION("""COMPUTED_VALUE"""),46172.0)</f>
        <v>46172</v>
      </c>
      <c r="J128" s="158">
        <f>IFERROR(__xludf.DUMMYFUNCTION("""COMPUTED_VALUE"""),-91.0)</f>
        <v>-91</v>
      </c>
      <c r="K128" s="160"/>
      <c r="L128" s="158" t="str">
        <f>IFERROR(__xludf.DUMMYFUNCTION("""COMPUTED_VALUE"""),"Not Overdue")</f>
        <v>Not Overdue</v>
      </c>
      <c r="M128" s="158"/>
      <c r="N128" s="158"/>
      <c r="O128" s="158"/>
      <c r="P128" s="158" t="str">
        <f>IFERROR(IF(ISNUMBER(MATCH(F128,'Step 1 Data Bank'!E:E, 0)), "On Data Bank", "Not In Data Bank"),"")</f>
        <v>On Data Bank</v>
      </c>
      <c r="Q128" s="158" t="str">
        <f t="array" ref="Q128">XLOOKUP(F128,'Step 1 Data Bank'!E:E,'Step 1 Data Bank'!M:M,"",0)</f>
        <v>LOANED / ON KOL</v>
      </c>
      <c r="R128" s="160" t="str">
        <f t="array" ref="R128">XLOOKUP(F128,'Step 1 Data Bank'!E:E,'Step 1 Data Bank'!N:N,"",0)</f>
        <v>Mushdalifah ( Aman)</v>
      </c>
      <c r="S128" s="158" t="str">
        <f>IFERROR(IF(ISNUMBER(MATCH(F128,'OLD DATA'!H:H, 0)), "On OLD Data", "Not In Old Data"),"")</f>
        <v>Not In Old Data</v>
      </c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</row>
    <row r="129">
      <c r="A129" s="207">
        <f>IFERROR(__xludf.DUMMYFUNCTION("""COMPUTED_VALUE"""),46143.0)</f>
        <v>46143</v>
      </c>
      <c r="B129" s="158" t="str">
        <f>IFERROR(__xludf.DUMMYFUNCTION("""COMPUTED_VALUE"""),"GOAT")</f>
        <v>GOAT</v>
      </c>
      <c r="C129" s="158" t="str">
        <f>IFERROR(__xludf.DUMMYFUNCTION("""COMPUTED_VALUE"""),"Made Intan Deyana Wirata")</f>
        <v>Made Intan Deyana Wirata</v>
      </c>
      <c r="D129" s="158" t="str">
        <f>IFERROR(__xludf.DUMMYFUNCTION("""COMPUTED_VALUE"""),"Yaya")</f>
        <v>Yaya</v>
      </c>
      <c r="E129" s="160" t="str">
        <f>IFERROR(__xludf.DUMMYFUNCTION("""COMPUTED_VALUE"""),"TASHYA FEBRIANI +62 812-9933-3295")</f>
        <v>TASHYA FEBRIANI +62 812-9933-3295</v>
      </c>
      <c r="F129" s="158">
        <f>IFERROR(__xludf.DUMMYFUNCTION("""COMPUTED_VALUE"""),3.51225503087627E14)</f>
        <v>351225503087627</v>
      </c>
      <c r="G129" s="158" t="str">
        <f>IFERROR(__xludf.DUMMYFUNCTION("""COMPUTED_VALUE"""),"SM-A075FZGGXID")</f>
        <v>SM-A075FZGGXID</v>
      </c>
      <c r="H129" s="160" t="str">
        <f>IFERROR(__xludf.DUMMYFUNCTION("""COMPUTED_VALUE"""),"G-A07 (4/128) GREEN (2025)")</f>
        <v>G-A07 (4/128) GREEN (2025)</v>
      </c>
      <c r="I129" s="209">
        <f>IFERROR(__xludf.DUMMYFUNCTION("""COMPUTED_VALUE"""),46172.0)</f>
        <v>46172</v>
      </c>
      <c r="J129" s="158">
        <f>IFERROR(__xludf.DUMMYFUNCTION("""COMPUTED_VALUE"""),-91.0)</f>
        <v>-91</v>
      </c>
      <c r="K129" s="160"/>
      <c r="L129" s="158" t="str">
        <f>IFERROR(__xludf.DUMMYFUNCTION("""COMPUTED_VALUE"""),"Not Overdue")</f>
        <v>Not Overdue</v>
      </c>
      <c r="M129" s="158"/>
      <c r="N129" s="158"/>
      <c r="O129" s="158"/>
      <c r="P129" s="158" t="str">
        <f>IFERROR(IF(ISNUMBER(MATCH(F129,'Step 1 Data Bank'!E:E, 0)), "On Data Bank", "Not In Data Bank"),"")</f>
        <v>On Data Bank</v>
      </c>
      <c r="Q129" s="158" t="str">
        <f t="array" ref="Q129">XLOOKUP(F129,'Step 1 Data Bank'!E:E,'Step 1 Data Bank'!M:M,"",0)</f>
        <v>LOANED / ON KOL</v>
      </c>
      <c r="R129" s="160" t="str">
        <f t="array" ref="R129">XLOOKUP(F129,'Step 1 Data Bank'!E:E,'Step 1 Data Bank'!N:N,"",0)</f>
        <v>AMHAD FADHILLA</v>
      </c>
      <c r="S129" s="158" t="str">
        <f>IFERROR(IF(ISNUMBER(MATCH(F129,'OLD DATA'!H:H, 0)), "On OLD Data", "Not In Old Data"),"")</f>
        <v>Not In Old Data</v>
      </c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</row>
    <row r="130">
      <c r="A130" s="207">
        <f>IFERROR(__xludf.DUMMYFUNCTION("""COMPUTED_VALUE"""),46143.0)</f>
        <v>46143</v>
      </c>
      <c r="B130" s="158" t="str">
        <f>IFERROR(__xludf.DUMMYFUNCTION("""COMPUTED_VALUE"""),"GOAT")</f>
        <v>GOAT</v>
      </c>
      <c r="C130" s="158" t="str">
        <f>IFERROR(__xludf.DUMMYFUNCTION("""COMPUTED_VALUE"""),"Made Intan Deyana Wirata")</f>
        <v>Made Intan Deyana Wirata</v>
      </c>
      <c r="D130" s="158" t="str">
        <f>IFERROR(__xludf.DUMMYFUNCTION("""COMPUTED_VALUE"""),"Yaya")</f>
        <v>Yaya</v>
      </c>
      <c r="E130" s="160" t="str">
        <f>IFERROR(__xludf.DUMMYFUNCTION("""COMPUTED_VALUE"""),"TASHYA FEBRIANI +62 812-9933-3295")</f>
        <v>TASHYA FEBRIANI +62 812-9933-3295</v>
      </c>
      <c r="F130" s="158" t="str">
        <f>IFERROR(__xludf.DUMMYFUNCTION("""COMPUTED_VALUE"""),"C1075075081000961001")</f>
        <v>C1075075081000961001</v>
      </c>
      <c r="G130" s="158" t="str">
        <f>IFERROR(__xludf.DUMMYFUNCTION("""COMPUTED_VALUE"""),"GP-PTU021SOCWP")</f>
        <v>GP-PTU021SOCWP</v>
      </c>
      <c r="H130" s="160" t="str">
        <f>IFERROR(__xludf.DUMMYFUNCTION("""COMPUTED_VALUE"""),"ACC HHP, TRAVEL ADAPTOR 25W, WHITE")</f>
        <v>ACC HHP, TRAVEL ADAPTOR 25W, WHITE</v>
      </c>
      <c r="I130" s="209">
        <f>IFERROR(__xludf.DUMMYFUNCTION("""COMPUTED_VALUE"""),46172.0)</f>
        <v>46172</v>
      </c>
      <c r="J130" s="158">
        <f>IFERROR(__xludf.DUMMYFUNCTION("""COMPUTED_VALUE"""),-91.0)</f>
        <v>-91</v>
      </c>
      <c r="K130" s="160"/>
      <c r="L130" s="158" t="str">
        <f>IFERROR(__xludf.DUMMYFUNCTION("""COMPUTED_VALUE"""),"Not Overdue")</f>
        <v>Not Overdue</v>
      </c>
      <c r="M130" s="158"/>
      <c r="N130" s="158"/>
      <c r="O130" s="158"/>
      <c r="P130" s="158" t="str">
        <f>IFERROR(IF(ISNUMBER(MATCH(F130,'Step 1 Data Bank'!E:E, 0)), "On Data Bank", "Not In Data Bank"),"")</f>
        <v>Not In Data Bank</v>
      </c>
      <c r="Q130" s="158" t="str">
        <f t="array" ref="Q130">XLOOKUP(F130,'Step 1 Data Bank'!E:E,'Step 1 Data Bank'!M:M,"",0)</f>
        <v/>
      </c>
      <c r="R130" s="160" t="str">
        <f t="array" ref="R130">XLOOKUP(F130,'Step 1 Data Bank'!E:E,'Step 1 Data Bank'!N:N,"",0)</f>
        <v/>
      </c>
      <c r="S130" s="158" t="str">
        <f>IFERROR(IF(ISNUMBER(MATCH(F130,'OLD DATA'!H:H, 0)), "On OLD Data", "Not In Old Data"),"")</f>
        <v>Not In Old Data</v>
      </c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</row>
    <row r="131">
      <c r="A131" s="207">
        <f>IFERROR(__xludf.DUMMYFUNCTION("""COMPUTED_VALUE"""),46143.0)</f>
        <v>46143</v>
      </c>
      <c r="B131" s="158" t="str">
        <f>IFERROR(__xludf.DUMMYFUNCTION("""COMPUTED_VALUE"""),"GOAT")</f>
        <v>GOAT</v>
      </c>
      <c r="C131" s="158" t="str">
        <f>IFERROR(__xludf.DUMMYFUNCTION("""COMPUTED_VALUE"""),"Made Intan Deyana Wirata")</f>
        <v>Made Intan Deyana Wirata</v>
      </c>
      <c r="D131" s="158" t="str">
        <f>IFERROR(__xludf.DUMMYFUNCTION("""COMPUTED_VALUE"""),"Yaya")</f>
        <v>Yaya</v>
      </c>
      <c r="E131" s="160" t="str">
        <f>IFERROR(__xludf.DUMMYFUNCTION("""COMPUTED_VALUE"""),"TASHYA FEBRIANI +62 812-9933-3295")</f>
        <v>TASHYA FEBRIANI +62 812-9933-3295</v>
      </c>
      <c r="F131" s="158" t="str">
        <f>IFERROR(__xludf.DUMMYFUNCTION("""COMPUTED_VALUE"""),"C1075075091000961001")</f>
        <v>C1075075091000961001</v>
      </c>
      <c r="G131" s="158" t="str">
        <f>IFERROR(__xludf.DUMMYFUNCTION("""COMPUTED_VALUE"""),"GP-PTU021SOCWP")</f>
        <v>GP-PTU021SOCWP</v>
      </c>
      <c r="H131" s="160" t="str">
        <f>IFERROR(__xludf.DUMMYFUNCTION("""COMPUTED_VALUE"""),"ACC HHP, TRAVEL ADAPTOR 25W, WHITE")</f>
        <v>ACC HHP, TRAVEL ADAPTOR 25W, WHITE</v>
      </c>
      <c r="I131" s="209">
        <f>IFERROR(__xludf.DUMMYFUNCTION("""COMPUTED_VALUE"""),46172.0)</f>
        <v>46172</v>
      </c>
      <c r="J131" s="158">
        <f>IFERROR(__xludf.DUMMYFUNCTION("""COMPUTED_VALUE"""),-91.0)</f>
        <v>-91</v>
      </c>
      <c r="K131" s="160"/>
      <c r="L131" s="158" t="str">
        <f>IFERROR(__xludf.DUMMYFUNCTION("""COMPUTED_VALUE"""),"Not Overdue")</f>
        <v>Not Overdue</v>
      </c>
      <c r="M131" s="158"/>
      <c r="N131" s="158"/>
      <c r="O131" s="158"/>
      <c r="P131" s="158" t="str">
        <f>IFERROR(IF(ISNUMBER(MATCH(F131,'Step 1 Data Bank'!E:E, 0)), "On Data Bank", "Not In Data Bank"),"")</f>
        <v>Not In Data Bank</v>
      </c>
      <c r="Q131" s="158" t="str">
        <f t="array" ref="Q131">XLOOKUP(F131,'Step 1 Data Bank'!E:E,'Step 1 Data Bank'!M:M,"",0)</f>
        <v/>
      </c>
      <c r="R131" s="160" t="str">
        <f t="array" ref="R131">XLOOKUP(F131,'Step 1 Data Bank'!E:E,'Step 1 Data Bank'!N:N,"",0)</f>
        <v/>
      </c>
      <c r="S131" s="158" t="str">
        <f>IFERROR(IF(ISNUMBER(MATCH(F131,'OLD DATA'!H:H, 0)), "On OLD Data", "Not In Old Data"),"")</f>
        <v>Not In Old Data</v>
      </c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</row>
    <row r="132">
      <c r="A132" s="207">
        <f>IFERROR(__xludf.DUMMYFUNCTION("""COMPUTED_VALUE"""),46143.0)</f>
        <v>46143</v>
      </c>
      <c r="B132" s="158" t="str">
        <f>IFERROR(__xludf.DUMMYFUNCTION("""COMPUTED_VALUE"""),"GOAT")</f>
        <v>GOAT</v>
      </c>
      <c r="C132" s="158" t="str">
        <f>IFERROR(__xludf.DUMMYFUNCTION("""COMPUTED_VALUE"""),"Made Intan Deyana Wirata")</f>
        <v>Made Intan Deyana Wirata</v>
      </c>
      <c r="D132" s="158" t="str">
        <f>IFERROR(__xludf.DUMMYFUNCTION("""COMPUTED_VALUE"""),"Yaya")</f>
        <v>Yaya</v>
      </c>
      <c r="E132" s="160" t="str">
        <f>IFERROR(__xludf.DUMMYFUNCTION("""COMPUTED_VALUE"""),"TASHYA FEBRIANI +62 812-9933-3295")</f>
        <v>TASHYA FEBRIANI +62 812-9933-3295</v>
      </c>
      <c r="F132" s="158" t="str">
        <f>IFERROR(__xludf.DUMMYFUNCTION("""COMPUTED_VALUE"""),"C1075075101000961001")</f>
        <v>C1075075101000961001</v>
      </c>
      <c r="G132" s="158" t="str">
        <f>IFERROR(__xludf.DUMMYFUNCTION("""COMPUTED_VALUE"""),"GP-PTU021SOCWP")</f>
        <v>GP-PTU021SOCWP</v>
      </c>
      <c r="H132" s="160" t="str">
        <f>IFERROR(__xludf.DUMMYFUNCTION("""COMPUTED_VALUE"""),"ACC HHP, TRAVEL ADAPTOR 25W, WHITE")</f>
        <v>ACC HHP, TRAVEL ADAPTOR 25W, WHITE</v>
      </c>
      <c r="I132" s="209">
        <f>IFERROR(__xludf.DUMMYFUNCTION("""COMPUTED_VALUE"""),46172.0)</f>
        <v>46172</v>
      </c>
      <c r="J132" s="158">
        <f>IFERROR(__xludf.DUMMYFUNCTION("""COMPUTED_VALUE"""),-91.0)</f>
        <v>-91</v>
      </c>
      <c r="K132" s="160"/>
      <c r="L132" s="158" t="str">
        <f>IFERROR(__xludf.DUMMYFUNCTION("""COMPUTED_VALUE"""),"Not Overdue")</f>
        <v>Not Overdue</v>
      </c>
      <c r="M132" s="158"/>
      <c r="N132" s="158"/>
      <c r="O132" s="158"/>
      <c r="P132" s="158" t="str">
        <f>IFERROR(IF(ISNUMBER(MATCH(F132,'Step 1 Data Bank'!E:E, 0)), "On Data Bank", "Not In Data Bank"),"")</f>
        <v>Not In Data Bank</v>
      </c>
      <c r="Q132" s="158" t="str">
        <f t="array" ref="Q132">XLOOKUP(F132,'Step 1 Data Bank'!E:E,'Step 1 Data Bank'!M:M,"",0)</f>
        <v/>
      </c>
      <c r="R132" s="160" t="str">
        <f t="array" ref="R132">XLOOKUP(F132,'Step 1 Data Bank'!E:E,'Step 1 Data Bank'!N:N,"",0)</f>
        <v/>
      </c>
      <c r="S132" s="158" t="str">
        <f>IFERROR(IF(ISNUMBER(MATCH(F132,'OLD DATA'!H:H, 0)), "On OLD Data", "Not In Old Data"),"")</f>
        <v>Not In Old Data</v>
      </c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</row>
    <row r="133">
      <c r="A133" s="207">
        <f>IFERROR(__xludf.DUMMYFUNCTION("""COMPUTED_VALUE"""),46143.0)</f>
        <v>46143</v>
      </c>
      <c r="B133" s="158" t="str">
        <f>IFERROR(__xludf.DUMMYFUNCTION("""COMPUTED_VALUE"""),"GOAT")</f>
        <v>GOAT</v>
      </c>
      <c r="C133" s="158" t="str">
        <f>IFERROR(__xludf.DUMMYFUNCTION("""COMPUTED_VALUE"""),"Made Intan Deyana Wirata")</f>
        <v>Made Intan Deyana Wirata</v>
      </c>
      <c r="D133" s="158" t="str">
        <f>IFERROR(__xludf.DUMMYFUNCTION("""COMPUTED_VALUE"""),"Yaya")</f>
        <v>Yaya</v>
      </c>
      <c r="E133" s="160" t="str">
        <f>IFERROR(__xludf.DUMMYFUNCTION("""COMPUTED_VALUE"""),"TASHYA FEBRIANI +62 812-9933-3295")</f>
        <v>TASHYA FEBRIANI +62 812-9933-3295</v>
      </c>
      <c r="F133" s="158" t="str">
        <f>IFERROR(__xludf.DUMMYFUNCTION("""COMPUTED_VALUE"""),"GP22SEIN265697")</f>
        <v>GP22SEIN265697</v>
      </c>
      <c r="G133" s="158" t="str">
        <f>IFERROR(__xludf.DUMMYFUNCTION("""COMPUTED_VALUE"""),"GP-FPA075AEETW")</f>
        <v>GP-FPA075AEETW</v>
      </c>
      <c r="H133" s="160" t="str">
        <f>IFERROR(__xludf.DUMMYFUNCTION("""COMPUTED_VALUE"""),"ACC HHP, SMAPP CLEAR CASE A07")</f>
        <v>ACC HHP, SMAPP CLEAR CASE A07</v>
      </c>
      <c r="I133" s="209">
        <f>IFERROR(__xludf.DUMMYFUNCTION("""COMPUTED_VALUE"""),46172.0)</f>
        <v>46172</v>
      </c>
      <c r="J133" s="158">
        <f>IFERROR(__xludf.DUMMYFUNCTION("""COMPUTED_VALUE"""),-91.0)</f>
        <v>-91</v>
      </c>
      <c r="K133" s="160"/>
      <c r="L133" s="158" t="str">
        <f>IFERROR(__xludf.DUMMYFUNCTION("""COMPUTED_VALUE"""),"Not Overdue")</f>
        <v>Not Overdue</v>
      </c>
      <c r="M133" s="158"/>
      <c r="N133" s="158"/>
      <c r="O133" s="158"/>
      <c r="P133" s="158" t="str">
        <f>IFERROR(IF(ISNUMBER(MATCH(F133,'Step 1 Data Bank'!E:E, 0)), "On Data Bank", "Not In Data Bank"),"")</f>
        <v>Not In Data Bank</v>
      </c>
      <c r="Q133" s="158" t="str">
        <f t="array" ref="Q133">XLOOKUP(F133,'Step 1 Data Bank'!E:E,'Step 1 Data Bank'!M:M,"",0)</f>
        <v/>
      </c>
      <c r="R133" s="160" t="str">
        <f t="array" ref="R133">XLOOKUP(F133,'Step 1 Data Bank'!E:E,'Step 1 Data Bank'!N:N,"",0)</f>
        <v/>
      </c>
      <c r="S133" s="158" t="str">
        <f>IFERROR(IF(ISNUMBER(MATCH(F133,'OLD DATA'!H:H, 0)), "On OLD Data", "Not In Old Data"),"")</f>
        <v>Not In Old Data</v>
      </c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</row>
    <row r="134">
      <c r="A134" s="207">
        <f>IFERROR(__xludf.DUMMYFUNCTION("""COMPUTED_VALUE"""),46143.0)</f>
        <v>46143</v>
      </c>
      <c r="B134" s="158" t="str">
        <f>IFERROR(__xludf.DUMMYFUNCTION("""COMPUTED_VALUE"""),"GOAT")</f>
        <v>GOAT</v>
      </c>
      <c r="C134" s="158" t="str">
        <f>IFERROR(__xludf.DUMMYFUNCTION("""COMPUTED_VALUE"""),"Made Intan Deyana Wirata")</f>
        <v>Made Intan Deyana Wirata</v>
      </c>
      <c r="D134" s="158" t="str">
        <f>IFERROR(__xludf.DUMMYFUNCTION("""COMPUTED_VALUE"""),"Yaya")</f>
        <v>Yaya</v>
      </c>
      <c r="E134" s="160" t="str">
        <f>IFERROR(__xludf.DUMMYFUNCTION("""COMPUTED_VALUE"""),"TASHYA FEBRIANI +62 812-9933-3295")</f>
        <v>TASHYA FEBRIANI +62 812-9933-3295</v>
      </c>
      <c r="F134" s="158" t="str">
        <f>IFERROR(__xludf.DUMMYFUNCTION("""COMPUTED_VALUE"""),"GP22SEIN267041")</f>
        <v>GP22SEIN267041</v>
      </c>
      <c r="G134" s="158" t="str">
        <f>IFERROR(__xludf.DUMMYFUNCTION("""COMPUTED_VALUE"""),"GP-FPA075AEETW")</f>
        <v>GP-FPA075AEETW</v>
      </c>
      <c r="H134" s="160" t="str">
        <f>IFERROR(__xludf.DUMMYFUNCTION("""COMPUTED_VALUE"""),"ACC HHP, SMAPP CLEAR CASE A07")</f>
        <v>ACC HHP, SMAPP CLEAR CASE A07</v>
      </c>
      <c r="I134" s="209">
        <f>IFERROR(__xludf.DUMMYFUNCTION("""COMPUTED_VALUE"""),46172.0)</f>
        <v>46172</v>
      </c>
      <c r="J134" s="158">
        <f>IFERROR(__xludf.DUMMYFUNCTION("""COMPUTED_VALUE"""),-91.0)</f>
        <v>-91</v>
      </c>
      <c r="K134" s="160"/>
      <c r="L134" s="158" t="str">
        <f>IFERROR(__xludf.DUMMYFUNCTION("""COMPUTED_VALUE"""),"Not Overdue")</f>
        <v>Not Overdue</v>
      </c>
      <c r="M134" s="158"/>
      <c r="N134" s="158"/>
      <c r="O134" s="158"/>
      <c r="P134" s="158" t="str">
        <f>IFERROR(IF(ISNUMBER(MATCH(F134,'Step 1 Data Bank'!E:E, 0)), "On Data Bank", "Not In Data Bank"),"")</f>
        <v>Not In Data Bank</v>
      </c>
      <c r="Q134" s="158" t="str">
        <f t="array" ref="Q134">XLOOKUP(F134,'Step 1 Data Bank'!E:E,'Step 1 Data Bank'!M:M,"",0)</f>
        <v/>
      </c>
      <c r="R134" s="160" t="str">
        <f t="array" ref="R134">XLOOKUP(F134,'Step 1 Data Bank'!E:E,'Step 1 Data Bank'!N:N,"",0)</f>
        <v/>
      </c>
      <c r="S134" s="158" t="str">
        <f>IFERROR(IF(ISNUMBER(MATCH(F134,'OLD DATA'!H:H, 0)), "On OLD Data", "Not In Old Data"),"")</f>
        <v>Not In Old Data</v>
      </c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</row>
    <row r="135">
      <c r="A135" s="207">
        <f>IFERROR(__xludf.DUMMYFUNCTION("""COMPUTED_VALUE"""),46143.0)</f>
        <v>46143</v>
      </c>
      <c r="B135" s="158" t="str">
        <f>IFERROR(__xludf.DUMMYFUNCTION("""COMPUTED_VALUE"""),"GOAT")</f>
        <v>GOAT</v>
      </c>
      <c r="C135" s="158" t="str">
        <f>IFERROR(__xludf.DUMMYFUNCTION("""COMPUTED_VALUE"""),"Made Intan Deyana Wirata")</f>
        <v>Made Intan Deyana Wirata</v>
      </c>
      <c r="D135" s="158" t="str">
        <f>IFERROR(__xludf.DUMMYFUNCTION("""COMPUTED_VALUE"""),"Yaya")</f>
        <v>Yaya</v>
      </c>
      <c r="E135" s="160" t="str">
        <f>IFERROR(__xludf.DUMMYFUNCTION("""COMPUTED_VALUE"""),"TASHYA FEBRIANI +62 812-9933-3295")</f>
        <v>TASHYA FEBRIANI +62 812-9933-3295</v>
      </c>
      <c r="F135" s="158" t="str">
        <f>IFERROR(__xludf.DUMMYFUNCTION("""COMPUTED_VALUE"""),"GP22SEIN266776")</f>
        <v>GP22SEIN266776</v>
      </c>
      <c r="G135" s="158" t="str">
        <f>IFERROR(__xludf.DUMMYFUNCTION("""COMPUTED_VALUE"""),"GP-FPA075AEETW")</f>
        <v>GP-FPA075AEETW</v>
      </c>
      <c r="H135" s="160" t="str">
        <f>IFERROR(__xludf.DUMMYFUNCTION("""COMPUTED_VALUE"""),"ACC HHP, SMAPP CLEAR CASE A07")</f>
        <v>ACC HHP, SMAPP CLEAR CASE A07</v>
      </c>
      <c r="I135" s="209">
        <f>IFERROR(__xludf.DUMMYFUNCTION("""COMPUTED_VALUE"""),46172.0)</f>
        <v>46172</v>
      </c>
      <c r="J135" s="158">
        <f>IFERROR(__xludf.DUMMYFUNCTION("""COMPUTED_VALUE"""),-91.0)</f>
        <v>-91</v>
      </c>
      <c r="K135" s="160"/>
      <c r="L135" s="158" t="str">
        <f>IFERROR(__xludf.DUMMYFUNCTION("""COMPUTED_VALUE"""),"Not Overdue")</f>
        <v>Not Overdue</v>
      </c>
      <c r="M135" s="158"/>
      <c r="N135" s="158"/>
      <c r="O135" s="158"/>
      <c r="P135" s="158" t="str">
        <f>IFERROR(IF(ISNUMBER(MATCH(F135,'Step 1 Data Bank'!E:E, 0)), "On Data Bank", "Not In Data Bank"),"")</f>
        <v>Not In Data Bank</v>
      </c>
      <c r="Q135" s="158" t="str">
        <f t="array" ref="Q135">XLOOKUP(F135,'Step 1 Data Bank'!E:E,'Step 1 Data Bank'!M:M,"",0)</f>
        <v/>
      </c>
      <c r="R135" s="160" t="str">
        <f t="array" ref="R135">XLOOKUP(F135,'Step 1 Data Bank'!E:E,'Step 1 Data Bank'!N:N,"",0)</f>
        <v/>
      </c>
      <c r="S135" s="158" t="str">
        <f>IFERROR(IF(ISNUMBER(MATCH(F135,'OLD DATA'!H:H, 0)), "On OLD Data", "Not In Old Data"),"")</f>
        <v>Not In Old Data</v>
      </c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</row>
    <row r="136">
      <c r="A136" s="207">
        <f>IFERROR(__xludf.DUMMYFUNCTION("""COMPUTED_VALUE"""),46143.0)</f>
        <v>46143</v>
      </c>
      <c r="B136" s="158" t="str">
        <f>IFERROR(__xludf.DUMMYFUNCTION("""COMPUTED_VALUE"""),"GOAT")</f>
        <v>GOAT</v>
      </c>
      <c r="C136" s="158" t="str">
        <f>IFERROR(__xludf.DUMMYFUNCTION("""COMPUTED_VALUE"""),"Made Intan Deyana Wirata")</f>
        <v>Made Intan Deyana Wirata</v>
      </c>
      <c r="D136" s="158" t="str">
        <f>IFERROR(__xludf.DUMMYFUNCTION("""COMPUTED_VALUE"""),"Yaya")</f>
        <v>Yaya</v>
      </c>
      <c r="E136" s="160" t="str">
        <f>IFERROR(__xludf.DUMMYFUNCTION("""COMPUTED_VALUE"""),"TASHYA FEBRIANI +62 812-9933-3295")</f>
        <v>TASHYA FEBRIANI +62 812-9933-3295</v>
      </c>
      <c r="F136" s="158">
        <f>IFERROR(__xludf.DUMMYFUNCTION("""COMPUTED_VALUE"""),3.55500722520517E14)</f>
        <v>355500722520517</v>
      </c>
      <c r="G136" s="158" t="str">
        <f>IFERROR(__xludf.DUMMYFUNCTION("""COMPUTED_VALUE"""),"SM-A175FZKDXID")</f>
        <v>SM-A175FZKDXID</v>
      </c>
      <c r="H136" s="160" t="str">
        <f>IFERROR(__xludf.DUMMYFUNCTION("""COMPUTED_VALUE"""),"G-A17 (8/128) BLACK (2025)")</f>
        <v>G-A17 (8/128) BLACK (2025)</v>
      </c>
      <c r="I136" s="209">
        <f>IFERROR(__xludf.DUMMYFUNCTION("""COMPUTED_VALUE"""),46172.0)</f>
        <v>46172</v>
      </c>
      <c r="J136" s="158">
        <f>IFERROR(__xludf.DUMMYFUNCTION("""COMPUTED_VALUE"""),-91.0)</f>
        <v>-91</v>
      </c>
      <c r="K136" s="160"/>
      <c r="L136" s="158" t="str">
        <f>IFERROR(__xludf.DUMMYFUNCTION("""COMPUTED_VALUE"""),"Not Overdue")</f>
        <v>Not Overdue</v>
      </c>
      <c r="M136" s="158"/>
      <c r="N136" s="158"/>
      <c r="O136" s="158"/>
      <c r="P136" s="158" t="str">
        <f>IFERROR(IF(ISNUMBER(MATCH(F136,'Step 1 Data Bank'!E:E, 0)), "On Data Bank", "Not In Data Bank"),"")</f>
        <v>On Data Bank</v>
      </c>
      <c r="Q136" s="158" t="str">
        <f t="array" ref="Q136">XLOOKUP(F136,'Step 1 Data Bank'!E:E,'Step 1 Data Bank'!M:M,"",0)</f>
        <v>LOANED / ON KOL</v>
      </c>
      <c r="R136" s="160" t="str">
        <f t="array" ref="R136">XLOOKUP(F136,'Step 1 Data Bank'!E:E,'Step 1 Data Bank'!N:N,"",0)</f>
        <v>Cex Daniel</v>
      </c>
      <c r="S136" s="158" t="str">
        <f>IFERROR(IF(ISNUMBER(MATCH(F136,'OLD DATA'!H:H, 0)), "On OLD Data", "Not In Old Data"),"")</f>
        <v>Not In Old Data</v>
      </c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</row>
    <row r="137">
      <c r="A137" s="207">
        <f>IFERROR(__xludf.DUMMYFUNCTION("""COMPUTED_VALUE"""),46143.0)</f>
        <v>46143</v>
      </c>
      <c r="B137" s="158" t="str">
        <f>IFERROR(__xludf.DUMMYFUNCTION("""COMPUTED_VALUE"""),"GOAT")</f>
        <v>GOAT</v>
      </c>
      <c r="C137" s="158" t="str">
        <f>IFERROR(__xludf.DUMMYFUNCTION("""COMPUTED_VALUE"""),"Made Intan Deyana Wirata")</f>
        <v>Made Intan Deyana Wirata</v>
      </c>
      <c r="D137" s="158" t="str">
        <f>IFERROR(__xludf.DUMMYFUNCTION("""COMPUTED_VALUE"""),"Yaya")</f>
        <v>Yaya</v>
      </c>
      <c r="E137" s="160" t="str">
        <f>IFERROR(__xludf.DUMMYFUNCTION("""COMPUTED_VALUE"""),"TASHYA FEBRIANI +62 812-9933-3295")</f>
        <v>TASHYA FEBRIANI +62 812-9933-3295</v>
      </c>
      <c r="F137" s="158" t="str">
        <f>IFERROR(__xludf.DUMMYFUNCTION("""COMPUTED_VALUE"""),"C1075137571000961279")</f>
        <v>C1075137571000961279</v>
      </c>
      <c r="G137" s="158" t="str">
        <f>IFERROR(__xludf.DUMMYFUNCTION("""COMPUTED_VALUE"""),"GP-PTU024DYQWQ")</f>
        <v>GP-PTU024DYQWQ</v>
      </c>
      <c r="H137" s="160" t="str">
        <f>IFERROR(__xludf.DUMMYFUNCTION("""COMPUTED_VALUE"""),"ACC HHP, DONGYANG CHARGER, TA800, WHITE")</f>
        <v>ACC HHP, DONGYANG CHARGER, TA800, WHITE</v>
      </c>
      <c r="I137" s="209">
        <f>IFERROR(__xludf.DUMMYFUNCTION("""COMPUTED_VALUE"""),46172.0)</f>
        <v>46172</v>
      </c>
      <c r="J137" s="158">
        <f>IFERROR(__xludf.DUMMYFUNCTION("""COMPUTED_VALUE"""),-91.0)</f>
        <v>-91</v>
      </c>
      <c r="K137" s="160"/>
      <c r="L137" s="158" t="str">
        <f>IFERROR(__xludf.DUMMYFUNCTION("""COMPUTED_VALUE"""),"Not Overdue")</f>
        <v>Not Overdue</v>
      </c>
      <c r="M137" s="158"/>
      <c r="N137" s="158"/>
      <c r="O137" s="158"/>
      <c r="P137" s="158" t="str">
        <f>IFERROR(IF(ISNUMBER(MATCH(F137,'Step 1 Data Bank'!E:E, 0)), "On Data Bank", "Not In Data Bank"),"")</f>
        <v>Not In Data Bank</v>
      </c>
      <c r="Q137" s="158" t="str">
        <f t="array" ref="Q137">XLOOKUP(F137,'Step 1 Data Bank'!E:E,'Step 1 Data Bank'!M:M,"",0)</f>
        <v/>
      </c>
      <c r="R137" s="160" t="str">
        <f t="array" ref="R137">XLOOKUP(F137,'Step 1 Data Bank'!E:E,'Step 1 Data Bank'!N:N,"",0)</f>
        <v/>
      </c>
      <c r="S137" s="158" t="str">
        <f>IFERROR(IF(ISNUMBER(MATCH(F137,'OLD DATA'!H:H, 0)), "On OLD Data", "Not In Old Data"),"")</f>
        <v>Not In Old Data</v>
      </c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</row>
    <row r="138">
      <c r="A138" s="207">
        <f>IFERROR(__xludf.DUMMYFUNCTION("""COMPUTED_VALUE"""),46143.0)</f>
        <v>46143</v>
      </c>
      <c r="B138" s="158" t="str">
        <f>IFERROR(__xludf.DUMMYFUNCTION("""COMPUTED_VALUE"""),"GOAT")</f>
        <v>GOAT</v>
      </c>
      <c r="C138" s="158" t="str">
        <f>IFERROR(__xludf.DUMMYFUNCTION("""COMPUTED_VALUE"""),"Made Intan Deyana Wirata")</f>
        <v>Made Intan Deyana Wirata</v>
      </c>
      <c r="D138" s="158" t="str">
        <f>IFERROR(__xludf.DUMMYFUNCTION("""COMPUTED_VALUE"""),"Yaya")</f>
        <v>Yaya</v>
      </c>
      <c r="E138" s="160" t="str">
        <f>IFERROR(__xludf.DUMMYFUNCTION("""COMPUTED_VALUE"""),"TASHYA FEBRIANI +62 812-9933-3295")</f>
        <v>TASHYA FEBRIANI +62 812-9933-3295</v>
      </c>
      <c r="F138" s="158" t="str">
        <f>IFERROR(__xludf.DUMMYFUNCTION("""COMPUTED_VALUE"""),"GP22SEIN222921")</f>
        <v>GP22SEIN222921</v>
      </c>
      <c r="G138" s="158" t="str">
        <f>IFERROR(__xludf.DUMMYFUNCTION("""COMPUTED_VALUE"""),"GP-FPA176AEITW")</f>
        <v>GP-FPA176AEITW</v>
      </c>
      <c r="H138" s="160" t="str">
        <f>IFERROR(__xludf.DUMMYFUNCTION("""COMPUTED_VALUE"""),"ACC HHP, SMAPP CLEAR CASE A17")</f>
        <v>ACC HHP, SMAPP CLEAR CASE A17</v>
      </c>
      <c r="I138" s="209">
        <f>IFERROR(__xludf.DUMMYFUNCTION("""COMPUTED_VALUE"""),46172.0)</f>
        <v>46172</v>
      </c>
      <c r="J138" s="158">
        <f>IFERROR(__xludf.DUMMYFUNCTION("""COMPUTED_VALUE"""),-91.0)</f>
        <v>-91</v>
      </c>
      <c r="K138" s="160"/>
      <c r="L138" s="158" t="str">
        <f>IFERROR(__xludf.DUMMYFUNCTION("""COMPUTED_VALUE"""),"Not Overdue")</f>
        <v>Not Overdue</v>
      </c>
      <c r="M138" s="158"/>
      <c r="N138" s="158"/>
      <c r="O138" s="158"/>
      <c r="P138" s="158" t="str">
        <f>IFERROR(IF(ISNUMBER(MATCH(F138,'Step 1 Data Bank'!E:E, 0)), "On Data Bank", "Not In Data Bank"),"")</f>
        <v>Not In Data Bank</v>
      </c>
      <c r="Q138" s="158" t="str">
        <f t="array" ref="Q138">XLOOKUP(F138,'Step 1 Data Bank'!E:E,'Step 1 Data Bank'!M:M,"",0)</f>
        <v/>
      </c>
      <c r="R138" s="160" t="str">
        <f t="array" ref="R138">XLOOKUP(F138,'Step 1 Data Bank'!E:E,'Step 1 Data Bank'!N:N,"",0)</f>
        <v/>
      </c>
      <c r="S138" s="158" t="str">
        <f>IFERROR(IF(ISNUMBER(MATCH(F138,'OLD DATA'!H:H, 0)), "On OLD Data", "Not In Old Data"),"")</f>
        <v>Not In Old Data</v>
      </c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</row>
    <row r="139">
      <c r="A139" s="207">
        <f>IFERROR(__xludf.DUMMYFUNCTION("""COMPUTED_VALUE"""),46143.0)</f>
        <v>46143</v>
      </c>
      <c r="B139" s="158" t="str">
        <f>IFERROR(__xludf.DUMMYFUNCTION("""COMPUTED_VALUE"""),"GOAT")</f>
        <v>GOAT</v>
      </c>
      <c r="C139" s="158" t="str">
        <f>IFERROR(__xludf.DUMMYFUNCTION("""COMPUTED_VALUE"""),"Made Intan Deyana Wirata")</f>
        <v>Made Intan Deyana Wirata</v>
      </c>
      <c r="D139" s="158" t="str">
        <f>IFERROR(__xludf.DUMMYFUNCTION("""COMPUTED_VALUE"""),"Yaya")</f>
        <v>Yaya</v>
      </c>
      <c r="E139" s="160" t="str">
        <f>IFERROR(__xludf.DUMMYFUNCTION("""COMPUTED_VALUE"""),"TASHYA FEBRIANI +62 812-9933-3295")</f>
        <v>TASHYA FEBRIANI +62 812-9933-3295</v>
      </c>
      <c r="F139" s="158">
        <f>IFERROR(__xludf.DUMMYFUNCTION("""COMPUTED_VALUE"""),3.55500722567443E14)</f>
        <v>355500722567443</v>
      </c>
      <c r="G139" s="158" t="str">
        <f>IFERROR(__xludf.DUMMYFUNCTION("""COMPUTED_VALUE"""),"SM-A175FLBDXID")</f>
        <v>SM-A175FLBDXID</v>
      </c>
      <c r="H139" s="160" t="str">
        <f>IFERROR(__xludf.DUMMYFUNCTION("""COMPUTED_VALUE"""),"G-A17 (8/128) LIGHT BLUE (2025)")</f>
        <v>G-A17 (8/128) LIGHT BLUE (2025)</v>
      </c>
      <c r="I139" s="209">
        <f>IFERROR(__xludf.DUMMYFUNCTION("""COMPUTED_VALUE"""),46172.0)</f>
        <v>46172</v>
      </c>
      <c r="J139" s="158">
        <f>IFERROR(__xludf.DUMMYFUNCTION("""COMPUTED_VALUE"""),-91.0)</f>
        <v>-91</v>
      </c>
      <c r="K139" s="160"/>
      <c r="L139" s="158" t="str">
        <f>IFERROR(__xludf.DUMMYFUNCTION("""COMPUTED_VALUE"""),"Not Overdue")</f>
        <v>Not Overdue</v>
      </c>
      <c r="M139" s="158"/>
      <c r="N139" s="158"/>
      <c r="O139" s="158"/>
      <c r="P139" s="158" t="str">
        <f>IFERROR(IF(ISNUMBER(MATCH(F139,'Step 1 Data Bank'!E:E, 0)), "On Data Bank", "Not In Data Bank"),"")</f>
        <v>On Data Bank</v>
      </c>
      <c r="Q139" s="158" t="str">
        <f t="array" ref="Q139">XLOOKUP(F139,'Step 1 Data Bank'!E:E,'Step 1 Data Bank'!M:M,"",0)</f>
        <v>LOANED / ON KOL</v>
      </c>
      <c r="R139" s="160" t="str">
        <f t="array" ref="R139">XLOOKUP(F139,'Step 1 Data Bank'!E:E,'Step 1 Data Bank'!N:N,"",0)</f>
        <v>RAUDAH</v>
      </c>
      <c r="S139" s="158" t="str">
        <f>IFERROR(IF(ISNUMBER(MATCH(F139,'OLD DATA'!H:H, 0)), "On OLD Data", "Not In Old Data"),"")</f>
        <v>Not In Old Data</v>
      </c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</row>
    <row r="140">
      <c r="A140" s="207">
        <f>IFERROR(__xludf.DUMMYFUNCTION("""COMPUTED_VALUE"""),46143.0)</f>
        <v>46143</v>
      </c>
      <c r="B140" s="158" t="str">
        <f>IFERROR(__xludf.DUMMYFUNCTION("""COMPUTED_VALUE"""),"GOAT")</f>
        <v>GOAT</v>
      </c>
      <c r="C140" s="158" t="str">
        <f>IFERROR(__xludf.DUMMYFUNCTION("""COMPUTED_VALUE"""),"Made Intan Deyana Wirata")</f>
        <v>Made Intan Deyana Wirata</v>
      </c>
      <c r="D140" s="158" t="str">
        <f>IFERROR(__xludf.DUMMYFUNCTION("""COMPUTED_VALUE"""),"Yaya")</f>
        <v>Yaya</v>
      </c>
      <c r="E140" s="160" t="str">
        <f>IFERROR(__xludf.DUMMYFUNCTION("""COMPUTED_VALUE"""),"TASHYA FEBRIANI +62 812-9933-3295")</f>
        <v>TASHYA FEBRIANI +62 812-9933-3295</v>
      </c>
      <c r="F140" s="158" t="str">
        <f>IFERROR(__xludf.DUMMYFUNCTION("""COMPUTED_VALUE"""),"C1075531691000962563")</f>
        <v>C1075531691000962563</v>
      </c>
      <c r="G140" s="158" t="str">
        <f>IFERROR(__xludf.DUMMYFUNCTION("""COMPUTED_VALUE"""),"GP-PTU024DYQWQ")</f>
        <v>GP-PTU024DYQWQ</v>
      </c>
      <c r="H140" s="160" t="str">
        <f>IFERROR(__xludf.DUMMYFUNCTION("""COMPUTED_VALUE"""),"ACC HHP, DONGYANG CHARGER, TA800, WHITE")</f>
        <v>ACC HHP, DONGYANG CHARGER, TA800, WHITE</v>
      </c>
      <c r="I140" s="209">
        <f>IFERROR(__xludf.DUMMYFUNCTION("""COMPUTED_VALUE"""),46172.0)</f>
        <v>46172</v>
      </c>
      <c r="J140" s="158">
        <f>IFERROR(__xludf.DUMMYFUNCTION("""COMPUTED_VALUE"""),-91.0)</f>
        <v>-91</v>
      </c>
      <c r="K140" s="160"/>
      <c r="L140" s="158" t="str">
        <f>IFERROR(__xludf.DUMMYFUNCTION("""COMPUTED_VALUE"""),"Not Overdue")</f>
        <v>Not Overdue</v>
      </c>
      <c r="M140" s="158"/>
      <c r="N140" s="158"/>
      <c r="O140" s="158"/>
      <c r="P140" s="158" t="str">
        <f>IFERROR(IF(ISNUMBER(MATCH(F140,'Step 1 Data Bank'!E:E, 0)), "On Data Bank", "Not In Data Bank"),"")</f>
        <v>Not In Data Bank</v>
      </c>
      <c r="Q140" s="158" t="str">
        <f t="array" ref="Q140">XLOOKUP(F140,'Step 1 Data Bank'!E:E,'Step 1 Data Bank'!M:M,"",0)</f>
        <v/>
      </c>
      <c r="R140" s="160" t="str">
        <f t="array" ref="R140">XLOOKUP(F140,'Step 1 Data Bank'!E:E,'Step 1 Data Bank'!N:N,"",0)</f>
        <v/>
      </c>
      <c r="S140" s="158" t="str">
        <f>IFERROR(IF(ISNUMBER(MATCH(F140,'OLD DATA'!H:H, 0)), "On OLD Data", "Not In Old Data"),"")</f>
        <v>Not In Old Data</v>
      </c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</row>
    <row r="141">
      <c r="A141" s="207">
        <f>IFERROR(__xludf.DUMMYFUNCTION("""COMPUTED_VALUE"""),46143.0)</f>
        <v>46143</v>
      </c>
      <c r="B141" s="158" t="str">
        <f>IFERROR(__xludf.DUMMYFUNCTION("""COMPUTED_VALUE"""),"GOAT")</f>
        <v>GOAT</v>
      </c>
      <c r="C141" s="158" t="str">
        <f>IFERROR(__xludf.DUMMYFUNCTION("""COMPUTED_VALUE"""),"Made Intan Deyana Wirata")</f>
        <v>Made Intan Deyana Wirata</v>
      </c>
      <c r="D141" s="158" t="str">
        <f>IFERROR(__xludf.DUMMYFUNCTION("""COMPUTED_VALUE"""),"Yaya")</f>
        <v>Yaya</v>
      </c>
      <c r="E141" s="160" t="str">
        <f>IFERROR(__xludf.DUMMYFUNCTION("""COMPUTED_VALUE"""),"TASHYA FEBRIANI +62 812-9933-3295")</f>
        <v>TASHYA FEBRIANI +62 812-9933-3295</v>
      </c>
      <c r="F141" s="158" t="str">
        <f>IFERROR(__xludf.DUMMYFUNCTION("""COMPUTED_VALUE"""),"GP22SEIN209541")</f>
        <v>GP22SEIN209541</v>
      </c>
      <c r="G141" s="158" t="str">
        <f>IFERROR(__xludf.DUMMYFUNCTION("""COMPUTED_VALUE"""),"GP-FPA176AEITW")</f>
        <v>GP-FPA176AEITW</v>
      </c>
      <c r="H141" s="160" t="str">
        <f>IFERROR(__xludf.DUMMYFUNCTION("""COMPUTED_VALUE"""),"ACC HHP, SMAPP CLEAR CASE A17")</f>
        <v>ACC HHP, SMAPP CLEAR CASE A17</v>
      </c>
      <c r="I141" s="209">
        <f>IFERROR(__xludf.DUMMYFUNCTION("""COMPUTED_VALUE"""),46172.0)</f>
        <v>46172</v>
      </c>
      <c r="J141" s="158">
        <f>IFERROR(__xludf.DUMMYFUNCTION("""COMPUTED_VALUE"""),-91.0)</f>
        <v>-91</v>
      </c>
      <c r="K141" s="160"/>
      <c r="L141" s="158" t="str">
        <f>IFERROR(__xludf.DUMMYFUNCTION("""COMPUTED_VALUE"""),"Not Overdue")</f>
        <v>Not Overdue</v>
      </c>
      <c r="M141" s="158"/>
      <c r="N141" s="158"/>
      <c r="O141" s="158"/>
      <c r="P141" s="158" t="str">
        <f>IFERROR(IF(ISNUMBER(MATCH(F141,'Step 1 Data Bank'!E:E, 0)), "On Data Bank", "Not In Data Bank"),"")</f>
        <v>Not In Data Bank</v>
      </c>
      <c r="Q141" s="158" t="str">
        <f t="array" ref="Q141">XLOOKUP(F141,'Step 1 Data Bank'!E:E,'Step 1 Data Bank'!M:M,"",0)</f>
        <v/>
      </c>
      <c r="R141" s="160" t="str">
        <f t="array" ref="R141">XLOOKUP(F141,'Step 1 Data Bank'!E:E,'Step 1 Data Bank'!N:N,"",0)</f>
        <v/>
      </c>
      <c r="S141" s="158" t="str">
        <f>IFERROR(IF(ISNUMBER(MATCH(F141,'OLD DATA'!H:H, 0)), "On OLD Data", "Not In Old Data"),"")</f>
        <v>Not In Old Data</v>
      </c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</row>
    <row r="142">
      <c r="A142" s="207">
        <f>IFERROR(__xludf.DUMMYFUNCTION("""COMPUTED_VALUE"""),46143.0)</f>
        <v>46143</v>
      </c>
      <c r="B142" s="158" t="str">
        <f>IFERROR(__xludf.DUMMYFUNCTION("""COMPUTED_VALUE"""),"GOAT")</f>
        <v>GOAT</v>
      </c>
      <c r="C142" s="158" t="str">
        <f>IFERROR(__xludf.DUMMYFUNCTION("""COMPUTED_VALUE"""),"Made Intan Deyana Wirata")</f>
        <v>Made Intan Deyana Wirata</v>
      </c>
      <c r="D142" s="158" t="str">
        <f>IFERROR(__xludf.DUMMYFUNCTION("""COMPUTED_VALUE"""),"Yaya")</f>
        <v>Yaya</v>
      </c>
      <c r="E142" s="160" t="str">
        <f>IFERROR(__xludf.DUMMYFUNCTION("""COMPUTED_VALUE"""),"TASHYA FEBRIANI +62 812-9933-3295")</f>
        <v>TASHYA FEBRIANI +62 812-9933-3295</v>
      </c>
      <c r="F142" s="158" t="str">
        <f>IFERROR(__xludf.DUMMYFUNCTION("""COMPUTED_VALUE"""),"C1075531761000962571")</f>
        <v>C1075531761000962571</v>
      </c>
      <c r="G142" s="158" t="str">
        <f>IFERROR(__xludf.DUMMYFUNCTION("""COMPUTED_VALUE"""),"GP-PTU024DYQWQ")</f>
        <v>GP-PTU024DYQWQ</v>
      </c>
      <c r="H142" s="160" t="str">
        <f>IFERROR(__xludf.DUMMYFUNCTION("""COMPUTED_VALUE"""),"ACC HHP, DONGYANG CHARGER, TA800, WHITE")</f>
        <v>ACC HHP, DONGYANG CHARGER, TA800, WHITE</v>
      </c>
      <c r="I142" s="209">
        <f>IFERROR(__xludf.DUMMYFUNCTION("""COMPUTED_VALUE"""),46172.0)</f>
        <v>46172</v>
      </c>
      <c r="J142" s="158">
        <f>IFERROR(__xludf.DUMMYFUNCTION("""COMPUTED_VALUE"""),-91.0)</f>
        <v>-91</v>
      </c>
      <c r="K142" s="160"/>
      <c r="L142" s="158" t="str">
        <f>IFERROR(__xludf.DUMMYFUNCTION("""COMPUTED_VALUE"""),"Not Overdue")</f>
        <v>Not Overdue</v>
      </c>
      <c r="M142" s="158"/>
      <c r="N142" s="158"/>
      <c r="O142" s="158"/>
      <c r="P142" s="158" t="str">
        <f>IFERROR(IF(ISNUMBER(MATCH(F142,'Step 1 Data Bank'!E:E, 0)), "On Data Bank", "Not In Data Bank"),"")</f>
        <v>Not In Data Bank</v>
      </c>
      <c r="Q142" s="158" t="str">
        <f t="array" ref="Q142">XLOOKUP(F142,'Step 1 Data Bank'!E:E,'Step 1 Data Bank'!M:M,"",0)</f>
        <v/>
      </c>
      <c r="R142" s="160" t="str">
        <f t="array" ref="R142">XLOOKUP(F142,'Step 1 Data Bank'!E:E,'Step 1 Data Bank'!N:N,"",0)</f>
        <v/>
      </c>
      <c r="S142" s="158" t="str">
        <f>IFERROR(IF(ISNUMBER(MATCH(F142,'OLD DATA'!H:H, 0)), "On OLD Data", "Not In Old Data"),"")</f>
        <v>Not In Old Data</v>
      </c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</row>
    <row r="143">
      <c r="A143" s="207">
        <f>IFERROR(__xludf.DUMMYFUNCTION("""COMPUTED_VALUE"""),46143.0)</f>
        <v>46143</v>
      </c>
      <c r="B143" s="158" t="str">
        <f>IFERROR(__xludf.DUMMYFUNCTION("""COMPUTED_VALUE"""),"GOAT")</f>
        <v>GOAT</v>
      </c>
      <c r="C143" s="158" t="str">
        <f>IFERROR(__xludf.DUMMYFUNCTION("""COMPUTED_VALUE"""),"Made Intan Deyana Wirata")</f>
        <v>Made Intan Deyana Wirata</v>
      </c>
      <c r="D143" s="158" t="str">
        <f>IFERROR(__xludf.DUMMYFUNCTION("""COMPUTED_VALUE"""),"Yaya")</f>
        <v>Yaya</v>
      </c>
      <c r="E143" s="160" t="str">
        <f>IFERROR(__xludf.DUMMYFUNCTION("""COMPUTED_VALUE"""),"TASHYA FEBRIANI +62 812-9933-3295")</f>
        <v>TASHYA FEBRIANI +62 812-9933-3295</v>
      </c>
      <c r="F143" s="158" t="str">
        <f>IFERROR(__xludf.DUMMYFUNCTION("""COMPUTED_VALUE"""),"GP22SEIN209539")</f>
        <v>GP22SEIN209539</v>
      </c>
      <c r="G143" s="158" t="str">
        <f>IFERROR(__xludf.DUMMYFUNCTION("""COMPUTED_VALUE"""),"GP-FPA176AEITW")</f>
        <v>GP-FPA176AEITW</v>
      </c>
      <c r="H143" s="160" t="str">
        <f>IFERROR(__xludf.DUMMYFUNCTION("""COMPUTED_VALUE"""),"ACC HHP, SMAPP CLEAR CASE A17")</f>
        <v>ACC HHP, SMAPP CLEAR CASE A17</v>
      </c>
      <c r="I143" s="209">
        <f>IFERROR(__xludf.DUMMYFUNCTION("""COMPUTED_VALUE"""),46172.0)</f>
        <v>46172</v>
      </c>
      <c r="J143" s="158">
        <f>IFERROR(__xludf.DUMMYFUNCTION("""COMPUTED_VALUE"""),-91.0)</f>
        <v>-91</v>
      </c>
      <c r="K143" s="160"/>
      <c r="L143" s="158" t="str">
        <f>IFERROR(__xludf.DUMMYFUNCTION("""COMPUTED_VALUE"""),"Not Overdue")</f>
        <v>Not Overdue</v>
      </c>
      <c r="M143" s="158"/>
      <c r="N143" s="158"/>
      <c r="O143" s="158"/>
      <c r="P143" s="158" t="str">
        <f>IFERROR(IF(ISNUMBER(MATCH(F143,'Step 1 Data Bank'!E:E, 0)), "On Data Bank", "Not In Data Bank"),"")</f>
        <v>Not In Data Bank</v>
      </c>
      <c r="Q143" s="158" t="str">
        <f t="array" ref="Q143">XLOOKUP(F143,'Step 1 Data Bank'!E:E,'Step 1 Data Bank'!M:M,"",0)</f>
        <v/>
      </c>
      <c r="R143" s="160" t="str">
        <f t="array" ref="R143">XLOOKUP(F143,'Step 1 Data Bank'!E:E,'Step 1 Data Bank'!N:N,"",0)</f>
        <v/>
      </c>
      <c r="S143" s="158" t="str">
        <f>IFERROR(IF(ISNUMBER(MATCH(F143,'OLD DATA'!H:H, 0)), "On OLD Data", "Not In Old Data"),"")</f>
        <v>Not In Old Data</v>
      </c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</row>
    <row r="144">
      <c r="A144" s="207">
        <f>IFERROR(__xludf.DUMMYFUNCTION("""COMPUTED_VALUE"""),46143.0)</f>
        <v>46143</v>
      </c>
      <c r="B144" s="158" t="str">
        <f>IFERROR(__xludf.DUMMYFUNCTION("""COMPUTED_VALUE"""),"GOAT")</f>
        <v>GOAT</v>
      </c>
      <c r="C144" s="158" t="str">
        <f>IFERROR(__xludf.DUMMYFUNCTION("""COMPUTED_VALUE"""),"Made Intan Deyana Wirata")</f>
        <v>Made Intan Deyana Wirata</v>
      </c>
      <c r="D144" s="158" t="str">
        <f>IFERROR(__xludf.DUMMYFUNCTION("""COMPUTED_VALUE"""),"Yaya")</f>
        <v>Yaya</v>
      </c>
      <c r="E144" s="160" t="str">
        <f>IFERROR(__xludf.DUMMYFUNCTION("""COMPUTED_VALUE"""),"TASHYA FEBRIANI +62 812-9933-3295")</f>
        <v>TASHYA FEBRIANI +62 812-9933-3295</v>
      </c>
      <c r="F144" s="158">
        <f>IFERROR(__xludf.DUMMYFUNCTION("""COMPUTED_VALUE"""),3.55500722565579E14)</f>
        <v>355500722565579</v>
      </c>
      <c r="G144" s="158" t="str">
        <f>IFERROR(__xludf.DUMMYFUNCTION("""COMPUTED_VALUE"""),"SM-A175FLBDXID")</f>
        <v>SM-A175FLBDXID</v>
      </c>
      <c r="H144" s="160" t="str">
        <f>IFERROR(__xludf.DUMMYFUNCTION("""COMPUTED_VALUE"""),"G-A17 (8/128) LIGHT BLUE (2025)")</f>
        <v>G-A17 (8/128) LIGHT BLUE (2025)</v>
      </c>
      <c r="I144" s="209">
        <f>IFERROR(__xludf.DUMMYFUNCTION("""COMPUTED_VALUE"""),46172.0)</f>
        <v>46172</v>
      </c>
      <c r="J144" s="158">
        <f>IFERROR(__xludf.DUMMYFUNCTION("""COMPUTED_VALUE"""),-91.0)</f>
        <v>-91</v>
      </c>
      <c r="K144" s="160"/>
      <c r="L144" s="158" t="str">
        <f>IFERROR(__xludf.DUMMYFUNCTION("""COMPUTED_VALUE"""),"Not Overdue")</f>
        <v>Not Overdue</v>
      </c>
      <c r="M144" s="158"/>
      <c r="N144" s="158"/>
      <c r="O144" s="158"/>
      <c r="P144" s="158" t="str">
        <f>IFERROR(IF(ISNUMBER(MATCH(F144,'Step 1 Data Bank'!E:E, 0)), "On Data Bank", "Not In Data Bank"),"")</f>
        <v>On Data Bank</v>
      </c>
      <c r="Q144" s="158" t="str">
        <f t="array" ref="Q144">XLOOKUP(F144,'Step 1 Data Bank'!E:E,'Step 1 Data Bank'!M:M,"",0)</f>
        <v>LOANED / ON KOL</v>
      </c>
      <c r="R144" s="160" t="str">
        <f t="array" ref="R144">XLOOKUP(F144,'Step 1 Data Bank'!E:E,'Step 1 Data Bank'!N:N,"",0)</f>
        <v>MEIRANI AMALIA</v>
      </c>
      <c r="S144" s="158" t="str">
        <f>IFERROR(IF(ISNUMBER(MATCH(F144,'OLD DATA'!H:H, 0)), "On OLD Data", "Not In Old Data"),"")</f>
        <v>Not In Old Data</v>
      </c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</row>
    <row r="145">
      <c r="A145" s="207">
        <f>IFERROR(__xludf.DUMMYFUNCTION("""COMPUTED_VALUE"""),46174.0)</f>
        <v>46174</v>
      </c>
      <c r="B145" s="158" t="str">
        <f>IFERROR(__xludf.DUMMYFUNCTION("""COMPUTED_VALUE"""),"GOAT")</f>
        <v>GOAT</v>
      </c>
      <c r="C145" s="158" t="str">
        <f>IFERROR(__xludf.DUMMYFUNCTION("""COMPUTED_VALUE"""),"Made Intan Deyana Wirata")</f>
        <v>Made Intan Deyana Wirata</v>
      </c>
      <c r="D145" s="158" t="str">
        <f>IFERROR(__xludf.DUMMYFUNCTION("""COMPUTED_VALUE"""),"Yaya")</f>
        <v>Yaya</v>
      </c>
      <c r="E145" s="160" t="str">
        <f>IFERROR(__xludf.DUMMYFUNCTION("""COMPUTED_VALUE"""),"TASHYA FEBRIANI +62 812-9933-3295")</f>
        <v>TASHYA FEBRIANI +62 812-9933-3295</v>
      </c>
      <c r="F145" s="158">
        <f>IFERROR(__xludf.DUMMYFUNCTION("""COMPUTED_VALUE"""),3.55649780287392E14)</f>
        <v>355649780287392</v>
      </c>
      <c r="G145" s="158" t="str">
        <f>IFERROR(__xludf.DUMMYFUNCTION("""COMPUTED_VALUE"""),"SM-A076BLVCXID")</f>
        <v>SM-A076BLVCXID</v>
      </c>
      <c r="H145" s="160" t="str">
        <f>IFERROR(__xludf.DUMMYFUNCTION("""COMPUTED_VALUE"""),"G-A07-5G (6/128) LIGHT VIOLET (2026)")</f>
        <v>G-A07-5G (6/128) LIGHT VIOLET (2026)</v>
      </c>
      <c r="I145" s="208">
        <f>IFERROR(__xludf.DUMMYFUNCTION("""COMPUTED_VALUE"""),46188.0)</f>
        <v>46188</v>
      </c>
      <c r="J145" s="158">
        <f>IFERROR(__xludf.DUMMYFUNCTION("""COMPUTED_VALUE"""),-107.0)</f>
        <v>-107</v>
      </c>
      <c r="K145" s="160"/>
      <c r="L145" s="158" t="str">
        <f>IFERROR(__xludf.DUMMYFUNCTION("""COMPUTED_VALUE"""),"Not Overdue")</f>
        <v>Not Overdue</v>
      </c>
      <c r="M145" s="158"/>
      <c r="N145" s="158"/>
      <c r="O145" s="158"/>
      <c r="P145" s="158" t="str">
        <f>IFERROR(IF(ISNUMBER(MATCH(F145,'Step 1 Data Bank'!E:E, 0)), "On Data Bank", "Not In Data Bank"),"")</f>
        <v>On Data Bank</v>
      </c>
      <c r="Q145" s="158" t="str">
        <f t="array" ref="Q145">XLOOKUP(F145,'Step 1 Data Bank'!E:E,'Step 1 Data Bank'!M:M,"",0)</f>
        <v>LOANED / ON KOL</v>
      </c>
      <c r="R145" s="160" t="str">
        <f t="array" ref="R145">XLOOKUP(F145,'Step 1 Data Bank'!E:E,'Step 1 Data Bank'!N:N,"",0)</f>
        <v>Farhan Frisia </v>
      </c>
      <c r="S145" s="158" t="str">
        <f>IFERROR(IF(ISNUMBER(MATCH(F145,'OLD DATA'!H:H, 0)), "On OLD Data", "Not In Old Data"),"")</f>
        <v>Not In Old Data</v>
      </c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</row>
    <row r="146">
      <c r="A146" s="207">
        <f>IFERROR(__xludf.DUMMYFUNCTION("""COMPUTED_VALUE"""),46174.0)</f>
        <v>46174</v>
      </c>
      <c r="B146" s="158" t="str">
        <f>IFERROR(__xludf.DUMMYFUNCTION("""COMPUTED_VALUE"""),"GOAT")</f>
        <v>GOAT</v>
      </c>
      <c r="C146" s="158" t="str">
        <f>IFERROR(__xludf.DUMMYFUNCTION("""COMPUTED_VALUE"""),"Made Intan Deyana Wirata")</f>
        <v>Made Intan Deyana Wirata</v>
      </c>
      <c r="D146" s="158" t="str">
        <f>IFERROR(__xludf.DUMMYFUNCTION("""COMPUTED_VALUE"""),"Yaya")</f>
        <v>Yaya</v>
      </c>
      <c r="E146" s="160" t="str">
        <f>IFERROR(__xludf.DUMMYFUNCTION("""COMPUTED_VALUE"""),"TASHYA FEBRIANI +62 812-9933-3295")</f>
        <v>TASHYA FEBRIANI +62 812-9933-3295</v>
      </c>
      <c r="F146" s="158">
        <f>IFERROR(__xludf.DUMMYFUNCTION("""COMPUTED_VALUE"""),3.55649780288085E14)</f>
        <v>355649780288085</v>
      </c>
      <c r="G146" s="158" t="str">
        <f>IFERROR(__xludf.DUMMYFUNCTION("""COMPUTED_VALUE"""),"SM-A076BLVCXID")</f>
        <v>SM-A076BLVCXID</v>
      </c>
      <c r="H146" s="160" t="str">
        <f>IFERROR(__xludf.DUMMYFUNCTION("""COMPUTED_VALUE"""),"G-A07-5G (6/128) LIGHT VIOLET (2026)")</f>
        <v>G-A07-5G (6/128) LIGHT VIOLET (2026)</v>
      </c>
      <c r="I146" s="208">
        <f>IFERROR(__xludf.DUMMYFUNCTION("""COMPUTED_VALUE"""),46188.0)</f>
        <v>46188</v>
      </c>
      <c r="J146" s="158">
        <f>IFERROR(__xludf.DUMMYFUNCTION("""COMPUTED_VALUE"""),-107.0)</f>
        <v>-107</v>
      </c>
      <c r="K146" s="160"/>
      <c r="L146" s="158" t="str">
        <f>IFERROR(__xludf.DUMMYFUNCTION("""COMPUTED_VALUE"""),"Not Overdue")</f>
        <v>Not Overdue</v>
      </c>
      <c r="M146" s="158"/>
      <c r="N146" s="158"/>
      <c r="O146" s="158"/>
      <c r="P146" s="158" t="str">
        <f>IFERROR(IF(ISNUMBER(MATCH(F146,'Step 1 Data Bank'!E:E, 0)), "On Data Bank", "Not In Data Bank"),"")</f>
        <v>On Data Bank</v>
      </c>
      <c r="Q146" s="158" t="str">
        <f t="array" ref="Q146">XLOOKUP(F146,'Step 1 Data Bank'!E:E,'Step 1 Data Bank'!M:M,"",0)</f>
        <v>LOANED / ON KOL</v>
      </c>
      <c r="R146" s="160" t="str">
        <f t="array" ref="R146">XLOOKUP(F146,'Step 1 Data Bank'!E:E,'Step 1 Data Bank'!N:N,"",0)</f>
        <v>VINCENT PRATAMA</v>
      </c>
      <c r="S146" s="158" t="str">
        <f>IFERROR(IF(ISNUMBER(MATCH(F146,'OLD DATA'!H:H, 0)), "On OLD Data", "Not In Old Data"),"")</f>
        <v>Not In Old Data</v>
      </c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</row>
    <row r="147">
      <c r="A147" s="207">
        <f>IFERROR(__xludf.DUMMYFUNCTION("""COMPUTED_VALUE"""),46174.0)</f>
        <v>46174</v>
      </c>
      <c r="B147" s="158" t="str">
        <f>IFERROR(__xludf.DUMMYFUNCTION("""COMPUTED_VALUE"""),"GOAT")</f>
        <v>GOAT</v>
      </c>
      <c r="C147" s="158" t="str">
        <f>IFERROR(__xludf.DUMMYFUNCTION("""COMPUTED_VALUE"""),"Made Intan Deyana Wirata")</f>
        <v>Made Intan Deyana Wirata</v>
      </c>
      <c r="D147" s="158" t="str">
        <f>IFERROR(__xludf.DUMMYFUNCTION("""COMPUTED_VALUE"""),"Yaya")</f>
        <v>Yaya</v>
      </c>
      <c r="E147" s="160" t="str">
        <f>IFERROR(__xludf.DUMMYFUNCTION("""COMPUTED_VALUE"""),"TASHYA FEBRIANI +62 812-9933-3295")</f>
        <v>TASHYA FEBRIANI +62 812-9933-3295</v>
      </c>
      <c r="F147" s="158">
        <f>IFERROR(__xludf.DUMMYFUNCTION("""COMPUTED_VALUE"""),3.55649780289414E14)</f>
        <v>355649780289414</v>
      </c>
      <c r="G147" s="158" t="str">
        <f>IFERROR(__xludf.DUMMYFUNCTION("""COMPUTED_VALUE"""),"SM-A076BLVCXID")</f>
        <v>SM-A076BLVCXID</v>
      </c>
      <c r="H147" s="160" t="str">
        <f>IFERROR(__xludf.DUMMYFUNCTION("""COMPUTED_VALUE"""),"G-A07-5G (6/128) LIGHT VIOLET (2026)")</f>
        <v>G-A07-5G (6/128) LIGHT VIOLET (2026)</v>
      </c>
      <c r="I147" s="208">
        <f>IFERROR(__xludf.DUMMYFUNCTION("""COMPUTED_VALUE"""),46188.0)</f>
        <v>46188</v>
      </c>
      <c r="J147" s="158">
        <f>IFERROR(__xludf.DUMMYFUNCTION("""COMPUTED_VALUE"""),-107.0)</f>
        <v>-107</v>
      </c>
      <c r="K147" s="160"/>
      <c r="L147" s="158" t="str">
        <f>IFERROR(__xludf.DUMMYFUNCTION("""COMPUTED_VALUE"""),"Not Overdue")</f>
        <v>Not Overdue</v>
      </c>
      <c r="M147" s="158"/>
      <c r="N147" s="158"/>
      <c r="O147" s="158"/>
      <c r="P147" s="158" t="str">
        <f>IFERROR(IF(ISNUMBER(MATCH(F147,'Step 1 Data Bank'!E:E, 0)), "On Data Bank", "Not In Data Bank"),"")</f>
        <v>On Data Bank</v>
      </c>
      <c r="Q147" s="158" t="str">
        <f t="array" ref="Q147">XLOOKUP(F147,'Step 1 Data Bank'!E:E,'Step 1 Data Bank'!M:M,"",0)</f>
        <v>AVAILABLE</v>
      </c>
      <c r="R147" s="160" t="str">
        <f t="array" ref="R147">XLOOKUP(F147,'Step 1 Data Bank'!E:E,'Step 1 Data Bank'!N:N,"",0)</f>
        <v>-</v>
      </c>
      <c r="S147" s="158" t="str">
        <f>IFERROR(IF(ISNUMBER(MATCH(F147,'OLD DATA'!H:H, 0)), "On OLD Data", "Not In Old Data"),"")</f>
        <v>Not In Old Data</v>
      </c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</row>
    <row r="148">
      <c r="A148" s="207">
        <f>IFERROR(__xludf.DUMMYFUNCTION("""COMPUTED_VALUE"""),46174.0)</f>
        <v>46174</v>
      </c>
      <c r="B148" s="158" t="str">
        <f>IFERROR(__xludf.DUMMYFUNCTION("""COMPUTED_VALUE"""),"GOAT")</f>
        <v>GOAT</v>
      </c>
      <c r="C148" s="158" t="str">
        <f>IFERROR(__xludf.DUMMYFUNCTION("""COMPUTED_VALUE"""),"Made Intan Deyana Wirata")</f>
        <v>Made Intan Deyana Wirata</v>
      </c>
      <c r="D148" s="158" t="str">
        <f>IFERROR(__xludf.DUMMYFUNCTION("""COMPUTED_VALUE"""),"Yaya")</f>
        <v>Yaya</v>
      </c>
      <c r="E148" s="160" t="str">
        <f>IFERROR(__xludf.DUMMYFUNCTION("""COMPUTED_VALUE"""),"TASHYA FEBRIANI +62 812-9933-3295")</f>
        <v>TASHYA FEBRIANI +62 812-9933-3295</v>
      </c>
      <c r="F148" s="158">
        <f>IFERROR(__xludf.DUMMYFUNCTION("""COMPUTED_VALUE"""),3.55649780142837E14)</f>
        <v>355649780142837</v>
      </c>
      <c r="G148" s="158" t="str">
        <f>IFERROR(__xludf.DUMMYFUNCTION("""COMPUTED_VALUE"""),"SM-A076BLVCXID")</f>
        <v>SM-A076BLVCXID</v>
      </c>
      <c r="H148" s="160" t="str">
        <f>IFERROR(__xludf.DUMMYFUNCTION("""COMPUTED_VALUE"""),"G-A07-5G (6/128) LIGHT VIOLET (2026)")</f>
        <v>G-A07-5G (6/128) LIGHT VIOLET (2026)</v>
      </c>
      <c r="I148" s="208">
        <f>IFERROR(__xludf.DUMMYFUNCTION("""COMPUTED_VALUE"""),46188.0)</f>
        <v>46188</v>
      </c>
      <c r="J148" s="158">
        <f>IFERROR(__xludf.DUMMYFUNCTION("""COMPUTED_VALUE"""),-107.0)</f>
        <v>-107</v>
      </c>
      <c r="K148" s="160"/>
      <c r="L148" s="158" t="str">
        <f>IFERROR(__xludf.DUMMYFUNCTION("""COMPUTED_VALUE"""),"Not Overdue")</f>
        <v>Not Overdue</v>
      </c>
      <c r="M148" s="158"/>
      <c r="N148" s="158"/>
      <c r="O148" s="158"/>
      <c r="P148" s="158" t="str">
        <f>IFERROR(IF(ISNUMBER(MATCH(F148,'Step 1 Data Bank'!E:E, 0)), "On Data Bank", "Not In Data Bank"),"")</f>
        <v>On Data Bank</v>
      </c>
      <c r="Q148" s="158" t="str">
        <f t="array" ref="Q148">XLOOKUP(F148,'Step 1 Data Bank'!E:E,'Step 1 Data Bank'!M:M,"",0)</f>
        <v>LOANED / ON KOL</v>
      </c>
      <c r="R148" s="160" t="str">
        <f t="array" ref="R148">XLOOKUP(F148,'Step 1 Data Bank'!E:E,'Step 1 Data Bank'!N:N,"",0)</f>
        <v>Naqi</v>
      </c>
      <c r="S148" s="158" t="str">
        <f>IFERROR(IF(ISNUMBER(MATCH(F148,'OLD DATA'!H:H, 0)), "On OLD Data", "Not In Old Data"),"")</f>
        <v>Not In Old Data</v>
      </c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</row>
    <row r="149">
      <c r="A149" s="207">
        <f>IFERROR(__xludf.DUMMYFUNCTION("""COMPUTED_VALUE"""),46174.0)</f>
        <v>46174</v>
      </c>
      <c r="B149" s="158" t="str">
        <f>IFERROR(__xludf.DUMMYFUNCTION("""COMPUTED_VALUE"""),"GOAT")</f>
        <v>GOAT</v>
      </c>
      <c r="C149" s="158" t="str">
        <f>IFERROR(__xludf.DUMMYFUNCTION("""COMPUTED_VALUE"""),"Made Intan Deyana Wirata")</f>
        <v>Made Intan Deyana Wirata</v>
      </c>
      <c r="D149" s="158" t="str">
        <f>IFERROR(__xludf.DUMMYFUNCTION("""COMPUTED_VALUE"""),"Yaya")</f>
        <v>Yaya</v>
      </c>
      <c r="E149" s="160" t="str">
        <f>IFERROR(__xludf.DUMMYFUNCTION("""COMPUTED_VALUE"""),"TASHYA FEBRIANI +62 812-9933-3295")</f>
        <v>TASHYA FEBRIANI +62 812-9933-3295</v>
      </c>
      <c r="F149" s="158">
        <f>IFERROR(__xludf.DUMMYFUNCTION("""COMPUTED_VALUE"""),3.55649780141797E14)</f>
        <v>355649780141797</v>
      </c>
      <c r="G149" s="158" t="str">
        <f>IFERROR(__xludf.DUMMYFUNCTION("""COMPUTED_VALUE"""),"SM-A076BLVCXID")</f>
        <v>SM-A076BLVCXID</v>
      </c>
      <c r="H149" s="160" t="str">
        <f>IFERROR(__xludf.DUMMYFUNCTION("""COMPUTED_VALUE"""),"G-A07-5G (6/128) LIGHT VIOLET (2026)")</f>
        <v>G-A07-5G (6/128) LIGHT VIOLET (2026)</v>
      </c>
      <c r="I149" s="208">
        <f>IFERROR(__xludf.DUMMYFUNCTION("""COMPUTED_VALUE"""),46188.0)</f>
        <v>46188</v>
      </c>
      <c r="J149" s="158">
        <f>IFERROR(__xludf.DUMMYFUNCTION("""COMPUTED_VALUE"""),-107.0)</f>
        <v>-107</v>
      </c>
      <c r="K149" s="160"/>
      <c r="L149" s="158" t="str">
        <f>IFERROR(__xludf.DUMMYFUNCTION("""COMPUTED_VALUE"""),"Not Overdue")</f>
        <v>Not Overdue</v>
      </c>
      <c r="M149" s="158"/>
      <c r="N149" s="158"/>
      <c r="O149" s="158"/>
      <c r="P149" s="158" t="str">
        <f>IFERROR(IF(ISNUMBER(MATCH(F149,'Step 1 Data Bank'!E:E, 0)), "On Data Bank", "Not In Data Bank"),"")</f>
        <v>On Data Bank</v>
      </c>
      <c r="Q149" s="158" t="str">
        <f t="array" ref="Q149">XLOOKUP(F149,'Step 1 Data Bank'!E:E,'Step 1 Data Bank'!M:M,"",0)</f>
        <v>AVAILABLE</v>
      </c>
      <c r="R149" s="160" t="str">
        <f t="array" ref="R149">XLOOKUP(F149,'Step 1 Data Bank'!E:E,'Step 1 Data Bank'!N:N,"",0)</f>
        <v>-</v>
      </c>
      <c r="S149" s="158" t="str">
        <f>IFERROR(IF(ISNUMBER(MATCH(F149,'OLD DATA'!H:H, 0)), "On OLD Data", "Not In Old Data"),"")</f>
        <v>Not In Old Data</v>
      </c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</row>
    <row r="150">
      <c r="A150" s="207">
        <f>IFERROR(__xludf.DUMMYFUNCTION("""COMPUTED_VALUE"""),46174.0)</f>
        <v>46174</v>
      </c>
      <c r="B150" s="158" t="str">
        <f>IFERROR(__xludf.DUMMYFUNCTION("""COMPUTED_VALUE"""),"GOAT")</f>
        <v>GOAT</v>
      </c>
      <c r="C150" s="158" t="str">
        <f>IFERROR(__xludf.DUMMYFUNCTION("""COMPUTED_VALUE"""),"Made Intan Deyana Wirata")</f>
        <v>Made Intan Deyana Wirata</v>
      </c>
      <c r="D150" s="158" t="str">
        <f>IFERROR(__xludf.DUMMYFUNCTION("""COMPUTED_VALUE"""),"Yaya")</f>
        <v>Yaya</v>
      </c>
      <c r="E150" s="160" t="str">
        <f>IFERROR(__xludf.DUMMYFUNCTION("""COMPUTED_VALUE"""),"TASHYA FEBRIANI +62 812-9933-3295")</f>
        <v>TASHYA FEBRIANI +62 812-9933-3295</v>
      </c>
      <c r="F150" s="158">
        <f>IFERROR(__xludf.DUMMYFUNCTION("""COMPUTED_VALUE"""),3.55649780141599E14)</f>
        <v>355649780141599</v>
      </c>
      <c r="G150" s="158" t="str">
        <f>IFERROR(__xludf.DUMMYFUNCTION("""COMPUTED_VALUE"""),"SM-A076BLVCXID")</f>
        <v>SM-A076BLVCXID</v>
      </c>
      <c r="H150" s="160" t="str">
        <f>IFERROR(__xludf.DUMMYFUNCTION("""COMPUTED_VALUE"""),"G-A07-5G (6/128) LIGHT VIOLET (2026)")</f>
        <v>G-A07-5G (6/128) LIGHT VIOLET (2026)</v>
      </c>
      <c r="I150" s="208">
        <f>IFERROR(__xludf.DUMMYFUNCTION("""COMPUTED_VALUE"""),46188.0)</f>
        <v>46188</v>
      </c>
      <c r="J150" s="158">
        <f>IFERROR(__xludf.DUMMYFUNCTION("""COMPUTED_VALUE"""),-107.0)</f>
        <v>-107</v>
      </c>
      <c r="K150" s="160"/>
      <c r="L150" s="158" t="str">
        <f>IFERROR(__xludf.DUMMYFUNCTION("""COMPUTED_VALUE"""),"Not Overdue")</f>
        <v>Not Overdue</v>
      </c>
      <c r="M150" s="158"/>
      <c r="N150" s="158"/>
      <c r="O150" s="158"/>
      <c r="P150" s="158" t="str">
        <f>IFERROR(IF(ISNUMBER(MATCH(F150,'Step 1 Data Bank'!E:E, 0)), "On Data Bank", "Not In Data Bank"),"")</f>
        <v>On Data Bank</v>
      </c>
      <c r="Q150" s="158" t="str">
        <f t="array" ref="Q150">XLOOKUP(F150,'Step 1 Data Bank'!E:E,'Step 1 Data Bank'!M:M,"",0)</f>
        <v>AVAILABLE</v>
      </c>
      <c r="R150" s="160" t="str">
        <f t="array" ref="R150">XLOOKUP(F150,'Step 1 Data Bank'!E:E,'Step 1 Data Bank'!N:N,"",0)</f>
        <v>-</v>
      </c>
      <c r="S150" s="158" t="str">
        <f>IFERROR(IF(ISNUMBER(MATCH(F150,'OLD DATA'!H:H, 0)), "On OLD Data", "Not In Old Data"),"")</f>
        <v>Not In Old Data</v>
      </c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</row>
    <row r="151">
      <c r="A151" s="207">
        <f>IFERROR(__xludf.DUMMYFUNCTION("""COMPUTED_VALUE"""),46174.0)</f>
        <v>46174</v>
      </c>
      <c r="B151" s="158" t="str">
        <f>IFERROR(__xludf.DUMMYFUNCTION("""COMPUTED_VALUE"""),"GOAT")</f>
        <v>GOAT</v>
      </c>
      <c r="C151" s="158" t="str">
        <f>IFERROR(__xludf.DUMMYFUNCTION("""COMPUTED_VALUE"""),"Made Intan Deyana Wirata")</f>
        <v>Made Intan Deyana Wirata</v>
      </c>
      <c r="D151" s="158" t="str">
        <f>IFERROR(__xludf.DUMMYFUNCTION("""COMPUTED_VALUE"""),"Yaya")</f>
        <v>Yaya</v>
      </c>
      <c r="E151" s="160" t="str">
        <f>IFERROR(__xludf.DUMMYFUNCTION("""COMPUTED_VALUE"""),"TASHYA FEBRIANI +62 812-9933-3295")</f>
        <v>TASHYA FEBRIANI +62 812-9933-3295</v>
      </c>
      <c r="F151" s="158">
        <f>IFERROR(__xludf.DUMMYFUNCTION("""COMPUTED_VALUE"""),3.55649780139676E14)</f>
        <v>355649780139676</v>
      </c>
      <c r="G151" s="158" t="str">
        <f>IFERROR(__xludf.DUMMYFUNCTION("""COMPUTED_VALUE"""),"SM-A076BLVCXID")</f>
        <v>SM-A076BLVCXID</v>
      </c>
      <c r="H151" s="160" t="str">
        <f>IFERROR(__xludf.DUMMYFUNCTION("""COMPUTED_VALUE"""),"G-A07-5G (6/128) LIGHT VIOLET (2026)")</f>
        <v>G-A07-5G (6/128) LIGHT VIOLET (2026)</v>
      </c>
      <c r="I151" s="208">
        <f>IFERROR(__xludf.DUMMYFUNCTION("""COMPUTED_VALUE"""),46188.0)</f>
        <v>46188</v>
      </c>
      <c r="J151" s="158">
        <f>IFERROR(__xludf.DUMMYFUNCTION("""COMPUTED_VALUE"""),-107.0)</f>
        <v>-107</v>
      </c>
      <c r="K151" s="160"/>
      <c r="L151" s="158" t="str">
        <f>IFERROR(__xludf.DUMMYFUNCTION("""COMPUTED_VALUE"""),"Not Overdue")</f>
        <v>Not Overdue</v>
      </c>
      <c r="M151" s="158"/>
      <c r="N151" s="158"/>
      <c r="O151" s="158"/>
      <c r="P151" s="158" t="str">
        <f>IFERROR(IF(ISNUMBER(MATCH(F151,'Step 1 Data Bank'!E:E, 0)), "On Data Bank", "Not In Data Bank"),"")</f>
        <v>On Data Bank</v>
      </c>
      <c r="Q151" s="158" t="str">
        <f t="array" ref="Q151">XLOOKUP(F151,'Step 1 Data Bank'!E:E,'Step 1 Data Bank'!M:M,"",0)</f>
        <v>LOANED / ON KOL</v>
      </c>
      <c r="R151" s="160" t="str">
        <f t="array" ref="R151">XLOOKUP(F151,'Step 1 Data Bank'!E:E,'Step 1 Data Bank'!N:N,"",0)</f>
        <v>DINSHA SABINA</v>
      </c>
      <c r="S151" s="158" t="str">
        <f>IFERROR(IF(ISNUMBER(MATCH(F151,'OLD DATA'!H:H, 0)), "On OLD Data", "Not In Old Data"),"")</f>
        <v>Not In Old Data</v>
      </c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</row>
    <row r="152">
      <c r="A152" s="207">
        <f>IFERROR(__xludf.DUMMYFUNCTION("""COMPUTED_VALUE"""),46174.0)</f>
        <v>46174</v>
      </c>
      <c r="B152" s="158" t="str">
        <f>IFERROR(__xludf.DUMMYFUNCTION("""COMPUTED_VALUE"""),"GOAT")</f>
        <v>GOAT</v>
      </c>
      <c r="C152" s="158" t="str">
        <f>IFERROR(__xludf.DUMMYFUNCTION("""COMPUTED_VALUE"""),"Made Intan Deyana Wirata")</f>
        <v>Made Intan Deyana Wirata</v>
      </c>
      <c r="D152" s="158" t="str">
        <f>IFERROR(__xludf.DUMMYFUNCTION("""COMPUTED_VALUE"""),"Akbari")</f>
        <v>Akbari</v>
      </c>
      <c r="E152" s="160" t="str">
        <f>IFERROR(__xludf.DUMMYFUNCTION("""COMPUTED_VALUE"""),"ASTERIXA ABIGAIL +62 821-1397-6882")</f>
        <v>ASTERIXA ABIGAIL +62 821-1397-6882</v>
      </c>
      <c r="F152" s="158">
        <f>IFERROR(__xludf.DUMMYFUNCTION("""COMPUTED_VALUE"""),3.5838712001501E14)</f>
        <v>358387120015010</v>
      </c>
      <c r="G152" s="158" t="str">
        <f>IFERROR(__xludf.DUMMYFUNCTION("""COMPUTED_VALUE"""),"SM-X936BZAAXID")</f>
        <v>SM-X936BZAAXID</v>
      </c>
      <c r="H152" s="160" t="str">
        <f>IFERROR(__xludf.DUMMYFUNCTION("""COMPUTED_VALUE"""),"G-TAB-S11-ULTRA-5G, GRAY (2025)")</f>
        <v>G-TAB-S11-ULTRA-5G, GRAY (2025)</v>
      </c>
      <c r="I152" s="208">
        <f>IFERROR(__xludf.DUMMYFUNCTION("""COMPUTED_VALUE"""),46203.0)</f>
        <v>46203</v>
      </c>
      <c r="J152" s="158">
        <f>IFERROR(__xludf.DUMMYFUNCTION("""COMPUTED_VALUE"""),-122.0)</f>
        <v>-122</v>
      </c>
      <c r="K152" s="160"/>
      <c r="L152" s="158" t="str">
        <f>IFERROR(__xludf.DUMMYFUNCTION("""COMPUTED_VALUE"""),"Not Overdue")</f>
        <v>Not Overdue</v>
      </c>
      <c r="M152" s="158"/>
      <c r="N152" s="158"/>
      <c r="O152" s="158"/>
      <c r="P152" s="158" t="str">
        <f>IFERROR(IF(ISNUMBER(MATCH(F152,'Step 1 Data Bank'!E:E, 0)), "On Data Bank", "Not In Data Bank"),"")</f>
        <v>On Data Bank</v>
      </c>
      <c r="Q152" s="158" t="str">
        <f t="array" ref="Q152">XLOOKUP(F152,'Step 1 Data Bank'!E:E,'Step 1 Data Bank'!M:M,"",0)</f>
        <v>AVAILABLE</v>
      </c>
      <c r="R152" s="160" t="str">
        <f t="array" ref="R152">XLOOKUP(F152,'Step 1 Data Bank'!E:E,'Step 1 Data Bank'!N:N,"",0)</f>
        <v>-</v>
      </c>
      <c r="S152" s="158" t="str">
        <f>IFERROR(IF(ISNUMBER(MATCH(F152,'OLD DATA'!H:H, 0)), "On OLD Data", "Not In Old Data"),"")</f>
        <v>Not In Old Data</v>
      </c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</row>
    <row r="153">
      <c r="A153" s="207">
        <f>IFERROR(__xludf.DUMMYFUNCTION("""COMPUTED_VALUE"""),46174.0)</f>
        <v>46174</v>
      </c>
      <c r="B153" s="158" t="str">
        <f>IFERROR(__xludf.DUMMYFUNCTION("""COMPUTED_VALUE"""),"GOAT")</f>
        <v>GOAT</v>
      </c>
      <c r="C153" s="158" t="str">
        <f>IFERROR(__xludf.DUMMYFUNCTION("""COMPUTED_VALUE"""),"Made Intan Deyana Wirata")</f>
        <v>Made Intan Deyana Wirata</v>
      </c>
      <c r="D153" s="158" t="str">
        <f>IFERROR(__xludf.DUMMYFUNCTION("""COMPUTED_VALUE"""),"Akbari")</f>
        <v>Akbari</v>
      </c>
      <c r="E153" s="160" t="str">
        <f>IFERROR(__xludf.DUMMYFUNCTION("""COMPUTED_VALUE"""),"ASTERIXA ABIGAIL +62 821-1397-6882")</f>
        <v>ASTERIXA ABIGAIL +62 821-1397-6882</v>
      </c>
      <c r="F153" s="158">
        <f>IFERROR(__xludf.DUMMYFUNCTION("""COMPUTED_VALUE"""),3.58387120018311E14)</f>
        <v>358387120018311</v>
      </c>
      <c r="G153" s="158" t="str">
        <f>IFERROR(__xludf.DUMMYFUNCTION("""COMPUTED_VALUE"""),"SM-X936BZAAXID")</f>
        <v>SM-X936BZAAXID</v>
      </c>
      <c r="H153" s="160" t="str">
        <f>IFERROR(__xludf.DUMMYFUNCTION("""COMPUTED_VALUE"""),"G-TAB-S11-ULTRA-5G, GRAY (2025)")</f>
        <v>G-TAB-S11-ULTRA-5G, GRAY (2025)</v>
      </c>
      <c r="I153" s="208">
        <f>IFERROR(__xludf.DUMMYFUNCTION("""COMPUTED_VALUE"""),46203.0)</f>
        <v>46203</v>
      </c>
      <c r="J153" s="158">
        <f>IFERROR(__xludf.DUMMYFUNCTION("""COMPUTED_VALUE"""),-122.0)</f>
        <v>-122</v>
      </c>
      <c r="K153" s="160"/>
      <c r="L153" s="158" t="str">
        <f>IFERROR(__xludf.DUMMYFUNCTION("""COMPUTED_VALUE"""),"Not Overdue")</f>
        <v>Not Overdue</v>
      </c>
      <c r="M153" s="158"/>
      <c r="N153" s="158"/>
      <c r="O153" s="158"/>
      <c r="P153" s="158" t="str">
        <f>IFERROR(IF(ISNUMBER(MATCH(F153,'Step 1 Data Bank'!E:E, 0)), "On Data Bank", "Not In Data Bank"),"")</f>
        <v>On Data Bank</v>
      </c>
      <c r="Q153" s="158" t="str">
        <f t="array" ref="Q153">XLOOKUP(F153,'Step 1 Data Bank'!E:E,'Step 1 Data Bank'!M:M,"",0)</f>
        <v>AVAILABLE</v>
      </c>
      <c r="R153" s="160" t="str">
        <f t="array" ref="R153">XLOOKUP(F153,'Step 1 Data Bank'!E:E,'Step 1 Data Bank'!N:N,"",0)</f>
        <v>-</v>
      </c>
      <c r="S153" s="158" t="str">
        <f>IFERROR(IF(ISNUMBER(MATCH(F153,'OLD DATA'!H:H, 0)), "On OLD Data", "Not In Old Data"),"")</f>
        <v>Not In Old Data</v>
      </c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</row>
    <row r="154">
      <c r="A154" s="207">
        <f>IFERROR(__xludf.DUMMYFUNCTION("""COMPUTED_VALUE"""),46174.0)</f>
        <v>46174</v>
      </c>
      <c r="B154" s="158" t="str">
        <f>IFERROR(__xludf.DUMMYFUNCTION("""COMPUTED_VALUE"""),"GOAT")</f>
        <v>GOAT</v>
      </c>
      <c r="C154" s="158" t="str">
        <f>IFERROR(__xludf.DUMMYFUNCTION("""COMPUTED_VALUE"""),"Made Intan Deyana Wirata")</f>
        <v>Made Intan Deyana Wirata</v>
      </c>
      <c r="D154" s="158" t="str">
        <f>IFERROR(__xludf.DUMMYFUNCTION("""COMPUTED_VALUE"""),"Akbari")</f>
        <v>Akbari</v>
      </c>
      <c r="E154" s="160" t="str">
        <f>IFERROR(__xludf.DUMMYFUNCTION("""COMPUTED_VALUE"""),"ASTERIXA ABIGAIL +62 821-1397-6882")</f>
        <v>ASTERIXA ABIGAIL +62 821-1397-6882</v>
      </c>
      <c r="F154" s="158" t="str">
        <f>IFERROR(__xludf.DUMMYFUNCTION("""COMPUTED_VALUE"""),"RF7Y803MA0VCIS")</f>
        <v>RF7Y803MA0VCIS</v>
      </c>
      <c r="G154" s="158" t="str">
        <f>IFERROR(__xludf.DUMMYFUNCTION("""COMPUTED_VALUE"""),"EF-DX930UBEGWW")</f>
        <v>EF-DX930UBEGWW</v>
      </c>
      <c r="H154" s="160" t="str">
        <f>IFERROR(__xludf.DUMMYFUNCTION("""COMPUTED_VALUE"""),"ACC HHP,KEYBOARD SLIM BLACK, TAB S11 ULTRA")</f>
        <v>ACC HHP,KEYBOARD SLIM BLACK, TAB S11 ULTRA</v>
      </c>
      <c r="I154" s="208">
        <f>IFERROR(__xludf.DUMMYFUNCTION("""COMPUTED_VALUE"""),46203.0)</f>
        <v>46203</v>
      </c>
      <c r="J154" s="158">
        <f>IFERROR(__xludf.DUMMYFUNCTION("""COMPUTED_VALUE"""),-122.0)</f>
        <v>-122</v>
      </c>
      <c r="K154" s="160"/>
      <c r="L154" s="158" t="str">
        <f>IFERROR(__xludf.DUMMYFUNCTION("""COMPUTED_VALUE"""),"Not Overdue")</f>
        <v>Not Overdue</v>
      </c>
      <c r="M154" s="158"/>
      <c r="N154" s="158"/>
      <c r="O154" s="158"/>
      <c r="P154" s="158" t="str">
        <f>IFERROR(IF(ISNUMBER(MATCH(F154,'Step 1 Data Bank'!E:E, 0)), "On Data Bank", "Not In Data Bank"),"")</f>
        <v>On Data Bank</v>
      </c>
      <c r="Q154" s="158" t="str">
        <f t="array" ref="Q154">XLOOKUP(F154,'Step 1 Data Bank'!E:E,'Step 1 Data Bank'!M:M,"",0)</f>
        <v>AVAILABLE</v>
      </c>
      <c r="R154" s="160" t="str">
        <f t="array" ref="R154">XLOOKUP(F154,'Step 1 Data Bank'!E:E,'Step 1 Data Bank'!N:N,"",0)</f>
        <v>-</v>
      </c>
      <c r="S154" s="158" t="str">
        <f>IFERROR(IF(ISNUMBER(MATCH(F154,'OLD DATA'!H:H, 0)), "On OLD Data", "Not In Old Data"),"")</f>
        <v>Not In Old Data</v>
      </c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</row>
    <row r="155">
      <c r="A155" s="207">
        <f>IFERROR(__xludf.DUMMYFUNCTION("""COMPUTED_VALUE"""),46174.0)</f>
        <v>46174</v>
      </c>
      <c r="B155" s="158" t="str">
        <f>IFERROR(__xludf.DUMMYFUNCTION("""COMPUTED_VALUE"""),"GOAT")</f>
        <v>GOAT</v>
      </c>
      <c r="C155" s="158" t="str">
        <f>IFERROR(__xludf.DUMMYFUNCTION("""COMPUTED_VALUE"""),"Made Intan Deyana Wirata")</f>
        <v>Made Intan Deyana Wirata</v>
      </c>
      <c r="D155" s="158" t="str">
        <f>IFERROR(__xludf.DUMMYFUNCTION("""COMPUTED_VALUE"""),"Akbari")</f>
        <v>Akbari</v>
      </c>
      <c r="E155" s="160" t="str">
        <f>IFERROR(__xludf.DUMMYFUNCTION("""COMPUTED_VALUE"""),"ASTERIXA ABIGAIL +62 821-1397-6882")</f>
        <v>ASTERIXA ABIGAIL +62 821-1397-6882</v>
      </c>
      <c r="F155" s="158" t="str">
        <f>IFERROR(__xludf.DUMMYFUNCTION("""COMPUTED_VALUE"""),"RF7Y803M3WYCIS")</f>
        <v>RF7Y803M3WYCIS</v>
      </c>
      <c r="G155" s="158" t="str">
        <f>IFERROR(__xludf.DUMMYFUNCTION("""COMPUTED_VALUE"""),"EF-DX930UBEGWW")</f>
        <v>EF-DX930UBEGWW</v>
      </c>
      <c r="H155" s="160" t="str">
        <f>IFERROR(__xludf.DUMMYFUNCTION("""COMPUTED_VALUE"""),"ACC HHP,KEYBOARD SLIM BLACK, TAB S11 ULTRA")</f>
        <v>ACC HHP,KEYBOARD SLIM BLACK, TAB S11 ULTRA</v>
      </c>
      <c r="I155" s="208">
        <f>IFERROR(__xludf.DUMMYFUNCTION("""COMPUTED_VALUE"""),46203.0)</f>
        <v>46203</v>
      </c>
      <c r="J155" s="158">
        <f>IFERROR(__xludf.DUMMYFUNCTION("""COMPUTED_VALUE"""),-122.0)</f>
        <v>-122</v>
      </c>
      <c r="K155" s="160"/>
      <c r="L155" s="158" t="str">
        <f>IFERROR(__xludf.DUMMYFUNCTION("""COMPUTED_VALUE"""),"Not Overdue")</f>
        <v>Not Overdue</v>
      </c>
      <c r="M155" s="158"/>
      <c r="N155" s="158"/>
      <c r="O155" s="158"/>
      <c r="P155" s="158" t="str">
        <f>IFERROR(IF(ISNUMBER(MATCH(F155,'Step 1 Data Bank'!E:E, 0)), "On Data Bank", "Not In Data Bank"),"")</f>
        <v>On Data Bank</v>
      </c>
      <c r="Q155" s="158" t="str">
        <f t="array" ref="Q155">XLOOKUP(F155,'Step 1 Data Bank'!E:E,'Step 1 Data Bank'!M:M,"",0)</f>
        <v>AVAILABLE</v>
      </c>
      <c r="R155" s="160" t="str">
        <f t="array" ref="R155">XLOOKUP(F155,'Step 1 Data Bank'!E:E,'Step 1 Data Bank'!N:N,"",0)</f>
        <v>-</v>
      </c>
      <c r="S155" s="158" t="str">
        <f>IFERROR(IF(ISNUMBER(MATCH(F155,'OLD DATA'!H:H, 0)), "On OLD Data", "Not In Old Data"),"")</f>
        <v>Not In Old Data</v>
      </c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</row>
    <row r="156">
      <c r="A156" s="207">
        <f>IFERROR(__xludf.DUMMYFUNCTION("""COMPUTED_VALUE"""),46174.0)</f>
        <v>46174</v>
      </c>
      <c r="B156" s="158" t="str">
        <f>IFERROR(__xludf.DUMMYFUNCTION("""COMPUTED_VALUE"""),"GOAT")</f>
        <v>GOAT</v>
      </c>
      <c r="C156" s="158" t="str">
        <f>IFERROR(__xludf.DUMMYFUNCTION("""COMPUTED_VALUE"""),"Made Intan Deyana Wirata")</f>
        <v>Made Intan Deyana Wirata</v>
      </c>
      <c r="D156" s="158" t="str">
        <f>IFERROR(__xludf.DUMMYFUNCTION("""COMPUTED_VALUE"""),"Akbari")</f>
        <v>Akbari</v>
      </c>
      <c r="E156" s="160" t="str">
        <f>IFERROR(__xludf.DUMMYFUNCTION("""COMPUTED_VALUE"""),"ASTERIXA ABIGAIL +62 821-1397-6882")</f>
        <v>ASTERIXA ABIGAIL +62 821-1397-6882</v>
      </c>
      <c r="F156" s="158" t="str">
        <f>IFERROR(__xludf.DUMMYFUNCTION("""COMPUTED_VALUE"""),"RF7Y9001EJJCIS")</f>
        <v>RF7Y9001EJJCIS</v>
      </c>
      <c r="G156" s="158" t="str">
        <f>IFERROR(__xludf.DUMMYFUNCTION("""COMPUTED_VALUE"""),"EF-DX730UBEGWW")</f>
        <v>EF-DX730UBEGWW</v>
      </c>
      <c r="H156" s="160" t="str">
        <f>IFERROR(__xludf.DUMMYFUNCTION("""COMPUTED_VALUE"""),"ACC HHP,KEYBOARD, TAB S11")</f>
        <v>ACC HHP,KEYBOARD, TAB S11</v>
      </c>
      <c r="I156" s="208">
        <f>IFERROR(__xludf.DUMMYFUNCTION("""COMPUTED_VALUE"""),46203.0)</f>
        <v>46203</v>
      </c>
      <c r="J156" s="158">
        <f>IFERROR(__xludf.DUMMYFUNCTION("""COMPUTED_VALUE"""),-122.0)</f>
        <v>-122</v>
      </c>
      <c r="K156" s="160"/>
      <c r="L156" s="158" t="str">
        <f>IFERROR(__xludf.DUMMYFUNCTION("""COMPUTED_VALUE"""),"Not Overdue")</f>
        <v>Not Overdue</v>
      </c>
      <c r="M156" s="158"/>
      <c r="N156" s="158"/>
      <c r="O156" s="158"/>
      <c r="P156" s="158" t="str">
        <f>IFERROR(IF(ISNUMBER(MATCH(F156,'Step 1 Data Bank'!E:E, 0)), "On Data Bank", "Not In Data Bank"),"")</f>
        <v>On Data Bank</v>
      </c>
      <c r="Q156" s="158" t="str">
        <f t="array" ref="Q156">XLOOKUP(F156,'Step 1 Data Bank'!E:E,'Step 1 Data Bank'!M:M,"",0)</f>
        <v>AVAILABLE</v>
      </c>
      <c r="R156" s="160" t="str">
        <f t="array" ref="R156">XLOOKUP(F156,'Step 1 Data Bank'!E:E,'Step 1 Data Bank'!N:N,"",0)</f>
        <v>-</v>
      </c>
      <c r="S156" s="158" t="str">
        <f>IFERROR(IF(ISNUMBER(MATCH(F156,'OLD DATA'!H:H, 0)), "On OLD Data", "Not In Old Data"),"")</f>
        <v>Not In Old Data</v>
      </c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</row>
    <row r="157">
      <c r="A157" s="207">
        <f>IFERROR(__xludf.DUMMYFUNCTION("""COMPUTED_VALUE"""),46174.0)</f>
        <v>46174</v>
      </c>
      <c r="B157" s="158" t="str">
        <f>IFERROR(__xludf.DUMMYFUNCTION("""COMPUTED_VALUE"""),"GOAT")</f>
        <v>GOAT</v>
      </c>
      <c r="C157" s="158" t="str">
        <f>IFERROR(__xludf.DUMMYFUNCTION("""COMPUTED_VALUE"""),"Made Intan Deyana Wirata")</f>
        <v>Made Intan Deyana Wirata</v>
      </c>
      <c r="D157" s="158" t="str">
        <f>IFERROR(__xludf.DUMMYFUNCTION("""COMPUTED_VALUE"""),"Akbari")</f>
        <v>Akbari</v>
      </c>
      <c r="E157" s="160" t="str">
        <f>IFERROR(__xludf.DUMMYFUNCTION("""COMPUTED_VALUE"""),"ASTERIXA ABIGAIL +62 821-1397-6882")</f>
        <v>ASTERIXA ABIGAIL +62 821-1397-6882</v>
      </c>
      <c r="F157" s="158" t="str">
        <f>IFERROR(__xludf.DUMMYFUNCTION("""COMPUTED_VALUE"""),"RF7Y9001GSXCIS")</f>
        <v>RF7Y9001GSXCIS</v>
      </c>
      <c r="G157" s="158" t="str">
        <f>IFERROR(__xludf.DUMMYFUNCTION("""COMPUTED_VALUE"""),"EF-DX730UBEGWW")</f>
        <v>EF-DX730UBEGWW</v>
      </c>
      <c r="H157" s="160" t="str">
        <f>IFERROR(__xludf.DUMMYFUNCTION("""COMPUTED_VALUE"""),"ACC HHP,KEYBOARD, TAB S11")</f>
        <v>ACC HHP,KEYBOARD, TAB S11</v>
      </c>
      <c r="I157" s="208">
        <f>IFERROR(__xludf.DUMMYFUNCTION("""COMPUTED_VALUE"""),46203.0)</f>
        <v>46203</v>
      </c>
      <c r="J157" s="158">
        <f>IFERROR(__xludf.DUMMYFUNCTION("""COMPUTED_VALUE"""),-122.0)</f>
        <v>-122</v>
      </c>
      <c r="K157" s="160"/>
      <c r="L157" s="158" t="str">
        <f>IFERROR(__xludf.DUMMYFUNCTION("""COMPUTED_VALUE"""),"Not Overdue")</f>
        <v>Not Overdue</v>
      </c>
      <c r="M157" s="158"/>
      <c r="N157" s="158"/>
      <c r="O157" s="158"/>
      <c r="P157" s="158" t="str">
        <f>IFERROR(IF(ISNUMBER(MATCH(F157,'Step 1 Data Bank'!E:E, 0)), "On Data Bank", "Not In Data Bank"),"")</f>
        <v>On Data Bank</v>
      </c>
      <c r="Q157" s="158" t="str">
        <f t="array" ref="Q157">XLOOKUP(F157,'Step 1 Data Bank'!E:E,'Step 1 Data Bank'!M:M,"",0)</f>
        <v>AVAILABLE</v>
      </c>
      <c r="R157" s="160" t="str">
        <f t="array" ref="R157">XLOOKUP(F157,'Step 1 Data Bank'!E:E,'Step 1 Data Bank'!N:N,"",0)</f>
        <v>-</v>
      </c>
      <c r="S157" s="158" t="str">
        <f>IFERROR(IF(ISNUMBER(MATCH(F157,'OLD DATA'!H:H, 0)), "On OLD Data", "Not In Old Data"),"")</f>
        <v>Not In Old Data</v>
      </c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</row>
    <row r="158">
      <c r="A158" s="207">
        <f>IFERROR(__xludf.DUMMYFUNCTION("""COMPUTED_VALUE"""),46174.0)</f>
        <v>46174</v>
      </c>
      <c r="B158" s="158" t="str">
        <f>IFERROR(__xludf.DUMMYFUNCTION("""COMPUTED_VALUE"""),"GOAT")</f>
        <v>GOAT</v>
      </c>
      <c r="C158" s="158" t="str">
        <f>IFERROR(__xludf.DUMMYFUNCTION("""COMPUTED_VALUE"""),"Made Intan Deyana Wirata")</f>
        <v>Made Intan Deyana Wirata</v>
      </c>
      <c r="D158" s="158" t="str">
        <f>IFERROR(__xludf.DUMMYFUNCTION("""COMPUTED_VALUE"""),"Akbari")</f>
        <v>Akbari</v>
      </c>
      <c r="E158" s="160" t="str">
        <f>IFERROR(__xludf.DUMMYFUNCTION("""COMPUTED_VALUE"""),"ASTERIXA ABIGAIL +62 821-1397-6882")</f>
        <v>ASTERIXA ABIGAIL +62 821-1397-6882</v>
      </c>
      <c r="F158" s="158" t="str">
        <f>IFERROR(__xludf.DUMMYFUNCTION("""COMPUTED_VALUE"""),"RF7Y9001FKBCIS")</f>
        <v>RF7Y9001FKBCIS</v>
      </c>
      <c r="G158" s="158" t="str">
        <f>IFERROR(__xludf.DUMMYFUNCTION("""COMPUTED_VALUE"""),"EF-DX730UBEGWW")</f>
        <v>EF-DX730UBEGWW</v>
      </c>
      <c r="H158" s="160" t="str">
        <f>IFERROR(__xludf.DUMMYFUNCTION("""COMPUTED_VALUE"""),"ACC HHP,KEYBOARD, TAB S11")</f>
        <v>ACC HHP,KEYBOARD, TAB S11</v>
      </c>
      <c r="I158" s="208">
        <f>IFERROR(__xludf.DUMMYFUNCTION("""COMPUTED_VALUE"""),46203.0)</f>
        <v>46203</v>
      </c>
      <c r="J158" s="158">
        <f>IFERROR(__xludf.DUMMYFUNCTION("""COMPUTED_VALUE"""),-122.0)</f>
        <v>-122</v>
      </c>
      <c r="K158" s="160"/>
      <c r="L158" s="158" t="str">
        <f>IFERROR(__xludf.DUMMYFUNCTION("""COMPUTED_VALUE"""),"Not Overdue")</f>
        <v>Not Overdue</v>
      </c>
      <c r="M158" s="158"/>
      <c r="N158" s="158"/>
      <c r="O158" s="158"/>
      <c r="P158" s="158" t="str">
        <f>IFERROR(IF(ISNUMBER(MATCH(F158,'Step 1 Data Bank'!E:E, 0)), "On Data Bank", "Not In Data Bank"),"")</f>
        <v>On Data Bank</v>
      </c>
      <c r="Q158" s="158" t="str">
        <f t="array" ref="Q158">XLOOKUP(F158,'Step 1 Data Bank'!E:E,'Step 1 Data Bank'!M:M,"",0)</f>
        <v>AVAILABLE</v>
      </c>
      <c r="R158" s="160" t="str">
        <f t="array" ref="R158">XLOOKUP(F158,'Step 1 Data Bank'!E:E,'Step 1 Data Bank'!N:N,"",0)</f>
        <v>-</v>
      </c>
      <c r="S158" s="158" t="str">
        <f>IFERROR(IF(ISNUMBER(MATCH(F158,'OLD DATA'!H:H, 0)), "On OLD Data", "Not In Old Data"),"")</f>
        <v>Not In Old Data</v>
      </c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</row>
    <row r="159">
      <c r="A159" s="207">
        <f>IFERROR(__xludf.DUMMYFUNCTION("""COMPUTED_VALUE"""),46174.0)</f>
        <v>46174</v>
      </c>
      <c r="B159" s="158" t="str">
        <f>IFERROR(__xludf.DUMMYFUNCTION("""COMPUTED_VALUE"""),"GOAT")</f>
        <v>GOAT</v>
      </c>
      <c r="C159" s="158" t="str">
        <f>IFERROR(__xludf.DUMMYFUNCTION("""COMPUTED_VALUE"""),"Made Intan Deyana Wirata")</f>
        <v>Made Intan Deyana Wirata</v>
      </c>
      <c r="D159" s="158" t="str">
        <f>IFERROR(__xludf.DUMMYFUNCTION("""COMPUTED_VALUE"""),"Akbari")</f>
        <v>Akbari</v>
      </c>
      <c r="E159" s="160" t="str">
        <f>IFERROR(__xludf.DUMMYFUNCTION("""COMPUTED_VALUE"""),"ASTERIXA ABIGAIL +62 821-1397-6882")</f>
        <v>ASTERIXA ABIGAIL +62 821-1397-6882</v>
      </c>
      <c r="F159" s="158" t="str">
        <f>IFERROR(__xludf.DUMMYFUNCTION("""COMPUTED_VALUE"""),"RR2Y900B1ZK")</f>
        <v>RR2Y900B1ZK</v>
      </c>
      <c r="G159" s="158" t="str">
        <f>IFERROR(__xludf.DUMMYFUNCTION("""COMPUTED_VALUE"""),"SM-X730NZAEXID")</f>
        <v>SM-X730NZAEXID</v>
      </c>
      <c r="H159" s="160" t="str">
        <f>IFERROR(__xludf.DUMMYFUNCTION("""COMPUTED_VALUE"""),"G-TAB-S11 WIFI, GRAY (2025)")</f>
        <v>G-TAB-S11 WIFI, GRAY (2025)</v>
      </c>
      <c r="I159" s="208">
        <f>IFERROR(__xludf.DUMMYFUNCTION("""COMPUTED_VALUE"""),46203.0)</f>
        <v>46203</v>
      </c>
      <c r="J159" s="158">
        <f>IFERROR(__xludf.DUMMYFUNCTION("""COMPUTED_VALUE"""),-122.0)</f>
        <v>-122</v>
      </c>
      <c r="K159" s="160"/>
      <c r="L159" s="158" t="str">
        <f>IFERROR(__xludf.DUMMYFUNCTION("""COMPUTED_VALUE"""),"Not Overdue")</f>
        <v>Not Overdue</v>
      </c>
      <c r="M159" s="158"/>
      <c r="N159" s="158"/>
      <c r="O159" s="158"/>
      <c r="P159" s="158" t="str">
        <f>IFERROR(IF(ISNUMBER(MATCH(F159,'Step 1 Data Bank'!E:E, 0)), "On Data Bank", "Not In Data Bank"),"")</f>
        <v>On Data Bank</v>
      </c>
      <c r="Q159" s="158" t="str">
        <f t="array" ref="Q159">XLOOKUP(F159,'Step 1 Data Bank'!E:E,'Step 1 Data Bank'!M:M,"",0)</f>
        <v>AVAILABLE</v>
      </c>
      <c r="R159" s="160" t="str">
        <f t="array" ref="R159">XLOOKUP(F159,'Step 1 Data Bank'!E:E,'Step 1 Data Bank'!N:N,"",0)</f>
        <v>-</v>
      </c>
      <c r="S159" s="158" t="str">
        <f>IFERROR(IF(ISNUMBER(MATCH(F159,'OLD DATA'!H:H, 0)), "On OLD Data", "Not In Old Data"),"")</f>
        <v>Not In Old Data</v>
      </c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</row>
    <row r="160">
      <c r="A160" s="207">
        <f>IFERROR(__xludf.DUMMYFUNCTION("""COMPUTED_VALUE"""),46174.0)</f>
        <v>46174</v>
      </c>
      <c r="B160" s="158" t="str">
        <f>IFERROR(__xludf.DUMMYFUNCTION("""COMPUTED_VALUE"""),"GOAT")</f>
        <v>GOAT</v>
      </c>
      <c r="C160" s="158" t="str">
        <f>IFERROR(__xludf.DUMMYFUNCTION("""COMPUTED_VALUE"""),"Made Intan Deyana Wirata")</f>
        <v>Made Intan Deyana Wirata</v>
      </c>
      <c r="D160" s="158" t="str">
        <f>IFERROR(__xludf.DUMMYFUNCTION("""COMPUTED_VALUE"""),"Akbari")</f>
        <v>Akbari</v>
      </c>
      <c r="E160" s="160" t="str">
        <f>IFERROR(__xludf.DUMMYFUNCTION("""COMPUTED_VALUE"""),"ASTERIXA ABIGAIL +62 821-1397-6882")</f>
        <v>ASTERIXA ABIGAIL +62 821-1397-6882</v>
      </c>
      <c r="F160" s="158" t="str">
        <f>IFERROR(__xludf.DUMMYFUNCTION("""COMPUTED_VALUE"""),"RR2Y900APAE")</f>
        <v>RR2Y900APAE</v>
      </c>
      <c r="G160" s="158" t="str">
        <f>IFERROR(__xludf.DUMMYFUNCTION("""COMPUTED_VALUE"""),"SM-X730NZAEXID")</f>
        <v>SM-X730NZAEXID</v>
      </c>
      <c r="H160" s="160" t="str">
        <f>IFERROR(__xludf.DUMMYFUNCTION("""COMPUTED_VALUE"""),"G-TAB-S11 WIFI, GRAY (2025)")</f>
        <v>G-TAB-S11 WIFI, GRAY (2025)</v>
      </c>
      <c r="I160" s="208">
        <f>IFERROR(__xludf.DUMMYFUNCTION("""COMPUTED_VALUE"""),46203.0)</f>
        <v>46203</v>
      </c>
      <c r="J160" s="158">
        <f>IFERROR(__xludf.DUMMYFUNCTION("""COMPUTED_VALUE"""),-122.0)</f>
        <v>-122</v>
      </c>
      <c r="K160" s="160"/>
      <c r="L160" s="158" t="str">
        <f>IFERROR(__xludf.DUMMYFUNCTION("""COMPUTED_VALUE"""),"Not Overdue")</f>
        <v>Not Overdue</v>
      </c>
      <c r="M160" s="158"/>
      <c r="N160" s="158"/>
      <c r="O160" s="158"/>
      <c r="P160" s="158" t="str">
        <f>IFERROR(IF(ISNUMBER(MATCH(F160,'Step 1 Data Bank'!E:E, 0)), "On Data Bank", "Not In Data Bank"),"")</f>
        <v>On Data Bank</v>
      </c>
      <c r="Q160" s="158" t="str">
        <f t="array" ref="Q160">XLOOKUP(F160,'Step 1 Data Bank'!E:E,'Step 1 Data Bank'!M:M,"",0)</f>
        <v>AVAILABLE</v>
      </c>
      <c r="R160" s="160" t="str">
        <f t="array" ref="R160">XLOOKUP(F160,'Step 1 Data Bank'!E:E,'Step 1 Data Bank'!N:N,"",0)</f>
        <v>-</v>
      </c>
      <c r="S160" s="158" t="str">
        <f>IFERROR(IF(ISNUMBER(MATCH(F160,'OLD DATA'!H:H, 0)), "On OLD Data", "Not In Old Data"),"")</f>
        <v>Not In Old Data</v>
      </c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</row>
    <row r="161">
      <c r="A161" s="207">
        <f>IFERROR(__xludf.DUMMYFUNCTION("""COMPUTED_VALUE"""),46174.0)</f>
        <v>46174</v>
      </c>
      <c r="B161" s="158" t="str">
        <f>IFERROR(__xludf.DUMMYFUNCTION("""COMPUTED_VALUE"""),"GOAT")</f>
        <v>GOAT</v>
      </c>
      <c r="C161" s="158" t="str">
        <f>IFERROR(__xludf.DUMMYFUNCTION("""COMPUTED_VALUE"""),"Made Intan Deyana Wirata")</f>
        <v>Made Intan Deyana Wirata</v>
      </c>
      <c r="D161" s="158" t="str">
        <f>IFERROR(__xludf.DUMMYFUNCTION("""COMPUTED_VALUE"""),"Yaya")</f>
        <v>Yaya</v>
      </c>
      <c r="E161" s="160" t="str">
        <f>IFERROR(__xludf.DUMMYFUNCTION("""COMPUTED_VALUE"""),"ASTERIXA ABIGAIL +62 821-1397-6882")</f>
        <v>ASTERIXA ABIGAIL +62 821-1397-6882</v>
      </c>
      <c r="F161" s="158" t="str">
        <f>IFERROR(__xludf.DUMMYFUNCTION("""COMPUTED_VALUE"""),"RF7L102TC3FL")</f>
        <v>RF7L102TC3FL</v>
      </c>
      <c r="G161" s="158" t="str">
        <f>IFERROR(__xludf.DUMMYFUNCTION("""COMPUTED_VALUE"""),"S-SM-R640NZKAXAR")</f>
        <v>S-SM-R640NZKAXAR</v>
      </c>
      <c r="H161" s="160" t="str">
        <f>IFERROR(__xludf.DUMMYFUNCTION("""COMPUTED_VALUE"""),"G-BUDS4-PRO, BLACK (2026)")</f>
        <v>G-BUDS4-PRO, BLACK (2026)</v>
      </c>
      <c r="I161" s="208">
        <f>IFERROR(__xludf.DUMMYFUNCTION("""COMPUTED_VALUE"""),46203.0)</f>
        <v>46203</v>
      </c>
      <c r="J161" s="158">
        <f>IFERROR(__xludf.DUMMYFUNCTION("""COMPUTED_VALUE"""),-122.0)</f>
        <v>-122</v>
      </c>
      <c r="K161" s="160"/>
      <c r="L161" s="158" t="str">
        <f>IFERROR(__xludf.DUMMYFUNCTION("""COMPUTED_VALUE"""),"Not Overdue")</f>
        <v>Not Overdue</v>
      </c>
      <c r="M161" s="158"/>
      <c r="N161" s="158"/>
      <c r="O161" s="158"/>
      <c r="P161" s="158" t="str">
        <f>IFERROR(IF(ISNUMBER(MATCH(F161,'Step 1 Data Bank'!E:E, 0)), "On Data Bank", "Not In Data Bank"),"")</f>
        <v>Not In Data Bank</v>
      </c>
      <c r="Q161" s="158" t="str">
        <f t="array" ref="Q161">XLOOKUP(F161,'Step 1 Data Bank'!E:E,'Step 1 Data Bank'!M:M,"",0)</f>
        <v/>
      </c>
      <c r="R161" s="160" t="str">
        <f t="array" ref="R161">XLOOKUP(F161,'Step 1 Data Bank'!E:E,'Step 1 Data Bank'!N:N,"",0)</f>
        <v/>
      </c>
      <c r="S161" s="158" t="str">
        <f>IFERROR(IF(ISNUMBER(MATCH(F161,'OLD DATA'!H:H, 0)), "On OLD Data", "Not In Old Data"),"")</f>
        <v>Not In Old Data</v>
      </c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</row>
    <row r="162">
      <c r="A162" s="207">
        <f>IFERROR(__xludf.DUMMYFUNCTION("""COMPUTED_VALUE"""),46174.0)</f>
        <v>46174</v>
      </c>
      <c r="B162" s="158" t="str">
        <f>IFERROR(__xludf.DUMMYFUNCTION("""COMPUTED_VALUE"""),"GOAT")</f>
        <v>GOAT</v>
      </c>
      <c r="C162" s="158" t="str">
        <f>IFERROR(__xludf.DUMMYFUNCTION("""COMPUTED_VALUE"""),"Made Intan Deyana Wirata")</f>
        <v>Made Intan Deyana Wirata</v>
      </c>
      <c r="D162" s="158" t="str">
        <f>IFERROR(__xludf.DUMMYFUNCTION("""COMPUTED_VALUE"""),"Yaya")</f>
        <v>Yaya</v>
      </c>
      <c r="E162" s="160" t="str">
        <f>IFERROR(__xludf.DUMMYFUNCTION("""COMPUTED_VALUE"""),"ASTERIXA ABIGAIL +62 821-1397-6882")</f>
        <v>ASTERIXA ABIGAIL +62 821-1397-6882</v>
      </c>
      <c r="F162" s="158" t="str">
        <f>IFERROR(__xludf.DUMMYFUNCTION("""COMPUTED_VALUE"""),"RF7L102TC3FR")</f>
        <v>RF7L102TC3FR</v>
      </c>
      <c r="G162" s="158" t="str">
        <f>IFERROR(__xludf.DUMMYFUNCTION("""COMPUTED_VALUE"""),"S-SM-R640NZKAXAR")</f>
        <v>S-SM-R640NZKAXAR</v>
      </c>
      <c r="H162" s="160" t="str">
        <f>IFERROR(__xludf.DUMMYFUNCTION("""COMPUTED_VALUE"""),"G-BUDS4-PRO, BLACK (2026)")</f>
        <v>G-BUDS4-PRO, BLACK (2026)</v>
      </c>
      <c r="I162" s="208">
        <f>IFERROR(__xludf.DUMMYFUNCTION("""COMPUTED_VALUE"""),46203.0)</f>
        <v>46203</v>
      </c>
      <c r="J162" s="158">
        <f>IFERROR(__xludf.DUMMYFUNCTION("""COMPUTED_VALUE"""),-122.0)</f>
        <v>-122</v>
      </c>
      <c r="K162" s="160"/>
      <c r="L162" s="158" t="str">
        <f>IFERROR(__xludf.DUMMYFUNCTION("""COMPUTED_VALUE"""),"Not Overdue")</f>
        <v>Not Overdue</v>
      </c>
      <c r="M162" s="158"/>
      <c r="N162" s="158"/>
      <c r="O162" s="158"/>
      <c r="P162" s="158" t="str">
        <f>IFERROR(IF(ISNUMBER(MATCH(F162,'Step 1 Data Bank'!E:E, 0)), "On Data Bank", "Not In Data Bank"),"")</f>
        <v>Not In Data Bank</v>
      </c>
      <c r="Q162" s="158" t="str">
        <f t="array" ref="Q162">XLOOKUP(F162,'Step 1 Data Bank'!E:E,'Step 1 Data Bank'!M:M,"",0)</f>
        <v/>
      </c>
      <c r="R162" s="160" t="str">
        <f t="array" ref="R162">XLOOKUP(F162,'Step 1 Data Bank'!E:E,'Step 1 Data Bank'!N:N,"",0)</f>
        <v/>
      </c>
      <c r="S162" s="158" t="str">
        <f>IFERROR(IF(ISNUMBER(MATCH(F162,'OLD DATA'!H:H, 0)), "On OLD Data", "Not In Old Data"),"")</f>
        <v>Not In Old Data</v>
      </c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</row>
    <row r="163">
      <c r="A163" s="207">
        <f>IFERROR(__xludf.DUMMYFUNCTION("""COMPUTED_VALUE"""),46174.0)</f>
        <v>46174</v>
      </c>
      <c r="B163" s="158" t="str">
        <f>IFERROR(__xludf.DUMMYFUNCTION("""COMPUTED_VALUE"""),"GOAT")</f>
        <v>GOAT</v>
      </c>
      <c r="C163" s="158" t="str">
        <f>IFERROR(__xludf.DUMMYFUNCTION("""COMPUTED_VALUE"""),"Made Intan Deyana Wirata")</f>
        <v>Made Intan Deyana Wirata</v>
      </c>
      <c r="D163" s="158" t="str">
        <f>IFERROR(__xludf.DUMMYFUNCTION("""COMPUTED_VALUE"""),"Yaya")</f>
        <v>Yaya</v>
      </c>
      <c r="E163" s="160" t="str">
        <f>IFERROR(__xludf.DUMMYFUNCTION("""COMPUTED_VALUE"""),"ASTERIXA ABIGAIL +62 821-1397-6882")</f>
        <v>ASTERIXA ABIGAIL +62 821-1397-6882</v>
      </c>
      <c r="F163" s="158" t="str">
        <f>IFERROR(__xludf.DUMMYFUNCTION("""COMPUTED_VALUE"""),"RF7L105K1EYL")</f>
        <v>RF7L105K1EYL</v>
      </c>
      <c r="G163" s="158" t="str">
        <f>IFERROR(__xludf.DUMMYFUNCTION("""COMPUTED_VALUE"""),"S-SM-R640NZKAXAR")</f>
        <v>S-SM-R640NZKAXAR</v>
      </c>
      <c r="H163" s="160" t="str">
        <f>IFERROR(__xludf.DUMMYFUNCTION("""COMPUTED_VALUE"""),"G-BUDS4-PRO, BLACK (2026)")</f>
        <v>G-BUDS4-PRO, BLACK (2026)</v>
      </c>
      <c r="I163" s="208">
        <f>IFERROR(__xludf.DUMMYFUNCTION("""COMPUTED_VALUE"""),46203.0)</f>
        <v>46203</v>
      </c>
      <c r="J163" s="158">
        <f>IFERROR(__xludf.DUMMYFUNCTION("""COMPUTED_VALUE"""),-122.0)</f>
        <v>-122</v>
      </c>
      <c r="K163" s="160"/>
      <c r="L163" s="158" t="str">
        <f>IFERROR(__xludf.DUMMYFUNCTION("""COMPUTED_VALUE"""),"Not Overdue")</f>
        <v>Not Overdue</v>
      </c>
      <c r="M163" s="158"/>
      <c r="N163" s="158"/>
      <c r="O163" s="158"/>
      <c r="P163" s="158" t="str">
        <f>IFERROR(IF(ISNUMBER(MATCH(F163,'Step 1 Data Bank'!E:E, 0)), "On Data Bank", "Not In Data Bank"),"")</f>
        <v>Not In Data Bank</v>
      </c>
      <c r="Q163" s="158" t="str">
        <f t="array" ref="Q163">XLOOKUP(F163,'Step 1 Data Bank'!E:E,'Step 1 Data Bank'!M:M,"",0)</f>
        <v/>
      </c>
      <c r="R163" s="160" t="str">
        <f t="array" ref="R163">XLOOKUP(F163,'Step 1 Data Bank'!E:E,'Step 1 Data Bank'!N:N,"",0)</f>
        <v/>
      </c>
      <c r="S163" s="158" t="str">
        <f>IFERROR(IF(ISNUMBER(MATCH(F163,'OLD DATA'!H:H, 0)), "On OLD Data", "Not In Old Data"),"")</f>
        <v>Not In Old Data</v>
      </c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</row>
    <row r="164">
      <c r="A164" s="207">
        <f>IFERROR(__xludf.DUMMYFUNCTION("""COMPUTED_VALUE"""),46174.0)</f>
        <v>46174</v>
      </c>
      <c r="B164" s="158" t="str">
        <f>IFERROR(__xludf.DUMMYFUNCTION("""COMPUTED_VALUE"""),"GOAT")</f>
        <v>GOAT</v>
      </c>
      <c r="C164" s="158" t="str">
        <f>IFERROR(__xludf.DUMMYFUNCTION("""COMPUTED_VALUE"""),"Made Intan Deyana Wirata")</f>
        <v>Made Intan Deyana Wirata</v>
      </c>
      <c r="D164" s="158" t="str">
        <f>IFERROR(__xludf.DUMMYFUNCTION("""COMPUTED_VALUE"""),"Yaya")</f>
        <v>Yaya</v>
      </c>
      <c r="E164" s="160" t="str">
        <f>IFERROR(__xludf.DUMMYFUNCTION("""COMPUTED_VALUE"""),"ASTERIXA ABIGAIL +62 821-1397-6882")</f>
        <v>ASTERIXA ABIGAIL +62 821-1397-6882</v>
      </c>
      <c r="F164" s="158" t="str">
        <f>IFERROR(__xludf.DUMMYFUNCTION("""COMPUTED_VALUE"""),"RF7L105K1EYR")</f>
        <v>RF7L105K1EYR</v>
      </c>
      <c r="G164" s="158" t="str">
        <f>IFERROR(__xludf.DUMMYFUNCTION("""COMPUTED_VALUE"""),"S-SM-R640NZKAXAR")</f>
        <v>S-SM-R640NZKAXAR</v>
      </c>
      <c r="H164" s="160" t="str">
        <f>IFERROR(__xludf.DUMMYFUNCTION("""COMPUTED_VALUE"""),"G-BUDS4-PRO, BLACK (2026)")</f>
        <v>G-BUDS4-PRO, BLACK (2026)</v>
      </c>
      <c r="I164" s="208">
        <f>IFERROR(__xludf.DUMMYFUNCTION("""COMPUTED_VALUE"""),46203.0)</f>
        <v>46203</v>
      </c>
      <c r="J164" s="158">
        <f>IFERROR(__xludf.DUMMYFUNCTION("""COMPUTED_VALUE"""),-122.0)</f>
        <v>-122</v>
      </c>
      <c r="K164" s="160"/>
      <c r="L164" s="158" t="str">
        <f>IFERROR(__xludf.DUMMYFUNCTION("""COMPUTED_VALUE"""),"Not Overdue")</f>
        <v>Not Overdue</v>
      </c>
      <c r="M164" s="158"/>
      <c r="N164" s="158"/>
      <c r="O164" s="158"/>
      <c r="P164" s="158" t="str">
        <f>IFERROR(IF(ISNUMBER(MATCH(F164,'Step 1 Data Bank'!E:E, 0)), "On Data Bank", "Not In Data Bank"),"")</f>
        <v>Not In Data Bank</v>
      </c>
      <c r="Q164" s="158" t="str">
        <f t="array" ref="Q164">XLOOKUP(F164,'Step 1 Data Bank'!E:E,'Step 1 Data Bank'!M:M,"",0)</f>
        <v/>
      </c>
      <c r="R164" s="160" t="str">
        <f t="array" ref="R164">XLOOKUP(F164,'Step 1 Data Bank'!E:E,'Step 1 Data Bank'!N:N,"",0)</f>
        <v/>
      </c>
      <c r="S164" s="158" t="str">
        <f>IFERROR(IF(ISNUMBER(MATCH(F164,'OLD DATA'!H:H, 0)), "On OLD Data", "Not In Old Data"),"")</f>
        <v>Not In Old Data</v>
      </c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</row>
    <row r="165">
      <c r="A165" s="207">
        <f>IFERROR(__xludf.DUMMYFUNCTION("""COMPUTED_VALUE"""),46174.0)</f>
        <v>46174</v>
      </c>
      <c r="B165" s="158" t="str">
        <f>IFERROR(__xludf.DUMMYFUNCTION("""COMPUTED_VALUE"""),"GOAT")</f>
        <v>GOAT</v>
      </c>
      <c r="C165" s="158" t="str">
        <f>IFERROR(__xludf.DUMMYFUNCTION("""COMPUTED_VALUE"""),"Made Intan Deyana Wirata")</f>
        <v>Made Intan Deyana Wirata</v>
      </c>
      <c r="D165" s="158" t="str">
        <f>IFERROR(__xludf.DUMMYFUNCTION("""COMPUTED_VALUE"""),"Yaya")</f>
        <v>Yaya</v>
      </c>
      <c r="E165" s="160" t="str">
        <f>IFERROR(__xludf.DUMMYFUNCTION("""COMPUTED_VALUE"""),"ASTERIXA ABIGAIL +62 821-1397-6882")</f>
        <v>ASTERIXA ABIGAIL +62 821-1397-6882</v>
      </c>
      <c r="F165" s="158" t="str">
        <f>IFERROR(__xludf.DUMMYFUNCTION("""COMPUTED_VALUE"""),"RF7L105KLKML")</f>
        <v>RF7L105KLKML</v>
      </c>
      <c r="G165" s="158" t="str">
        <f>IFERROR(__xludf.DUMMYFUNCTION("""COMPUTED_VALUE"""),"S-SM-R640NZKAXAR")</f>
        <v>S-SM-R640NZKAXAR</v>
      </c>
      <c r="H165" s="160" t="str">
        <f>IFERROR(__xludf.DUMMYFUNCTION("""COMPUTED_VALUE"""),"G-BUDS4-PRO, BLACK (2026)")</f>
        <v>G-BUDS4-PRO, BLACK (2026)</v>
      </c>
      <c r="I165" s="208">
        <f>IFERROR(__xludf.DUMMYFUNCTION("""COMPUTED_VALUE"""),46203.0)</f>
        <v>46203</v>
      </c>
      <c r="J165" s="158">
        <f>IFERROR(__xludf.DUMMYFUNCTION("""COMPUTED_VALUE"""),-122.0)</f>
        <v>-122</v>
      </c>
      <c r="K165" s="160"/>
      <c r="L165" s="158" t="str">
        <f>IFERROR(__xludf.DUMMYFUNCTION("""COMPUTED_VALUE"""),"Not Overdue")</f>
        <v>Not Overdue</v>
      </c>
      <c r="M165" s="158"/>
      <c r="N165" s="158"/>
      <c r="O165" s="158"/>
      <c r="P165" s="158" t="str">
        <f>IFERROR(IF(ISNUMBER(MATCH(F165,'Step 1 Data Bank'!E:E, 0)), "On Data Bank", "Not In Data Bank"),"")</f>
        <v>Not In Data Bank</v>
      </c>
      <c r="Q165" s="158" t="str">
        <f t="array" ref="Q165">XLOOKUP(F165,'Step 1 Data Bank'!E:E,'Step 1 Data Bank'!M:M,"",0)</f>
        <v/>
      </c>
      <c r="R165" s="160" t="str">
        <f t="array" ref="R165">XLOOKUP(F165,'Step 1 Data Bank'!E:E,'Step 1 Data Bank'!N:N,"",0)</f>
        <v/>
      </c>
      <c r="S165" s="158" t="str">
        <f>IFERROR(IF(ISNUMBER(MATCH(F165,'OLD DATA'!H:H, 0)), "On OLD Data", "Not In Old Data"),"")</f>
        <v>Not In Old Data</v>
      </c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</row>
    <row r="166">
      <c r="A166" s="207">
        <f>IFERROR(__xludf.DUMMYFUNCTION("""COMPUTED_VALUE"""),46174.0)</f>
        <v>46174</v>
      </c>
      <c r="B166" s="158" t="str">
        <f>IFERROR(__xludf.DUMMYFUNCTION("""COMPUTED_VALUE"""),"GOAT")</f>
        <v>GOAT</v>
      </c>
      <c r="C166" s="158" t="str">
        <f>IFERROR(__xludf.DUMMYFUNCTION("""COMPUTED_VALUE"""),"Made Intan Deyana Wirata")</f>
        <v>Made Intan Deyana Wirata</v>
      </c>
      <c r="D166" s="158" t="str">
        <f>IFERROR(__xludf.DUMMYFUNCTION("""COMPUTED_VALUE"""),"Yaya")</f>
        <v>Yaya</v>
      </c>
      <c r="E166" s="160" t="str">
        <f>IFERROR(__xludf.DUMMYFUNCTION("""COMPUTED_VALUE"""),"ASTERIXA ABIGAIL +62 821-1397-6882")</f>
        <v>ASTERIXA ABIGAIL +62 821-1397-6882</v>
      </c>
      <c r="F166" s="158" t="str">
        <f>IFERROR(__xludf.DUMMYFUNCTION("""COMPUTED_VALUE"""),"RF7L105KLKMR")</f>
        <v>RF7L105KLKMR</v>
      </c>
      <c r="G166" s="158" t="str">
        <f>IFERROR(__xludf.DUMMYFUNCTION("""COMPUTED_VALUE"""),"S-SM-R640NZKAXAR")</f>
        <v>S-SM-R640NZKAXAR</v>
      </c>
      <c r="H166" s="160" t="str">
        <f>IFERROR(__xludf.DUMMYFUNCTION("""COMPUTED_VALUE"""),"G-BUDS4-PRO, BLACK (2026)")</f>
        <v>G-BUDS4-PRO, BLACK (2026)</v>
      </c>
      <c r="I166" s="208">
        <f>IFERROR(__xludf.DUMMYFUNCTION("""COMPUTED_VALUE"""),46203.0)</f>
        <v>46203</v>
      </c>
      <c r="J166" s="158">
        <f>IFERROR(__xludf.DUMMYFUNCTION("""COMPUTED_VALUE"""),-122.0)</f>
        <v>-122</v>
      </c>
      <c r="K166" s="160"/>
      <c r="L166" s="158" t="str">
        <f>IFERROR(__xludf.DUMMYFUNCTION("""COMPUTED_VALUE"""),"Not Overdue")</f>
        <v>Not Overdue</v>
      </c>
      <c r="M166" s="158"/>
      <c r="N166" s="158"/>
      <c r="O166" s="158"/>
      <c r="P166" s="158" t="str">
        <f>IFERROR(IF(ISNUMBER(MATCH(F166,'Step 1 Data Bank'!E:E, 0)), "On Data Bank", "Not In Data Bank"),"")</f>
        <v>Not In Data Bank</v>
      </c>
      <c r="Q166" s="158" t="str">
        <f t="array" ref="Q166">XLOOKUP(F166,'Step 1 Data Bank'!E:E,'Step 1 Data Bank'!M:M,"",0)</f>
        <v/>
      </c>
      <c r="R166" s="160" t="str">
        <f t="array" ref="R166">XLOOKUP(F166,'Step 1 Data Bank'!E:E,'Step 1 Data Bank'!N:N,"",0)</f>
        <v/>
      </c>
      <c r="S166" s="158" t="str">
        <f>IFERROR(IF(ISNUMBER(MATCH(F166,'OLD DATA'!H:H, 0)), "On OLD Data", "Not In Old Data"),"")</f>
        <v>Not In Old Data</v>
      </c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</row>
    <row r="167">
      <c r="A167" s="207">
        <f>IFERROR(__xludf.DUMMYFUNCTION("""COMPUTED_VALUE"""),46174.0)</f>
        <v>46174</v>
      </c>
      <c r="B167" s="158" t="str">
        <f>IFERROR(__xludf.DUMMYFUNCTION("""COMPUTED_VALUE"""),"GOAT")</f>
        <v>GOAT</v>
      </c>
      <c r="C167" s="158" t="str">
        <f>IFERROR(__xludf.DUMMYFUNCTION("""COMPUTED_VALUE"""),"Made Intan Deyana Wirata")</f>
        <v>Made Intan Deyana Wirata</v>
      </c>
      <c r="D167" s="158" t="str">
        <f>IFERROR(__xludf.DUMMYFUNCTION("""COMPUTED_VALUE"""),"Yaya")</f>
        <v>Yaya</v>
      </c>
      <c r="E167" s="160" t="str">
        <f>IFERROR(__xludf.DUMMYFUNCTION("""COMPUTED_VALUE"""),"ASTERIXA ABIGAIL +62 821-1397-6882")</f>
        <v>ASTERIXA ABIGAIL +62 821-1397-6882</v>
      </c>
      <c r="F167" s="158" t="str">
        <f>IFERROR(__xludf.DUMMYFUNCTION("""COMPUTED_VALUE"""),"RF7L105JYQVL")</f>
        <v>RF7L105JYQVL</v>
      </c>
      <c r="G167" s="158" t="str">
        <f>IFERROR(__xludf.DUMMYFUNCTION("""COMPUTED_VALUE"""),"S-SM-R640NZKAXAR")</f>
        <v>S-SM-R640NZKAXAR</v>
      </c>
      <c r="H167" s="160" t="str">
        <f>IFERROR(__xludf.DUMMYFUNCTION("""COMPUTED_VALUE"""),"G-BUDS4-PRO, BLACK (2026)")</f>
        <v>G-BUDS4-PRO, BLACK (2026)</v>
      </c>
      <c r="I167" s="208">
        <f>IFERROR(__xludf.DUMMYFUNCTION("""COMPUTED_VALUE"""),46203.0)</f>
        <v>46203</v>
      </c>
      <c r="J167" s="158">
        <f>IFERROR(__xludf.DUMMYFUNCTION("""COMPUTED_VALUE"""),-122.0)</f>
        <v>-122</v>
      </c>
      <c r="K167" s="160"/>
      <c r="L167" s="158" t="str">
        <f>IFERROR(__xludf.DUMMYFUNCTION("""COMPUTED_VALUE"""),"Not Overdue")</f>
        <v>Not Overdue</v>
      </c>
      <c r="M167" s="158"/>
      <c r="N167" s="158"/>
      <c r="O167" s="158"/>
      <c r="P167" s="158" t="str">
        <f>IFERROR(IF(ISNUMBER(MATCH(F167,'Step 1 Data Bank'!E:E, 0)), "On Data Bank", "Not In Data Bank"),"")</f>
        <v>Not In Data Bank</v>
      </c>
      <c r="Q167" s="158" t="str">
        <f t="array" ref="Q167">XLOOKUP(F167,'Step 1 Data Bank'!E:E,'Step 1 Data Bank'!M:M,"",0)</f>
        <v/>
      </c>
      <c r="R167" s="160" t="str">
        <f t="array" ref="R167">XLOOKUP(F167,'Step 1 Data Bank'!E:E,'Step 1 Data Bank'!N:N,"",0)</f>
        <v/>
      </c>
      <c r="S167" s="158" t="str">
        <f>IFERROR(IF(ISNUMBER(MATCH(F167,'OLD DATA'!H:H, 0)), "On OLD Data", "Not In Old Data"),"")</f>
        <v>Not In Old Data</v>
      </c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</row>
    <row r="168">
      <c r="A168" s="207">
        <f>IFERROR(__xludf.DUMMYFUNCTION("""COMPUTED_VALUE"""),46174.0)</f>
        <v>46174</v>
      </c>
      <c r="B168" s="158" t="str">
        <f>IFERROR(__xludf.DUMMYFUNCTION("""COMPUTED_VALUE"""),"GOAT")</f>
        <v>GOAT</v>
      </c>
      <c r="C168" s="158" t="str">
        <f>IFERROR(__xludf.DUMMYFUNCTION("""COMPUTED_VALUE"""),"Made Intan Deyana Wirata")</f>
        <v>Made Intan Deyana Wirata</v>
      </c>
      <c r="D168" s="158" t="str">
        <f>IFERROR(__xludf.DUMMYFUNCTION("""COMPUTED_VALUE"""),"Yaya")</f>
        <v>Yaya</v>
      </c>
      <c r="E168" s="160" t="str">
        <f>IFERROR(__xludf.DUMMYFUNCTION("""COMPUTED_VALUE"""),"ASTERIXA ABIGAIL +62 821-1397-6882")</f>
        <v>ASTERIXA ABIGAIL +62 821-1397-6882</v>
      </c>
      <c r="F168" s="158" t="str">
        <f>IFERROR(__xludf.DUMMYFUNCTION("""COMPUTED_VALUE"""),"RF7L105JYQVR")</f>
        <v>RF7L105JYQVR</v>
      </c>
      <c r="G168" s="158" t="str">
        <f>IFERROR(__xludf.DUMMYFUNCTION("""COMPUTED_VALUE"""),"S-SM-R640NZKAXAR")</f>
        <v>S-SM-R640NZKAXAR</v>
      </c>
      <c r="H168" s="160" t="str">
        <f>IFERROR(__xludf.DUMMYFUNCTION("""COMPUTED_VALUE"""),"G-BUDS4-PRO, BLACK (2026)")</f>
        <v>G-BUDS4-PRO, BLACK (2026)</v>
      </c>
      <c r="I168" s="208">
        <f>IFERROR(__xludf.DUMMYFUNCTION("""COMPUTED_VALUE"""),46203.0)</f>
        <v>46203</v>
      </c>
      <c r="J168" s="158">
        <f>IFERROR(__xludf.DUMMYFUNCTION("""COMPUTED_VALUE"""),-122.0)</f>
        <v>-122</v>
      </c>
      <c r="K168" s="160"/>
      <c r="L168" s="158" t="str">
        <f>IFERROR(__xludf.DUMMYFUNCTION("""COMPUTED_VALUE"""),"Not Overdue")</f>
        <v>Not Overdue</v>
      </c>
      <c r="M168" s="158"/>
      <c r="N168" s="158"/>
      <c r="O168" s="158"/>
      <c r="P168" s="158" t="str">
        <f>IFERROR(IF(ISNUMBER(MATCH(F168,'Step 1 Data Bank'!E:E, 0)), "On Data Bank", "Not In Data Bank"),"")</f>
        <v>Not In Data Bank</v>
      </c>
      <c r="Q168" s="158" t="str">
        <f t="array" ref="Q168">XLOOKUP(F168,'Step 1 Data Bank'!E:E,'Step 1 Data Bank'!M:M,"",0)</f>
        <v/>
      </c>
      <c r="R168" s="160" t="str">
        <f t="array" ref="R168">XLOOKUP(F168,'Step 1 Data Bank'!E:E,'Step 1 Data Bank'!N:N,"",0)</f>
        <v/>
      </c>
      <c r="S168" s="158" t="str">
        <f>IFERROR(IF(ISNUMBER(MATCH(F168,'OLD DATA'!H:H, 0)), "On OLD Data", "Not In Old Data"),"")</f>
        <v>Not In Old Data</v>
      </c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</row>
    <row r="169">
      <c r="A169" s="207">
        <f>IFERROR(__xludf.DUMMYFUNCTION("""COMPUTED_VALUE"""),46174.0)</f>
        <v>46174</v>
      </c>
      <c r="B169" s="158" t="str">
        <f>IFERROR(__xludf.DUMMYFUNCTION("""COMPUTED_VALUE"""),"GOAT")</f>
        <v>GOAT</v>
      </c>
      <c r="C169" s="158" t="str">
        <f>IFERROR(__xludf.DUMMYFUNCTION("""COMPUTED_VALUE"""),"Made Intan Deyana Wirata")</f>
        <v>Made Intan Deyana Wirata</v>
      </c>
      <c r="D169" s="158" t="str">
        <f>IFERROR(__xludf.DUMMYFUNCTION("""COMPUTED_VALUE"""),"Yaya")</f>
        <v>Yaya</v>
      </c>
      <c r="E169" s="160" t="str">
        <f>IFERROR(__xludf.DUMMYFUNCTION("""COMPUTED_VALUE"""),"ASTERIXA ABIGAIL +62 821-1397-6882")</f>
        <v>ASTERIXA ABIGAIL +62 821-1397-6882</v>
      </c>
      <c r="F169" s="158" t="str">
        <f>IFERROR(__xludf.DUMMYFUNCTION("""COMPUTED_VALUE"""),"RF7L10EXRZYL")</f>
        <v>RF7L10EXRZYL</v>
      </c>
      <c r="G169" s="158" t="str">
        <f>IFERROR(__xludf.DUMMYFUNCTION("""COMPUTED_VALUE"""),"S-SM-R540NZKAXAR")</f>
        <v>S-SM-R540NZKAXAR</v>
      </c>
      <c r="H169" s="160" t="str">
        <f>IFERROR(__xludf.DUMMYFUNCTION("""COMPUTED_VALUE"""),"G-BUDS4, BLACK (2026)")</f>
        <v>G-BUDS4, BLACK (2026)</v>
      </c>
      <c r="I169" s="208">
        <f>IFERROR(__xludf.DUMMYFUNCTION("""COMPUTED_VALUE"""),46203.0)</f>
        <v>46203</v>
      </c>
      <c r="J169" s="158">
        <f>IFERROR(__xludf.DUMMYFUNCTION("""COMPUTED_VALUE"""),-122.0)</f>
        <v>-122</v>
      </c>
      <c r="K169" s="160"/>
      <c r="L169" s="158" t="str">
        <f>IFERROR(__xludf.DUMMYFUNCTION("""COMPUTED_VALUE"""),"Not Overdue")</f>
        <v>Not Overdue</v>
      </c>
      <c r="M169" s="158"/>
      <c r="N169" s="158"/>
      <c r="O169" s="158"/>
      <c r="P169" s="158" t="str">
        <f>IFERROR(IF(ISNUMBER(MATCH(F169,'Step 1 Data Bank'!E:E, 0)), "On Data Bank", "Not In Data Bank"),"")</f>
        <v>Not In Data Bank</v>
      </c>
      <c r="Q169" s="158" t="str">
        <f t="array" ref="Q169">XLOOKUP(F169,'Step 1 Data Bank'!E:E,'Step 1 Data Bank'!M:M,"",0)</f>
        <v/>
      </c>
      <c r="R169" s="160" t="str">
        <f t="array" ref="R169">XLOOKUP(F169,'Step 1 Data Bank'!E:E,'Step 1 Data Bank'!N:N,"",0)</f>
        <v/>
      </c>
      <c r="S169" s="158" t="str">
        <f>IFERROR(IF(ISNUMBER(MATCH(F169,'OLD DATA'!H:H, 0)), "On OLD Data", "Not In Old Data"),"")</f>
        <v>Not In Old Data</v>
      </c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</row>
    <row r="170">
      <c r="A170" s="207">
        <f>IFERROR(__xludf.DUMMYFUNCTION("""COMPUTED_VALUE"""),46174.0)</f>
        <v>46174</v>
      </c>
      <c r="B170" s="158" t="str">
        <f>IFERROR(__xludf.DUMMYFUNCTION("""COMPUTED_VALUE"""),"GOAT")</f>
        <v>GOAT</v>
      </c>
      <c r="C170" s="158" t="str">
        <f>IFERROR(__xludf.DUMMYFUNCTION("""COMPUTED_VALUE"""),"Made Intan Deyana Wirata")</f>
        <v>Made Intan Deyana Wirata</v>
      </c>
      <c r="D170" s="158" t="str">
        <f>IFERROR(__xludf.DUMMYFUNCTION("""COMPUTED_VALUE"""),"Yaya")</f>
        <v>Yaya</v>
      </c>
      <c r="E170" s="160" t="str">
        <f>IFERROR(__xludf.DUMMYFUNCTION("""COMPUTED_VALUE"""),"ASTERIXA ABIGAIL +62 821-1397-6882")</f>
        <v>ASTERIXA ABIGAIL +62 821-1397-6882</v>
      </c>
      <c r="F170" s="158" t="str">
        <f>IFERROR(__xludf.DUMMYFUNCTION("""COMPUTED_VALUE"""),"RF7L10EXRZYR")</f>
        <v>RF7L10EXRZYR</v>
      </c>
      <c r="G170" s="158" t="str">
        <f>IFERROR(__xludf.DUMMYFUNCTION("""COMPUTED_VALUE"""),"S-SM-R540NZKAXAR")</f>
        <v>S-SM-R540NZKAXAR</v>
      </c>
      <c r="H170" s="160" t="str">
        <f>IFERROR(__xludf.DUMMYFUNCTION("""COMPUTED_VALUE"""),"G-BUDS4, BLACK (2026)")</f>
        <v>G-BUDS4, BLACK (2026)</v>
      </c>
      <c r="I170" s="208">
        <f>IFERROR(__xludf.DUMMYFUNCTION("""COMPUTED_VALUE"""),46203.0)</f>
        <v>46203</v>
      </c>
      <c r="J170" s="158">
        <f>IFERROR(__xludf.DUMMYFUNCTION("""COMPUTED_VALUE"""),-122.0)</f>
        <v>-122</v>
      </c>
      <c r="K170" s="160"/>
      <c r="L170" s="158" t="str">
        <f>IFERROR(__xludf.DUMMYFUNCTION("""COMPUTED_VALUE"""),"Not Overdue")</f>
        <v>Not Overdue</v>
      </c>
      <c r="M170" s="158"/>
      <c r="N170" s="158"/>
      <c r="O170" s="158"/>
      <c r="P170" s="158" t="str">
        <f>IFERROR(IF(ISNUMBER(MATCH(F170,'Step 1 Data Bank'!E:E, 0)), "On Data Bank", "Not In Data Bank"),"")</f>
        <v>Not In Data Bank</v>
      </c>
      <c r="Q170" s="158" t="str">
        <f t="array" ref="Q170">XLOOKUP(F170,'Step 1 Data Bank'!E:E,'Step 1 Data Bank'!M:M,"",0)</f>
        <v/>
      </c>
      <c r="R170" s="160" t="str">
        <f t="array" ref="R170">XLOOKUP(F170,'Step 1 Data Bank'!E:E,'Step 1 Data Bank'!N:N,"",0)</f>
        <v/>
      </c>
      <c r="S170" s="158" t="str">
        <f>IFERROR(IF(ISNUMBER(MATCH(F170,'OLD DATA'!H:H, 0)), "On OLD Data", "Not In Old Data"),"")</f>
        <v>Not In Old Data</v>
      </c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</row>
    <row r="171">
      <c r="A171" s="207">
        <f>IFERROR(__xludf.DUMMYFUNCTION("""COMPUTED_VALUE"""),46174.0)</f>
        <v>46174</v>
      </c>
      <c r="B171" s="158" t="str">
        <f>IFERROR(__xludf.DUMMYFUNCTION("""COMPUTED_VALUE"""),"GOAT")</f>
        <v>GOAT</v>
      </c>
      <c r="C171" s="158" t="str">
        <f>IFERROR(__xludf.DUMMYFUNCTION("""COMPUTED_VALUE"""),"Made Intan Deyana Wirata")</f>
        <v>Made Intan Deyana Wirata</v>
      </c>
      <c r="D171" s="158" t="str">
        <f>IFERROR(__xludf.DUMMYFUNCTION("""COMPUTED_VALUE"""),"Yaya")</f>
        <v>Yaya</v>
      </c>
      <c r="E171" s="160" t="str">
        <f>IFERROR(__xludf.DUMMYFUNCTION("""COMPUTED_VALUE"""),"ASTERIXA ABIGAIL +62 821-1397-6882")</f>
        <v>ASTERIXA ABIGAIL +62 821-1397-6882</v>
      </c>
      <c r="F171" s="158" t="str">
        <f>IFERROR(__xludf.DUMMYFUNCTION("""COMPUTED_VALUE"""),"RF7L10DDV8WL")</f>
        <v>RF7L10DDV8WL</v>
      </c>
      <c r="G171" s="158" t="str">
        <f>IFERROR(__xludf.DUMMYFUNCTION("""COMPUTED_VALUE"""),"S-SM-R540NZKAXAR")</f>
        <v>S-SM-R540NZKAXAR</v>
      </c>
      <c r="H171" s="160" t="str">
        <f>IFERROR(__xludf.DUMMYFUNCTION("""COMPUTED_VALUE"""),"G-BUDS4, BLACK (2026)")</f>
        <v>G-BUDS4, BLACK (2026)</v>
      </c>
      <c r="I171" s="208">
        <f>IFERROR(__xludf.DUMMYFUNCTION("""COMPUTED_VALUE"""),46203.0)</f>
        <v>46203</v>
      </c>
      <c r="J171" s="158">
        <f>IFERROR(__xludf.DUMMYFUNCTION("""COMPUTED_VALUE"""),-122.0)</f>
        <v>-122</v>
      </c>
      <c r="K171" s="160"/>
      <c r="L171" s="158" t="str">
        <f>IFERROR(__xludf.DUMMYFUNCTION("""COMPUTED_VALUE"""),"Not Overdue")</f>
        <v>Not Overdue</v>
      </c>
      <c r="M171" s="158"/>
      <c r="N171" s="158"/>
      <c r="O171" s="158"/>
      <c r="P171" s="158" t="str">
        <f>IFERROR(IF(ISNUMBER(MATCH(F171,'Step 1 Data Bank'!E:E, 0)), "On Data Bank", "Not In Data Bank"),"")</f>
        <v>Not In Data Bank</v>
      </c>
      <c r="Q171" s="158" t="str">
        <f t="array" ref="Q171">XLOOKUP(F171,'Step 1 Data Bank'!E:E,'Step 1 Data Bank'!M:M,"",0)</f>
        <v/>
      </c>
      <c r="R171" s="160" t="str">
        <f t="array" ref="R171">XLOOKUP(F171,'Step 1 Data Bank'!E:E,'Step 1 Data Bank'!N:N,"",0)</f>
        <v/>
      </c>
      <c r="S171" s="158" t="str">
        <f>IFERROR(IF(ISNUMBER(MATCH(F171,'OLD DATA'!H:H, 0)), "On OLD Data", "Not In Old Data"),"")</f>
        <v>Not In Old Data</v>
      </c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</row>
    <row r="172">
      <c r="A172" s="207">
        <f>IFERROR(__xludf.DUMMYFUNCTION("""COMPUTED_VALUE"""),46174.0)</f>
        <v>46174</v>
      </c>
      <c r="B172" s="158" t="str">
        <f>IFERROR(__xludf.DUMMYFUNCTION("""COMPUTED_VALUE"""),"GOAT")</f>
        <v>GOAT</v>
      </c>
      <c r="C172" s="158" t="str">
        <f>IFERROR(__xludf.DUMMYFUNCTION("""COMPUTED_VALUE"""),"Made Intan Deyana Wirata")</f>
        <v>Made Intan Deyana Wirata</v>
      </c>
      <c r="D172" s="158" t="str">
        <f>IFERROR(__xludf.DUMMYFUNCTION("""COMPUTED_VALUE"""),"Yaya")</f>
        <v>Yaya</v>
      </c>
      <c r="E172" s="160" t="str">
        <f>IFERROR(__xludf.DUMMYFUNCTION("""COMPUTED_VALUE"""),"ASTERIXA ABIGAIL +62 821-1397-6882")</f>
        <v>ASTERIXA ABIGAIL +62 821-1397-6882</v>
      </c>
      <c r="F172" s="158" t="str">
        <f>IFERROR(__xludf.DUMMYFUNCTION("""COMPUTED_VALUE"""),"RF7L10DDV8WR")</f>
        <v>RF7L10DDV8WR</v>
      </c>
      <c r="G172" s="158" t="str">
        <f>IFERROR(__xludf.DUMMYFUNCTION("""COMPUTED_VALUE"""),"S-SM-R540NZKAXAR")</f>
        <v>S-SM-R540NZKAXAR</v>
      </c>
      <c r="H172" s="160" t="str">
        <f>IFERROR(__xludf.DUMMYFUNCTION("""COMPUTED_VALUE"""),"G-BUDS4, BLACK (2026)")</f>
        <v>G-BUDS4, BLACK (2026)</v>
      </c>
      <c r="I172" s="208">
        <f>IFERROR(__xludf.DUMMYFUNCTION("""COMPUTED_VALUE"""),46203.0)</f>
        <v>46203</v>
      </c>
      <c r="J172" s="158">
        <f>IFERROR(__xludf.DUMMYFUNCTION("""COMPUTED_VALUE"""),-122.0)</f>
        <v>-122</v>
      </c>
      <c r="K172" s="160"/>
      <c r="L172" s="158" t="str">
        <f>IFERROR(__xludf.DUMMYFUNCTION("""COMPUTED_VALUE"""),"Not Overdue")</f>
        <v>Not Overdue</v>
      </c>
      <c r="M172" s="158"/>
      <c r="N172" s="158"/>
      <c r="O172" s="158"/>
      <c r="P172" s="158" t="str">
        <f>IFERROR(IF(ISNUMBER(MATCH(F172,'Step 1 Data Bank'!E:E, 0)), "On Data Bank", "Not In Data Bank"),"")</f>
        <v>Not In Data Bank</v>
      </c>
      <c r="Q172" s="158" t="str">
        <f t="array" ref="Q172">XLOOKUP(F172,'Step 1 Data Bank'!E:E,'Step 1 Data Bank'!M:M,"",0)</f>
        <v/>
      </c>
      <c r="R172" s="160" t="str">
        <f t="array" ref="R172">XLOOKUP(F172,'Step 1 Data Bank'!E:E,'Step 1 Data Bank'!N:N,"",0)</f>
        <v/>
      </c>
      <c r="S172" s="158" t="str">
        <f>IFERROR(IF(ISNUMBER(MATCH(F172,'OLD DATA'!H:H, 0)), "On OLD Data", "Not In Old Data"),"")</f>
        <v>Not In Old Data</v>
      </c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</row>
    <row r="173">
      <c r="A173" s="207">
        <f>IFERROR(__xludf.DUMMYFUNCTION("""COMPUTED_VALUE"""),46174.0)</f>
        <v>46174</v>
      </c>
      <c r="B173" s="158" t="str">
        <f>IFERROR(__xludf.DUMMYFUNCTION("""COMPUTED_VALUE"""),"GOAT")</f>
        <v>GOAT</v>
      </c>
      <c r="C173" s="158" t="str">
        <f>IFERROR(__xludf.DUMMYFUNCTION("""COMPUTED_VALUE"""),"Made Intan Deyana Wirata")</f>
        <v>Made Intan Deyana Wirata</v>
      </c>
      <c r="D173" s="158" t="str">
        <f>IFERROR(__xludf.DUMMYFUNCTION("""COMPUTED_VALUE"""),"Yaya")</f>
        <v>Yaya</v>
      </c>
      <c r="E173" s="160" t="str">
        <f>IFERROR(__xludf.DUMMYFUNCTION("""COMPUTED_VALUE"""),"ASTERIXA ABIGAIL +62 821-1397-6882")</f>
        <v>ASTERIXA ABIGAIL +62 821-1397-6882</v>
      </c>
      <c r="F173" s="158" t="str">
        <f>IFERROR(__xludf.DUMMYFUNCTION("""COMPUTED_VALUE"""),"RF7L10KY99XL")</f>
        <v>RF7L10KY99XL</v>
      </c>
      <c r="G173" s="158" t="str">
        <f>IFERROR(__xludf.DUMMYFUNCTION("""COMPUTED_VALUE"""),"S-SM-R540NZWAXAR")</f>
        <v>S-SM-R540NZWAXAR</v>
      </c>
      <c r="H173" s="160" t="str">
        <f>IFERROR(__xludf.DUMMYFUNCTION("""COMPUTED_VALUE"""),"G-BUDS4, WHITE (2026)")</f>
        <v>G-BUDS4, WHITE (2026)</v>
      </c>
      <c r="I173" s="208">
        <f>IFERROR(__xludf.DUMMYFUNCTION("""COMPUTED_VALUE"""),46203.0)</f>
        <v>46203</v>
      </c>
      <c r="J173" s="158">
        <f>IFERROR(__xludf.DUMMYFUNCTION("""COMPUTED_VALUE"""),-122.0)</f>
        <v>-122</v>
      </c>
      <c r="K173" s="160"/>
      <c r="L173" s="158" t="str">
        <f>IFERROR(__xludf.DUMMYFUNCTION("""COMPUTED_VALUE"""),"Not Overdue")</f>
        <v>Not Overdue</v>
      </c>
      <c r="M173" s="158"/>
      <c r="N173" s="158"/>
      <c r="O173" s="158"/>
      <c r="P173" s="158" t="str">
        <f>IFERROR(IF(ISNUMBER(MATCH(F173,'Step 1 Data Bank'!E:E, 0)), "On Data Bank", "Not In Data Bank"),"")</f>
        <v>Not In Data Bank</v>
      </c>
      <c r="Q173" s="158" t="str">
        <f t="array" ref="Q173">XLOOKUP(F173,'Step 1 Data Bank'!E:E,'Step 1 Data Bank'!M:M,"",0)</f>
        <v/>
      </c>
      <c r="R173" s="160" t="str">
        <f t="array" ref="R173">XLOOKUP(F173,'Step 1 Data Bank'!E:E,'Step 1 Data Bank'!N:N,"",0)</f>
        <v/>
      </c>
      <c r="S173" s="158" t="str">
        <f>IFERROR(IF(ISNUMBER(MATCH(F173,'OLD DATA'!H:H, 0)), "On OLD Data", "Not In Old Data"),"")</f>
        <v>Not In Old Data</v>
      </c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</row>
    <row r="174">
      <c r="A174" s="207">
        <f>IFERROR(__xludf.DUMMYFUNCTION("""COMPUTED_VALUE"""),46174.0)</f>
        <v>46174</v>
      </c>
      <c r="B174" s="158" t="str">
        <f>IFERROR(__xludf.DUMMYFUNCTION("""COMPUTED_VALUE"""),"GOAT")</f>
        <v>GOAT</v>
      </c>
      <c r="C174" s="158" t="str">
        <f>IFERROR(__xludf.DUMMYFUNCTION("""COMPUTED_VALUE"""),"Made Intan Deyana Wirata")</f>
        <v>Made Intan Deyana Wirata</v>
      </c>
      <c r="D174" s="158" t="str">
        <f>IFERROR(__xludf.DUMMYFUNCTION("""COMPUTED_VALUE"""),"Yaya")</f>
        <v>Yaya</v>
      </c>
      <c r="E174" s="160" t="str">
        <f>IFERROR(__xludf.DUMMYFUNCTION("""COMPUTED_VALUE"""),"ASTERIXA ABIGAIL +62 821-1397-6882")</f>
        <v>ASTERIXA ABIGAIL +62 821-1397-6882</v>
      </c>
      <c r="F174" s="158" t="str">
        <f>IFERROR(__xludf.DUMMYFUNCTION("""COMPUTED_VALUE"""),"RF7L10KY99XR")</f>
        <v>RF7L10KY99XR</v>
      </c>
      <c r="G174" s="158" t="str">
        <f>IFERROR(__xludf.DUMMYFUNCTION("""COMPUTED_VALUE"""),"S-SM-R540NZWAXAR")</f>
        <v>S-SM-R540NZWAXAR</v>
      </c>
      <c r="H174" s="160" t="str">
        <f>IFERROR(__xludf.DUMMYFUNCTION("""COMPUTED_VALUE"""),"G-BUDS4, WHITE (2026)")</f>
        <v>G-BUDS4, WHITE (2026)</v>
      </c>
      <c r="I174" s="208">
        <f>IFERROR(__xludf.DUMMYFUNCTION("""COMPUTED_VALUE"""),46203.0)</f>
        <v>46203</v>
      </c>
      <c r="J174" s="158">
        <f>IFERROR(__xludf.DUMMYFUNCTION("""COMPUTED_VALUE"""),-122.0)</f>
        <v>-122</v>
      </c>
      <c r="K174" s="160"/>
      <c r="L174" s="158" t="str">
        <f>IFERROR(__xludf.DUMMYFUNCTION("""COMPUTED_VALUE"""),"Not Overdue")</f>
        <v>Not Overdue</v>
      </c>
      <c r="M174" s="158"/>
      <c r="N174" s="158"/>
      <c r="O174" s="158"/>
      <c r="P174" s="158" t="str">
        <f>IFERROR(IF(ISNUMBER(MATCH(F174,'Step 1 Data Bank'!E:E, 0)), "On Data Bank", "Not In Data Bank"),"")</f>
        <v>Not In Data Bank</v>
      </c>
      <c r="Q174" s="158" t="str">
        <f t="array" ref="Q174">XLOOKUP(F174,'Step 1 Data Bank'!E:E,'Step 1 Data Bank'!M:M,"",0)</f>
        <v/>
      </c>
      <c r="R174" s="160" t="str">
        <f t="array" ref="R174">XLOOKUP(F174,'Step 1 Data Bank'!E:E,'Step 1 Data Bank'!N:N,"",0)</f>
        <v/>
      </c>
      <c r="S174" s="158" t="str">
        <f>IFERROR(IF(ISNUMBER(MATCH(F174,'OLD DATA'!H:H, 0)), "On OLD Data", "Not In Old Data"),"")</f>
        <v>Not In Old Data</v>
      </c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</row>
    <row r="175">
      <c r="A175" s="207">
        <f>IFERROR(__xludf.DUMMYFUNCTION("""COMPUTED_VALUE"""),46174.0)</f>
        <v>46174</v>
      </c>
      <c r="B175" s="158" t="str">
        <f>IFERROR(__xludf.DUMMYFUNCTION("""COMPUTED_VALUE"""),"GOAT")</f>
        <v>GOAT</v>
      </c>
      <c r="C175" s="158" t="str">
        <f>IFERROR(__xludf.DUMMYFUNCTION("""COMPUTED_VALUE"""),"Made Intan Deyana Wirata")</f>
        <v>Made Intan Deyana Wirata</v>
      </c>
      <c r="D175" s="158" t="str">
        <f>IFERROR(__xludf.DUMMYFUNCTION("""COMPUTED_VALUE"""),"Yaya")</f>
        <v>Yaya</v>
      </c>
      <c r="E175" s="160" t="str">
        <f>IFERROR(__xludf.DUMMYFUNCTION("""COMPUTED_VALUE"""),"ASTERIXA ABIGAIL +62 821-1397-6882")</f>
        <v>ASTERIXA ABIGAIL +62 821-1397-6882</v>
      </c>
      <c r="F175" s="158" t="str">
        <f>IFERROR(__xludf.DUMMYFUNCTION("""COMPUTED_VALUE"""),"RF7L10KXKMHL")</f>
        <v>RF7L10KXKMHL</v>
      </c>
      <c r="G175" s="158" t="str">
        <f>IFERROR(__xludf.DUMMYFUNCTION("""COMPUTED_VALUE"""),"S-SM-R540NZWAXAR")</f>
        <v>S-SM-R540NZWAXAR</v>
      </c>
      <c r="H175" s="160" t="str">
        <f>IFERROR(__xludf.DUMMYFUNCTION("""COMPUTED_VALUE"""),"G-BUDS4, WHITE (2026)")</f>
        <v>G-BUDS4, WHITE (2026)</v>
      </c>
      <c r="I175" s="208">
        <f>IFERROR(__xludf.DUMMYFUNCTION("""COMPUTED_VALUE"""),46203.0)</f>
        <v>46203</v>
      </c>
      <c r="J175" s="158">
        <f>IFERROR(__xludf.DUMMYFUNCTION("""COMPUTED_VALUE"""),-122.0)</f>
        <v>-122</v>
      </c>
      <c r="K175" s="160"/>
      <c r="L175" s="158" t="str">
        <f>IFERROR(__xludf.DUMMYFUNCTION("""COMPUTED_VALUE"""),"Not Overdue")</f>
        <v>Not Overdue</v>
      </c>
      <c r="M175" s="158"/>
      <c r="N175" s="158"/>
      <c r="O175" s="158"/>
      <c r="P175" s="158" t="str">
        <f>IFERROR(IF(ISNUMBER(MATCH(F175,'Step 1 Data Bank'!E:E, 0)), "On Data Bank", "Not In Data Bank"),"")</f>
        <v>Not In Data Bank</v>
      </c>
      <c r="Q175" s="158" t="str">
        <f t="array" ref="Q175">XLOOKUP(F175,'Step 1 Data Bank'!E:E,'Step 1 Data Bank'!M:M,"",0)</f>
        <v/>
      </c>
      <c r="R175" s="160" t="str">
        <f t="array" ref="R175">XLOOKUP(F175,'Step 1 Data Bank'!E:E,'Step 1 Data Bank'!N:N,"",0)</f>
        <v/>
      </c>
      <c r="S175" s="158" t="str">
        <f>IFERROR(IF(ISNUMBER(MATCH(F175,'OLD DATA'!H:H, 0)), "On OLD Data", "Not In Old Data"),"")</f>
        <v>Not In Old Data</v>
      </c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</row>
    <row r="176">
      <c r="A176" s="207">
        <f>IFERROR(__xludf.DUMMYFUNCTION("""COMPUTED_VALUE"""),46174.0)</f>
        <v>46174</v>
      </c>
      <c r="B176" s="158" t="str">
        <f>IFERROR(__xludf.DUMMYFUNCTION("""COMPUTED_VALUE"""),"GOAT")</f>
        <v>GOAT</v>
      </c>
      <c r="C176" s="158" t="str">
        <f>IFERROR(__xludf.DUMMYFUNCTION("""COMPUTED_VALUE"""),"Made Intan Deyana Wirata")</f>
        <v>Made Intan Deyana Wirata</v>
      </c>
      <c r="D176" s="158" t="str">
        <f>IFERROR(__xludf.DUMMYFUNCTION("""COMPUTED_VALUE"""),"Yaya")</f>
        <v>Yaya</v>
      </c>
      <c r="E176" s="160" t="str">
        <f>IFERROR(__xludf.DUMMYFUNCTION("""COMPUTED_VALUE"""),"ASTERIXA ABIGAIL +62 821-1397-6882")</f>
        <v>ASTERIXA ABIGAIL +62 821-1397-6882</v>
      </c>
      <c r="F176" s="158" t="str">
        <f>IFERROR(__xludf.DUMMYFUNCTION("""COMPUTED_VALUE"""),"RF7L10KXKMHR")</f>
        <v>RF7L10KXKMHR</v>
      </c>
      <c r="G176" s="158" t="str">
        <f>IFERROR(__xludf.DUMMYFUNCTION("""COMPUTED_VALUE"""),"S-SM-R540NZWAXAR")</f>
        <v>S-SM-R540NZWAXAR</v>
      </c>
      <c r="H176" s="160" t="str">
        <f>IFERROR(__xludf.DUMMYFUNCTION("""COMPUTED_VALUE"""),"G-BUDS4, WHITE (2026)")</f>
        <v>G-BUDS4, WHITE (2026)</v>
      </c>
      <c r="I176" s="208">
        <f>IFERROR(__xludf.DUMMYFUNCTION("""COMPUTED_VALUE"""),46203.0)</f>
        <v>46203</v>
      </c>
      <c r="J176" s="158">
        <f>IFERROR(__xludf.DUMMYFUNCTION("""COMPUTED_VALUE"""),-122.0)</f>
        <v>-122</v>
      </c>
      <c r="K176" s="160"/>
      <c r="L176" s="158" t="str">
        <f>IFERROR(__xludf.DUMMYFUNCTION("""COMPUTED_VALUE"""),"Not Overdue")</f>
        <v>Not Overdue</v>
      </c>
      <c r="M176" s="158"/>
      <c r="N176" s="158"/>
      <c r="O176" s="158"/>
      <c r="P176" s="158" t="str">
        <f>IFERROR(IF(ISNUMBER(MATCH(F176,'Step 1 Data Bank'!E:E, 0)), "On Data Bank", "Not In Data Bank"),"")</f>
        <v>Not In Data Bank</v>
      </c>
      <c r="Q176" s="158" t="str">
        <f t="array" ref="Q176">XLOOKUP(F176,'Step 1 Data Bank'!E:E,'Step 1 Data Bank'!M:M,"",0)</f>
        <v/>
      </c>
      <c r="R176" s="160" t="str">
        <f t="array" ref="R176">XLOOKUP(F176,'Step 1 Data Bank'!E:E,'Step 1 Data Bank'!N:N,"",0)</f>
        <v/>
      </c>
      <c r="S176" s="158" t="str">
        <f>IFERROR(IF(ISNUMBER(MATCH(F176,'OLD DATA'!H:H, 0)), "On OLD Data", "Not In Old Data"),"")</f>
        <v>Not In Old Data</v>
      </c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</row>
    <row r="177">
      <c r="A177" s="207">
        <f>IFERROR(__xludf.DUMMYFUNCTION("""COMPUTED_VALUE"""),46174.0)</f>
        <v>46174</v>
      </c>
      <c r="B177" s="158" t="str">
        <f>IFERROR(__xludf.DUMMYFUNCTION("""COMPUTED_VALUE"""),"GOAT")</f>
        <v>GOAT</v>
      </c>
      <c r="C177" s="158" t="str">
        <f>IFERROR(__xludf.DUMMYFUNCTION("""COMPUTED_VALUE"""),"Made Intan Deyana Wirata")</f>
        <v>Made Intan Deyana Wirata</v>
      </c>
      <c r="D177" s="158" t="str">
        <f>IFERROR(__xludf.DUMMYFUNCTION("""COMPUTED_VALUE"""),"Akbari")</f>
        <v>Akbari</v>
      </c>
      <c r="E177" s="160" t="str">
        <f>IFERROR(__xludf.DUMMYFUNCTION("""COMPUTED_VALUE"""),"ASTERIXA ABIGAIL +62 821-1397-6882")</f>
        <v>ASTERIXA ABIGAIL +62 821-1397-6882</v>
      </c>
      <c r="F177" s="158" t="str">
        <f>IFERROR(__xludf.DUMMYFUNCTION("""COMPUTED_VALUE"""),"R9RL103DC5P")</f>
        <v>R9RL103DC5P</v>
      </c>
      <c r="G177" s="158" t="str">
        <f>IFERROR(__xludf.DUMMYFUNCTION("""COMPUTED_VALUE"""),"SM-X133NZAAXID")</f>
        <v>SM-X133NZAAXID</v>
      </c>
      <c r="H177" s="160" t="str">
        <f>IFERROR(__xludf.DUMMYFUNCTION("""COMPUTED_VALUE"""),"G-TAB-A11 WIFI GRAY (2025)")</f>
        <v>G-TAB-A11 WIFI GRAY (2025)</v>
      </c>
      <c r="I177" s="208">
        <f>IFERROR(__xludf.DUMMYFUNCTION("""COMPUTED_VALUE"""),46203.0)</f>
        <v>46203</v>
      </c>
      <c r="J177" s="158">
        <f>IFERROR(__xludf.DUMMYFUNCTION("""COMPUTED_VALUE"""),-122.0)</f>
        <v>-122</v>
      </c>
      <c r="K177" s="160"/>
      <c r="L177" s="158" t="str">
        <f>IFERROR(__xludf.DUMMYFUNCTION("""COMPUTED_VALUE"""),"Not Overdue")</f>
        <v>Not Overdue</v>
      </c>
      <c r="M177" s="158"/>
      <c r="N177" s="158"/>
      <c r="O177" s="158"/>
      <c r="P177" s="158" t="str">
        <f>IFERROR(IF(ISNUMBER(MATCH(F177,'Step 1 Data Bank'!E:E, 0)), "On Data Bank", "Not In Data Bank"),"")</f>
        <v>Not In Data Bank</v>
      </c>
      <c r="Q177" s="158" t="str">
        <f t="array" ref="Q177">XLOOKUP(F177,'Step 1 Data Bank'!E:E,'Step 1 Data Bank'!M:M,"",0)</f>
        <v/>
      </c>
      <c r="R177" s="160" t="str">
        <f t="array" ref="R177">XLOOKUP(F177,'Step 1 Data Bank'!E:E,'Step 1 Data Bank'!N:N,"",0)</f>
        <v/>
      </c>
      <c r="S177" s="158" t="str">
        <f>IFERROR(IF(ISNUMBER(MATCH(F177,'OLD DATA'!H:H, 0)), "On OLD Data", "Not In Old Data"),"")</f>
        <v>On OLD Data</v>
      </c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</row>
    <row r="178">
      <c r="A178" s="207">
        <f>IFERROR(__xludf.DUMMYFUNCTION("""COMPUTED_VALUE"""),46174.0)</f>
        <v>46174</v>
      </c>
      <c r="B178" s="158" t="str">
        <f>IFERROR(__xludf.DUMMYFUNCTION("""COMPUTED_VALUE"""),"GOAT")</f>
        <v>GOAT</v>
      </c>
      <c r="C178" s="158" t="str">
        <f>IFERROR(__xludf.DUMMYFUNCTION("""COMPUTED_VALUE"""),"Made Intan Deyana Wirata")</f>
        <v>Made Intan Deyana Wirata</v>
      </c>
      <c r="D178" s="158" t="str">
        <f>IFERROR(__xludf.DUMMYFUNCTION("""COMPUTED_VALUE"""),"Akbari")</f>
        <v>Akbari</v>
      </c>
      <c r="E178" s="160" t="str">
        <f>IFERROR(__xludf.DUMMYFUNCTION("""COMPUTED_VALUE"""),"ASTERIXA ABIGAIL +62 821-1397-6882")</f>
        <v>ASTERIXA ABIGAIL +62 821-1397-6882</v>
      </c>
      <c r="F178" s="158" t="str">
        <f>IFERROR(__xludf.DUMMYFUNCTION("""COMPUTED_VALUE"""),"R9RL103CF0W")</f>
        <v>R9RL103CF0W</v>
      </c>
      <c r="G178" s="158" t="str">
        <f>IFERROR(__xludf.DUMMYFUNCTION("""COMPUTED_VALUE"""),"SM-X133NZAAXID")</f>
        <v>SM-X133NZAAXID</v>
      </c>
      <c r="H178" s="160" t="str">
        <f>IFERROR(__xludf.DUMMYFUNCTION("""COMPUTED_VALUE"""),"G-TAB-A11 WIFI GRAY (2025)")</f>
        <v>G-TAB-A11 WIFI GRAY (2025)</v>
      </c>
      <c r="I178" s="208">
        <f>IFERROR(__xludf.DUMMYFUNCTION("""COMPUTED_VALUE"""),46203.0)</f>
        <v>46203</v>
      </c>
      <c r="J178" s="158">
        <f>IFERROR(__xludf.DUMMYFUNCTION("""COMPUTED_VALUE"""),-122.0)</f>
        <v>-122</v>
      </c>
      <c r="K178" s="160"/>
      <c r="L178" s="158" t="str">
        <f>IFERROR(__xludf.DUMMYFUNCTION("""COMPUTED_VALUE"""),"Not Overdue")</f>
        <v>Not Overdue</v>
      </c>
      <c r="M178" s="158"/>
      <c r="N178" s="158"/>
      <c r="O178" s="158"/>
      <c r="P178" s="158" t="str">
        <f>IFERROR(IF(ISNUMBER(MATCH(F178,'Step 1 Data Bank'!E:E, 0)), "On Data Bank", "Not In Data Bank"),"")</f>
        <v>Not In Data Bank</v>
      </c>
      <c r="Q178" s="158" t="str">
        <f t="array" ref="Q178">XLOOKUP(F178,'Step 1 Data Bank'!E:E,'Step 1 Data Bank'!M:M,"",0)</f>
        <v/>
      </c>
      <c r="R178" s="160" t="str">
        <f t="array" ref="R178">XLOOKUP(F178,'Step 1 Data Bank'!E:E,'Step 1 Data Bank'!N:N,"",0)</f>
        <v/>
      </c>
      <c r="S178" s="158" t="str">
        <f>IFERROR(IF(ISNUMBER(MATCH(F178,'OLD DATA'!H:H, 0)), "On OLD Data", "Not In Old Data"),"")</f>
        <v>On OLD Data</v>
      </c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</row>
    <row r="179">
      <c r="A179" s="207">
        <f>IFERROR(__xludf.DUMMYFUNCTION("""COMPUTED_VALUE"""),46174.0)</f>
        <v>46174</v>
      </c>
      <c r="B179" s="158" t="str">
        <f>IFERROR(__xludf.DUMMYFUNCTION("""COMPUTED_VALUE"""),"GOAT")</f>
        <v>GOAT</v>
      </c>
      <c r="C179" s="158" t="str">
        <f>IFERROR(__xludf.DUMMYFUNCTION("""COMPUTED_VALUE"""),"Made Intan Deyana Wirata")</f>
        <v>Made Intan Deyana Wirata</v>
      </c>
      <c r="D179" s="158" t="str">
        <f>IFERROR(__xludf.DUMMYFUNCTION("""COMPUTED_VALUE"""),"Akbari")</f>
        <v>Akbari</v>
      </c>
      <c r="E179" s="160" t="str">
        <f>IFERROR(__xludf.DUMMYFUNCTION("""COMPUTED_VALUE"""),"ASTERIXA ABIGAIL +62 821-1397-6882")</f>
        <v>ASTERIXA ABIGAIL +62 821-1397-6882</v>
      </c>
      <c r="F179" s="158" t="str">
        <f>IFERROR(__xludf.DUMMYFUNCTION("""COMPUTED_VALUE"""),"R9RL103C2QJ")</f>
        <v>R9RL103C2QJ</v>
      </c>
      <c r="G179" s="158" t="str">
        <f>IFERROR(__xludf.DUMMYFUNCTION("""COMPUTED_VALUE"""),"SM-X133NZAAXID")</f>
        <v>SM-X133NZAAXID</v>
      </c>
      <c r="H179" s="160" t="str">
        <f>IFERROR(__xludf.DUMMYFUNCTION("""COMPUTED_VALUE"""),"G-TAB-A11 WIFI GRAY (2025)")</f>
        <v>G-TAB-A11 WIFI GRAY (2025)</v>
      </c>
      <c r="I179" s="208">
        <f>IFERROR(__xludf.DUMMYFUNCTION("""COMPUTED_VALUE"""),46203.0)</f>
        <v>46203</v>
      </c>
      <c r="J179" s="158">
        <f>IFERROR(__xludf.DUMMYFUNCTION("""COMPUTED_VALUE"""),-122.0)</f>
        <v>-122</v>
      </c>
      <c r="K179" s="160"/>
      <c r="L179" s="158" t="str">
        <f>IFERROR(__xludf.DUMMYFUNCTION("""COMPUTED_VALUE"""),"Not Overdue")</f>
        <v>Not Overdue</v>
      </c>
      <c r="M179" s="158"/>
      <c r="N179" s="158"/>
      <c r="O179" s="158"/>
      <c r="P179" s="158" t="str">
        <f>IFERROR(IF(ISNUMBER(MATCH(F179,'Step 1 Data Bank'!E:E, 0)), "On Data Bank", "Not In Data Bank"),"")</f>
        <v>Not In Data Bank</v>
      </c>
      <c r="Q179" s="158" t="str">
        <f t="array" ref="Q179">XLOOKUP(F179,'Step 1 Data Bank'!E:E,'Step 1 Data Bank'!M:M,"",0)</f>
        <v/>
      </c>
      <c r="R179" s="160" t="str">
        <f t="array" ref="R179">XLOOKUP(F179,'Step 1 Data Bank'!E:E,'Step 1 Data Bank'!N:N,"",0)</f>
        <v/>
      </c>
      <c r="S179" s="158" t="str">
        <f>IFERROR(IF(ISNUMBER(MATCH(F179,'OLD DATA'!H:H, 0)), "On OLD Data", "Not In Old Data"),"")</f>
        <v>On OLD Data</v>
      </c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</row>
    <row r="180">
      <c r="A180" s="207">
        <f>IFERROR(__xludf.DUMMYFUNCTION("""COMPUTED_VALUE"""),46174.0)</f>
        <v>46174</v>
      </c>
      <c r="B180" s="158" t="str">
        <f>IFERROR(__xludf.DUMMYFUNCTION("""COMPUTED_VALUE"""),"GOAT")</f>
        <v>GOAT</v>
      </c>
      <c r="C180" s="158" t="str">
        <f>IFERROR(__xludf.DUMMYFUNCTION("""COMPUTED_VALUE"""),"Made Intan Deyana Wirata")</f>
        <v>Made Intan Deyana Wirata</v>
      </c>
      <c r="D180" s="158" t="str">
        <f>IFERROR(__xludf.DUMMYFUNCTION("""COMPUTED_VALUE"""),"Akbari")</f>
        <v>Akbari</v>
      </c>
      <c r="E180" s="160" t="str">
        <f>IFERROR(__xludf.DUMMYFUNCTION("""COMPUTED_VALUE"""),"ASTERIXA ABIGAIL +62 821-1397-6882")</f>
        <v>ASTERIXA ABIGAIL +62 821-1397-6882</v>
      </c>
      <c r="F180" s="158" t="str">
        <f>IFERROR(__xludf.DUMMYFUNCTION("""COMPUTED_VALUE"""),"R9RL103CZJX")</f>
        <v>R9RL103CZJX</v>
      </c>
      <c r="G180" s="158" t="str">
        <f>IFERROR(__xludf.DUMMYFUNCTION("""COMPUTED_VALUE"""),"SM-X133NZAAXID")</f>
        <v>SM-X133NZAAXID</v>
      </c>
      <c r="H180" s="160" t="str">
        <f>IFERROR(__xludf.DUMMYFUNCTION("""COMPUTED_VALUE"""),"G-TAB-A11 WIFI GRAY (2025)")</f>
        <v>G-TAB-A11 WIFI GRAY (2025)</v>
      </c>
      <c r="I180" s="208">
        <f>IFERROR(__xludf.DUMMYFUNCTION("""COMPUTED_VALUE"""),46203.0)</f>
        <v>46203</v>
      </c>
      <c r="J180" s="158">
        <f>IFERROR(__xludf.DUMMYFUNCTION("""COMPUTED_VALUE"""),-122.0)</f>
        <v>-122</v>
      </c>
      <c r="K180" s="160"/>
      <c r="L180" s="158" t="str">
        <f>IFERROR(__xludf.DUMMYFUNCTION("""COMPUTED_VALUE"""),"Not Overdue")</f>
        <v>Not Overdue</v>
      </c>
      <c r="M180" s="158"/>
      <c r="N180" s="158"/>
      <c r="O180" s="158"/>
      <c r="P180" s="158" t="str">
        <f>IFERROR(IF(ISNUMBER(MATCH(F180,'Step 1 Data Bank'!E:E, 0)), "On Data Bank", "Not In Data Bank"),"")</f>
        <v>On Data Bank</v>
      </c>
      <c r="Q180" s="158" t="str">
        <f t="array" ref="Q180">XLOOKUP(F180,'Step 1 Data Bank'!E:E,'Step 1 Data Bank'!M:M,"",0)</f>
        <v>AVAILABLE</v>
      </c>
      <c r="R180" s="160" t="str">
        <f t="array" ref="R180">XLOOKUP(F180,'Step 1 Data Bank'!E:E,'Step 1 Data Bank'!N:N,"",0)</f>
        <v>-</v>
      </c>
      <c r="S180" s="158" t="str">
        <f>IFERROR(IF(ISNUMBER(MATCH(F180,'OLD DATA'!H:H, 0)), "On OLD Data", "Not In Old Data"),"")</f>
        <v>On OLD Data</v>
      </c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</row>
    <row r="181">
      <c r="A181" s="207">
        <f>IFERROR(__xludf.DUMMYFUNCTION("""COMPUTED_VALUE"""),46174.0)</f>
        <v>46174</v>
      </c>
      <c r="B181" s="158" t="str">
        <f>IFERROR(__xludf.DUMMYFUNCTION("""COMPUTED_VALUE"""),"GOAT")</f>
        <v>GOAT</v>
      </c>
      <c r="C181" s="158" t="str">
        <f>IFERROR(__xludf.DUMMYFUNCTION("""COMPUTED_VALUE"""),"Made Intan Deyana Wirata")</f>
        <v>Made Intan Deyana Wirata</v>
      </c>
      <c r="D181" s="158" t="str">
        <f>IFERROR(__xludf.DUMMYFUNCTION("""COMPUTED_VALUE"""),"Akbari")</f>
        <v>Akbari</v>
      </c>
      <c r="E181" s="160" t="str">
        <f>IFERROR(__xludf.DUMMYFUNCTION("""COMPUTED_VALUE"""),"ASTERIXA ABIGAIL +62 821-1397-6882")</f>
        <v>ASTERIXA ABIGAIL +62 821-1397-6882</v>
      </c>
      <c r="F181" s="158" t="str">
        <f>IFERROR(__xludf.DUMMYFUNCTION("""COMPUTED_VALUE"""),"R9RL103C44E")</f>
        <v>R9RL103C44E</v>
      </c>
      <c r="G181" s="158" t="str">
        <f>IFERROR(__xludf.DUMMYFUNCTION("""COMPUTED_VALUE"""),"SM-X133NZAAXID")</f>
        <v>SM-X133NZAAXID</v>
      </c>
      <c r="H181" s="160" t="str">
        <f>IFERROR(__xludf.DUMMYFUNCTION("""COMPUTED_VALUE"""),"G-TAB-A11 WIFI GRAY (2025)")</f>
        <v>G-TAB-A11 WIFI GRAY (2025)</v>
      </c>
      <c r="I181" s="208">
        <f>IFERROR(__xludf.DUMMYFUNCTION("""COMPUTED_VALUE"""),46203.0)</f>
        <v>46203</v>
      </c>
      <c r="J181" s="158">
        <f>IFERROR(__xludf.DUMMYFUNCTION("""COMPUTED_VALUE"""),-122.0)</f>
        <v>-122</v>
      </c>
      <c r="K181" s="160"/>
      <c r="L181" s="158" t="str">
        <f>IFERROR(__xludf.DUMMYFUNCTION("""COMPUTED_VALUE"""),"Not Overdue")</f>
        <v>Not Overdue</v>
      </c>
      <c r="M181" s="158"/>
      <c r="N181" s="158"/>
      <c r="O181" s="158"/>
      <c r="P181" s="158" t="str">
        <f>IFERROR(IF(ISNUMBER(MATCH(F181,'Step 1 Data Bank'!E:E, 0)), "On Data Bank", "Not In Data Bank"),"")</f>
        <v>Not In Data Bank</v>
      </c>
      <c r="Q181" s="158" t="str">
        <f t="array" ref="Q181">XLOOKUP(F181,'Step 1 Data Bank'!E:E,'Step 1 Data Bank'!M:M,"",0)</f>
        <v/>
      </c>
      <c r="R181" s="160" t="str">
        <f t="array" ref="R181">XLOOKUP(F181,'Step 1 Data Bank'!E:E,'Step 1 Data Bank'!N:N,"",0)</f>
        <v/>
      </c>
      <c r="S181" s="158" t="str">
        <f>IFERROR(IF(ISNUMBER(MATCH(F181,'OLD DATA'!H:H, 0)), "On OLD Data", "Not In Old Data"),"")</f>
        <v>On OLD Data</v>
      </c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</row>
    <row r="182">
      <c r="A182" s="207">
        <f>IFERROR(__xludf.DUMMYFUNCTION("""COMPUTED_VALUE"""),46174.0)</f>
        <v>46174</v>
      </c>
      <c r="B182" s="158" t="str">
        <f>IFERROR(__xludf.DUMMYFUNCTION("""COMPUTED_VALUE"""),"GOAT")</f>
        <v>GOAT</v>
      </c>
      <c r="C182" s="158" t="str">
        <f>IFERROR(__xludf.DUMMYFUNCTION("""COMPUTED_VALUE"""),"Made Intan Deyana Wirata")</f>
        <v>Made Intan Deyana Wirata</v>
      </c>
      <c r="D182" s="158" t="str">
        <f>IFERROR(__xludf.DUMMYFUNCTION("""COMPUTED_VALUE"""),"Akbari")</f>
        <v>Akbari</v>
      </c>
      <c r="E182" s="160" t="str">
        <f>IFERROR(__xludf.DUMMYFUNCTION("""COMPUTED_VALUE"""),"ASTERIXA ABIGAIL +62 821-1397-6882")</f>
        <v>ASTERIXA ABIGAIL +62 821-1397-6882</v>
      </c>
      <c r="F182" s="158" t="str">
        <f>IFERROR(__xludf.DUMMYFUNCTION("""COMPUTED_VALUE"""),"R9RL103C5XM")</f>
        <v>R9RL103C5XM</v>
      </c>
      <c r="G182" s="158" t="str">
        <f>IFERROR(__xludf.DUMMYFUNCTION("""COMPUTED_VALUE"""),"SM-X133NZAAXID")</f>
        <v>SM-X133NZAAXID</v>
      </c>
      <c r="H182" s="160" t="str">
        <f>IFERROR(__xludf.DUMMYFUNCTION("""COMPUTED_VALUE"""),"G-TAB-A11 WIFI GRAY (2025)")</f>
        <v>G-TAB-A11 WIFI GRAY (2025)</v>
      </c>
      <c r="I182" s="208">
        <f>IFERROR(__xludf.DUMMYFUNCTION("""COMPUTED_VALUE"""),46203.0)</f>
        <v>46203</v>
      </c>
      <c r="J182" s="158">
        <f>IFERROR(__xludf.DUMMYFUNCTION("""COMPUTED_VALUE"""),-122.0)</f>
        <v>-122</v>
      </c>
      <c r="K182" s="160"/>
      <c r="L182" s="158" t="str">
        <f>IFERROR(__xludf.DUMMYFUNCTION("""COMPUTED_VALUE"""),"Not Overdue")</f>
        <v>Not Overdue</v>
      </c>
      <c r="M182" s="158"/>
      <c r="N182" s="158"/>
      <c r="O182" s="158"/>
      <c r="P182" s="158" t="str">
        <f>IFERROR(IF(ISNUMBER(MATCH(F182,'Step 1 Data Bank'!E:E, 0)), "On Data Bank", "Not In Data Bank"),"")</f>
        <v>On Data Bank</v>
      </c>
      <c r="Q182" s="158" t="str">
        <f t="array" ref="Q182">XLOOKUP(F182,'Step 1 Data Bank'!E:E,'Step 1 Data Bank'!M:M,"",0)</f>
        <v>AVAILABLE</v>
      </c>
      <c r="R182" s="160" t="str">
        <f t="array" ref="R182">XLOOKUP(F182,'Step 1 Data Bank'!E:E,'Step 1 Data Bank'!N:N,"",0)</f>
        <v>-</v>
      </c>
      <c r="S182" s="158" t="str">
        <f>IFERROR(IF(ISNUMBER(MATCH(F182,'OLD DATA'!H:H, 0)), "On OLD Data", "Not In Old Data"),"")</f>
        <v>On OLD Data</v>
      </c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</row>
    <row r="183">
      <c r="A183" s="207">
        <f>IFERROR(__xludf.DUMMYFUNCTION("""COMPUTED_VALUE"""),46174.0)</f>
        <v>46174</v>
      </c>
      <c r="B183" s="158" t="str">
        <f>IFERROR(__xludf.DUMMYFUNCTION("""COMPUTED_VALUE"""),"GOAT")</f>
        <v>GOAT</v>
      </c>
      <c r="C183" s="158" t="str">
        <f>IFERROR(__xludf.DUMMYFUNCTION("""COMPUTED_VALUE"""),"Made Intan Deyana Wirata")</f>
        <v>Made Intan Deyana Wirata</v>
      </c>
      <c r="D183" s="158" t="str">
        <f>IFERROR(__xludf.DUMMYFUNCTION("""COMPUTED_VALUE"""),"Akbari")</f>
        <v>Akbari</v>
      </c>
      <c r="E183" s="160" t="str">
        <f>IFERROR(__xludf.DUMMYFUNCTION("""COMPUTED_VALUE"""),"ASTERIXA ABIGAIL +62 821-1397-6882")</f>
        <v>ASTERIXA ABIGAIL +62 821-1397-6882</v>
      </c>
      <c r="F183" s="158" t="str">
        <f>IFERROR(__xludf.DUMMYFUNCTION("""COMPUTED_VALUE"""),"R9RL102XHMN")</f>
        <v>R9RL102XHMN</v>
      </c>
      <c r="G183" s="158" t="str">
        <f>IFERROR(__xludf.DUMMYFUNCTION("""COMPUTED_VALUE"""),"SM-X133NZAAXID")</f>
        <v>SM-X133NZAAXID</v>
      </c>
      <c r="H183" s="160" t="str">
        <f>IFERROR(__xludf.DUMMYFUNCTION("""COMPUTED_VALUE"""),"G-TAB-A11 WIFI GRAY (2025)")</f>
        <v>G-TAB-A11 WIFI GRAY (2025)</v>
      </c>
      <c r="I183" s="208">
        <f>IFERROR(__xludf.DUMMYFUNCTION("""COMPUTED_VALUE"""),46203.0)</f>
        <v>46203</v>
      </c>
      <c r="J183" s="158">
        <f>IFERROR(__xludf.DUMMYFUNCTION("""COMPUTED_VALUE"""),-122.0)</f>
        <v>-122</v>
      </c>
      <c r="K183" s="160"/>
      <c r="L183" s="158" t="str">
        <f>IFERROR(__xludf.DUMMYFUNCTION("""COMPUTED_VALUE"""),"Not Overdue")</f>
        <v>Not Overdue</v>
      </c>
      <c r="M183" s="158"/>
      <c r="N183" s="158"/>
      <c r="O183" s="158"/>
      <c r="P183" s="158" t="str">
        <f>IFERROR(IF(ISNUMBER(MATCH(F183,'Step 1 Data Bank'!E:E, 0)), "On Data Bank", "Not In Data Bank"),"")</f>
        <v>On Data Bank</v>
      </c>
      <c r="Q183" s="158" t="str">
        <f t="array" ref="Q183">XLOOKUP(F183,'Step 1 Data Bank'!E:E,'Step 1 Data Bank'!M:M,"",0)</f>
        <v>AVAILABLE</v>
      </c>
      <c r="R183" s="160" t="str">
        <f t="array" ref="R183">XLOOKUP(F183,'Step 1 Data Bank'!E:E,'Step 1 Data Bank'!N:N,"",0)</f>
        <v>-</v>
      </c>
      <c r="S183" s="158" t="str">
        <f>IFERROR(IF(ISNUMBER(MATCH(F183,'OLD DATA'!H:H, 0)), "On OLD Data", "Not In Old Data"),"")</f>
        <v>On OLD Data</v>
      </c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</row>
    <row r="184">
      <c r="A184" s="207">
        <f>IFERROR(__xludf.DUMMYFUNCTION("""COMPUTED_VALUE"""),46174.0)</f>
        <v>46174</v>
      </c>
      <c r="B184" s="158" t="str">
        <f>IFERROR(__xludf.DUMMYFUNCTION("""COMPUTED_VALUE"""),"GOAT")</f>
        <v>GOAT</v>
      </c>
      <c r="C184" s="158" t="str">
        <f>IFERROR(__xludf.DUMMYFUNCTION("""COMPUTED_VALUE"""),"Made Intan Deyana Wirata")</f>
        <v>Made Intan Deyana Wirata</v>
      </c>
      <c r="D184" s="158" t="str">
        <f>IFERROR(__xludf.DUMMYFUNCTION("""COMPUTED_VALUE"""),"Akbari")</f>
        <v>Akbari</v>
      </c>
      <c r="E184" s="160" t="str">
        <f>IFERROR(__xludf.DUMMYFUNCTION("""COMPUTED_VALUE"""),"ASTERIXA ABIGAIL +62 821-1397-6882")</f>
        <v>ASTERIXA ABIGAIL +62 821-1397-6882</v>
      </c>
      <c r="F184" s="158" t="str">
        <f>IFERROR(__xludf.DUMMYFUNCTION("""COMPUTED_VALUE"""),"R9RL103D4TW")</f>
        <v>R9RL103D4TW</v>
      </c>
      <c r="G184" s="158" t="str">
        <f>IFERROR(__xludf.DUMMYFUNCTION("""COMPUTED_VALUE"""),"SM-X133NZAAXID")</f>
        <v>SM-X133NZAAXID</v>
      </c>
      <c r="H184" s="160" t="str">
        <f>IFERROR(__xludf.DUMMYFUNCTION("""COMPUTED_VALUE"""),"G-TAB-A11 WIFI GRAY (2025)")</f>
        <v>G-TAB-A11 WIFI GRAY (2025)</v>
      </c>
      <c r="I184" s="208">
        <f>IFERROR(__xludf.DUMMYFUNCTION("""COMPUTED_VALUE"""),46203.0)</f>
        <v>46203</v>
      </c>
      <c r="J184" s="158">
        <f>IFERROR(__xludf.DUMMYFUNCTION("""COMPUTED_VALUE"""),-122.0)</f>
        <v>-122</v>
      </c>
      <c r="K184" s="160"/>
      <c r="L184" s="158" t="str">
        <f>IFERROR(__xludf.DUMMYFUNCTION("""COMPUTED_VALUE"""),"Not Overdue")</f>
        <v>Not Overdue</v>
      </c>
      <c r="M184" s="158"/>
      <c r="N184" s="158"/>
      <c r="O184" s="158"/>
      <c r="P184" s="158" t="str">
        <f>IFERROR(IF(ISNUMBER(MATCH(F184,'Step 1 Data Bank'!E:E, 0)), "On Data Bank", "Not In Data Bank"),"")</f>
        <v>Not In Data Bank</v>
      </c>
      <c r="Q184" s="158" t="str">
        <f t="array" ref="Q184">XLOOKUP(F184,'Step 1 Data Bank'!E:E,'Step 1 Data Bank'!M:M,"",0)</f>
        <v/>
      </c>
      <c r="R184" s="160" t="str">
        <f t="array" ref="R184">XLOOKUP(F184,'Step 1 Data Bank'!E:E,'Step 1 Data Bank'!N:N,"",0)</f>
        <v/>
      </c>
      <c r="S184" s="158" t="str">
        <f>IFERROR(IF(ISNUMBER(MATCH(F184,'OLD DATA'!H:H, 0)), "On OLD Data", "Not In Old Data"),"")</f>
        <v>On OLD Data</v>
      </c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</row>
    <row r="185">
      <c r="A185" s="207">
        <f>IFERROR(__xludf.DUMMYFUNCTION("""COMPUTED_VALUE"""),46174.0)</f>
        <v>46174</v>
      </c>
      <c r="B185" s="158" t="str">
        <f>IFERROR(__xludf.DUMMYFUNCTION("""COMPUTED_VALUE"""),"GOAT")</f>
        <v>GOAT</v>
      </c>
      <c r="C185" s="158" t="str">
        <f>IFERROR(__xludf.DUMMYFUNCTION("""COMPUTED_VALUE"""),"Made Intan Deyana Wirata")</f>
        <v>Made Intan Deyana Wirata</v>
      </c>
      <c r="D185" s="158" t="str">
        <f>IFERROR(__xludf.DUMMYFUNCTION("""COMPUTED_VALUE"""),"Akbari")</f>
        <v>Akbari</v>
      </c>
      <c r="E185" s="160" t="str">
        <f>IFERROR(__xludf.DUMMYFUNCTION("""COMPUTED_VALUE"""),"ASTERIXA ABIGAIL +62 821-1397-6882")</f>
        <v>ASTERIXA ABIGAIL +62 821-1397-6882</v>
      </c>
      <c r="F185" s="158" t="str">
        <f>IFERROR(__xludf.DUMMYFUNCTION("""COMPUTED_VALUE"""),"R9RL103DFEP")</f>
        <v>R9RL103DFEP</v>
      </c>
      <c r="G185" s="158" t="str">
        <f>IFERROR(__xludf.DUMMYFUNCTION("""COMPUTED_VALUE"""),"SM-X133NZAAXID")</f>
        <v>SM-X133NZAAXID</v>
      </c>
      <c r="H185" s="160" t="str">
        <f>IFERROR(__xludf.DUMMYFUNCTION("""COMPUTED_VALUE"""),"G-TAB-A11 WIFI GRAY (2025)")</f>
        <v>G-TAB-A11 WIFI GRAY (2025)</v>
      </c>
      <c r="I185" s="208">
        <f>IFERROR(__xludf.DUMMYFUNCTION("""COMPUTED_VALUE"""),46203.0)</f>
        <v>46203</v>
      </c>
      <c r="J185" s="158">
        <f>IFERROR(__xludf.DUMMYFUNCTION("""COMPUTED_VALUE"""),-122.0)</f>
        <v>-122</v>
      </c>
      <c r="K185" s="160"/>
      <c r="L185" s="158" t="str">
        <f>IFERROR(__xludf.DUMMYFUNCTION("""COMPUTED_VALUE"""),"Not Overdue")</f>
        <v>Not Overdue</v>
      </c>
      <c r="M185" s="158"/>
      <c r="N185" s="158"/>
      <c r="O185" s="158"/>
      <c r="P185" s="158" t="str">
        <f>IFERROR(IF(ISNUMBER(MATCH(F185,'Step 1 Data Bank'!E:E, 0)), "On Data Bank", "Not In Data Bank"),"")</f>
        <v>Not In Data Bank</v>
      </c>
      <c r="Q185" s="158" t="str">
        <f t="array" ref="Q185">XLOOKUP(F185,'Step 1 Data Bank'!E:E,'Step 1 Data Bank'!M:M,"",0)</f>
        <v/>
      </c>
      <c r="R185" s="160" t="str">
        <f t="array" ref="R185">XLOOKUP(F185,'Step 1 Data Bank'!E:E,'Step 1 Data Bank'!N:N,"",0)</f>
        <v/>
      </c>
      <c r="S185" s="158" t="str">
        <f>IFERROR(IF(ISNUMBER(MATCH(F185,'OLD DATA'!H:H, 0)), "On OLD Data", "Not In Old Data"),"")</f>
        <v>Not In Old Data</v>
      </c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</row>
    <row r="186">
      <c r="A186" s="207">
        <f>IFERROR(__xludf.DUMMYFUNCTION("""COMPUTED_VALUE"""),46174.0)</f>
        <v>46174</v>
      </c>
      <c r="B186" s="158" t="str">
        <f>IFERROR(__xludf.DUMMYFUNCTION("""COMPUTED_VALUE"""),"GOAT")</f>
        <v>GOAT</v>
      </c>
      <c r="C186" s="158" t="str">
        <f>IFERROR(__xludf.DUMMYFUNCTION("""COMPUTED_VALUE"""),"Made Intan Deyana Wirata")</f>
        <v>Made Intan Deyana Wirata</v>
      </c>
      <c r="D186" s="158" t="str">
        <f>IFERROR(__xludf.DUMMYFUNCTION("""COMPUTED_VALUE"""),"Akbari")</f>
        <v>Akbari</v>
      </c>
      <c r="E186" s="160" t="str">
        <f>IFERROR(__xludf.DUMMYFUNCTION("""COMPUTED_VALUE"""),"ASTERIXA ABIGAIL +62 821-1397-6882")</f>
        <v>ASTERIXA ABIGAIL +62 821-1397-6882</v>
      </c>
      <c r="F186" s="158" t="str">
        <f>IFERROR(__xludf.DUMMYFUNCTION("""COMPUTED_VALUE"""),"R9RL103DEJE")</f>
        <v>R9RL103DEJE</v>
      </c>
      <c r="G186" s="158" t="str">
        <f>IFERROR(__xludf.DUMMYFUNCTION("""COMPUTED_VALUE"""),"SM-X133NZAAXID")</f>
        <v>SM-X133NZAAXID</v>
      </c>
      <c r="H186" s="160" t="str">
        <f>IFERROR(__xludf.DUMMYFUNCTION("""COMPUTED_VALUE"""),"G-TAB-A11 WIFI GRAY (2025)")</f>
        <v>G-TAB-A11 WIFI GRAY (2025)</v>
      </c>
      <c r="I186" s="208">
        <f>IFERROR(__xludf.DUMMYFUNCTION("""COMPUTED_VALUE"""),46203.0)</f>
        <v>46203</v>
      </c>
      <c r="J186" s="158">
        <f>IFERROR(__xludf.DUMMYFUNCTION("""COMPUTED_VALUE"""),-122.0)</f>
        <v>-122</v>
      </c>
      <c r="K186" s="160"/>
      <c r="L186" s="158" t="str">
        <f>IFERROR(__xludf.DUMMYFUNCTION("""COMPUTED_VALUE"""),"Not Overdue")</f>
        <v>Not Overdue</v>
      </c>
      <c r="M186" s="158"/>
      <c r="N186" s="158"/>
      <c r="O186" s="158"/>
      <c r="P186" s="158" t="str">
        <f>IFERROR(IF(ISNUMBER(MATCH(F186,'Step 1 Data Bank'!E:E, 0)), "On Data Bank", "Not In Data Bank"),"")</f>
        <v>Not In Data Bank</v>
      </c>
      <c r="Q186" s="158" t="str">
        <f t="array" ref="Q186">XLOOKUP(F186,'Step 1 Data Bank'!E:E,'Step 1 Data Bank'!M:M,"",0)</f>
        <v/>
      </c>
      <c r="R186" s="160" t="str">
        <f t="array" ref="R186">XLOOKUP(F186,'Step 1 Data Bank'!E:E,'Step 1 Data Bank'!N:N,"",0)</f>
        <v/>
      </c>
      <c r="S186" s="158" t="str">
        <f>IFERROR(IF(ISNUMBER(MATCH(F186,'OLD DATA'!H:H, 0)), "On OLD Data", "Not In Old Data"),"")</f>
        <v>On OLD Data</v>
      </c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</row>
    <row r="187">
      <c r="A187" s="207">
        <f>IFERROR(__xludf.DUMMYFUNCTION("""COMPUTED_VALUE"""),46174.0)</f>
        <v>46174</v>
      </c>
      <c r="B187" s="158" t="str">
        <f>IFERROR(__xludf.DUMMYFUNCTION("""COMPUTED_VALUE"""),"GOAT")</f>
        <v>GOAT</v>
      </c>
      <c r="C187" s="158" t="str">
        <f>IFERROR(__xludf.DUMMYFUNCTION("""COMPUTED_VALUE"""),"Made Intan Deyana Wirata")</f>
        <v>Made Intan Deyana Wirata</v>
      </c>
      <c r="D187" s="158" t="str">
        <f>IFERROR(__xludf.DUMMYFUNCTION("""COMPUTED_VALUE"""),"Akbari")</f>
        <v>Akbari</v>
      </c>
      <c r="E187" s="160" t="str">
        <f>IFERROR(__xludf.DUMMYFUNCTION("""COMPUTED_VALUE"""),"ASTERIXA ABIGAIL +62 821-1397-6882")</f>
        <v>ASTERIXA ABIGAIL +62 821-1397-6882</v>
      </c>
      <c r="F187" s="158" t="str">
        <f>IFERROR(__xludf.DUMMYFUNCTION("""COMPUTED_VALUE"""),"R9RL103C5BM")</f>
        <v>R9RL103C5BM</v>
      </c>
      <c r="G187" s="158" t="str">
        <f>IFERROR(__xludf.DUMMYFUNCTION("""COMPUTED_VALUE"""),"SM-X133NZAAXID")</f>
        <v>SM-X133NZAAXID</v>
      </c>
      <c r="H187" s="160" t="str">
        <f>IFERROR(__xludf.DUMMYFUNCTION("""COMPUTED_VALUE"""),"G-TAB-A11 WIFI GRAY (2025)")</f>
        <v>G-TAB-A11 WIFI GRAY (2025)</v>
      </c>
      <c r="I187" s="208">
        <f>IFERROR(__xludf.DUMMYFUNCTION("""COMPUTED_VALUE"""),46203.0)</f>
        <v>46203</v>
      </c>
      <c r="J187" s="158">
        <f>IFERROR(__xludf.DUMMYFUNCTION("""COMPUTED_VALUE"""),-122.0)</f>
        <v>-122</v>
      </c>
      <c r="K187" s="160"/>
      <c r="L187" s="158" t="str">
        <f>IFERROR(__xludf.DUMMYFUNCTION("""COMPUTED_VALUE"""),"Not Overdue")</f>
        <v>Not Overdue</v>
      </c>
      <c r="M187" s="158"/>
      <c r="N187" s="158"/>
      <c r="O187" s="158"/>
      <c r="P187" s="158" t="str">
        <f>IFERROR(IF(ISNUMBER(MATCH(F187,'Step 1 Data Bank'!E:E, 0)), "On Data Bank", "Not In Data Bank"),"")</f>
        <v>On Data Bank</v>
      </c>
      <c r="Q187" s="158" t="str">
        <f t="array" ref="Q187">XLOOKUP(F187,'Step 1 Data Bank'!E:E,'Step 1 Data Bank'!M:M,"",0)</f>
        <v>AVAILABLE</v>
      </c>
      <c r="R187" s="160" t="str">
        <f t="array" ref="R187">XLOOKUP(F187,'Step 1 Data Bank'!E:E,'Step 1 Data Bank'!N:N,"",0)</f>
        <v>-</v>
      </c>
      <c r="S187" s="158" t="str">
        <f>IFERROR(IF(ISNUMBER(MATCH(F187,'OLD DATA'!H:H, 0)), "On OLD Data", "Not In Old Data"),"")</f>
        <v>On OLD Data</v>
      </c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</row>
    <row r="188">
      <c r="A188" s="207">
        <f>IFERROR(__xludf.DUMMYFUNCTION("""COMPUTED_VALUE"""),46174.0)</f>
        <v>46174</v>
      </c>
      <c r="B188" s="158" t="str">
        <f>IFERROR(__xludf.DUMMYFUNCTION("""COMPUTED_VALUE"""),"GOAT")</f>
        <v>GOAT</v>
      </c>
      <c r="C188" s="158" t="str">
        <f>IFERROR(__xludf.DUMMYFUNCTION("""COMPUTED_VALUE"""),"Made Intan Deyana Wirata")</f>
        <v>Made Intan Deyana Wirata</v>
      </c>
      <c r="D188" s="158" t="str">
        <f>IFERROR(__xludf.DUMMYFUNCTION("""COMPUTED_VALUE"""),"Akbari")</f>
        <v>Akbari</v>
      </c>
      <c r="E188" s="160" t="str">
        <f>IFERROR(__xludf.DUMMYFUNCTION("""COMPUTED_VALUE"""),"ASTERIXA ABIGAIL +62 821-1397-6882")</f>
        <v>ASTERIXA ABIGAIL +62 821-1397-6882</v>
      </c>
      <c r="F188" s="158" t="str">
        <f>IFERROR(__xludf.DUMMYFUNCTION("""COMPUTED_VALUE"""),"RF7YAQ1B8S3RTB")</f>
        <v>RF7YAQ1B8S3RTB</v>
      </c>
      <c r="G188" s="158" t="str">
        <f>IFERROR(__xludf.DUMMYFUNCTION("""COMPUTED_VALUE"""),"EP-T2510NWEGWW")</f>
        <v>EP-T2510NWEGWW</v>
      </c>
      <c r="H188" s="160" t="str">
        <f>IFERROR(__xludf.DUMMYFUNCTION("""COMPUTED_VALUE"""),"ACC HHP,CHARGER (MOBILE),E: ENG,UNIT")</f>
        <v>ACC HHP,CHARGER (MOBILE),E: ENG,UNIT</v>
      </c>
      <c r="I188" s="208">
        <f>IFERROR(__xludf.DUMMYFUNCTION("""COMPUTED_VALUE"""),46203.0)</f>
        <v>46203</v>
      </c>
      <c r="J188" s="158">
        <f>IFERROR(__xludf.DUMMYFUNCTION("""COMPUTED_VALUE"""),-122.0)</f>
        <v>-122</v>
      </c>
      <c r="K188" s="160"/>
      <c r="L188" s="158" t="str">
        <f>IFERROR(__xludf.DUMMYFUNCTION("""COMPUTED_VALUE"""),"Not Overdue")</f>
        <v>Not Overdue</v>
      </c>
      <c r="M188" s="158"/>
      <c r="N188" s="158"/>
      <c r="O188" s="158"/>
      <c r="P188" s="158" t="str">
        <f>IFERROR(IF(ISNUMBER(MATCH(F188,'Step 1 Data Bank'!E:E, 0)), "On Data Bank", "Not In Data Bank"),"")</f>
        <v>On Data Bank</v>
      </c>
      <c r="Q188" s="158" t="str">
        <f t="array" ref="Q188">XLOOKUP(F188,'Step 1 Data Bank'!E:E,'Step 1 Data Bank'!M:M,"",0)</f>
        <v>LOANED / ON KOL</v>
      </c>
      <c r="R188" s="160" t="str">
        <f t="array" ref="R188">XLOOKUP(F188,'Step 1 Data Bank'!E:E,'Step 1 Data Bank'!N:N,"",0)</f>
        <v>Joseph Sebastian</v>
      </c>
      <c r="S188" s="158" t="str">
        <f>IFERROR(IF(ISNUMBER(MATCH(F188,'OLD DATA'!H:H, 0)), "On OLD Data", "Not In Old Data"),"")</f>
        <v>On OLD Data</v>
      </c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</row>
    <row r="189">
      <c r="A189" s="207">
        <f>IFERROR(__xludf.DUMMYFUNCTION("""COMPUTED_VALUE"""),46174.0)</f>
        <v>46174</v>
      </c>
      <c r="B189" s="158" t="str">
        <f>IFERROR(__xludf.DUMMYFUNCTION("""COMPUTED_VALUE"""),"GOAT")</f>
        <v>GOAT</v>
      </c>
      <c r="C189" s="158" t="str">
        <f>IFERROR(__xludf.DUMMYFUNCTION("""COMPUTED_VALUE"""),"Made Intan Deyana Wirata")</f>
        <v>Made Intan Deyana Wirata</v>
      </c>
      <c r="D189" s="158" t="str">
        <f>IFERROR(__xludf.DUMMYFUNCTION("""COMPUTED_VALUE"""),"Akbari")</f>
        <v>Akbari</v>
      </c>
      <c r="E189" s="160" t="str">
        <f>IFERROR(__xludf.DUMMYFUNCTION("""COMPUTED_VALUE"""),"ASTERIXA ABIGAIL +62 821-1397-6882")</f>
        <v>ASTERIXA ABIGAIL +62 821-1397-6882</v>
      </c>
      <c r="F189" s="158" t="str">
        <f>IFERROR(__xludf.DUMMYFUNCTION("""COMPUTED_VALUE"""),"RF7YAQ1RVR3RTB")</f>
        <v>RF7YAQ1RVR3RTB</v>
      </c>
      <c r="G189" s="158" t="str">
        <f>IFERROR(__xludf.DUMMYFUNCTION("""COMPUTED_VALUE"""),"EP-T2510NWEGWW")</f>
        <v>EP-T2510NWEGWW</v>
      </c>
      <c r="H189" s="160" t="str">
        <f>IFERROR(__xludf.DUMMYFUNCTION("""COMPUTED_VALUE"""),"ACC HHP,CHARGER (MOBILE),E: ENG,UNIT")</f>
        <v>ACC HHP,CHARGER (MOBILE),E: ENG,UNIT</v>
      </c>
      <c r="I189" s="208">
        <f>IFERROR(__xludf.DUMMYFUNCTION("""COMPUTED_VALUE"""),46203.0)</f>
        <v>46203</v>
      </c>
      <c r="J189" s="158">
        <f>IFERROR(__xludf.DUMMYFUNCTION("""COMPUTED_VALUE"""),-122.0)</f>
        <v>-122</v>
      </c>
      <c r="K189" s="160"/>
      <c r="L189" s="158" t="str">
        <f>IFERROR(__xludf.DUMMYFUNCTION("""COMPUTED_VALUE"""),"Not Overdue")</f>
        <v>Not Overdue</v>
      </c>
      <c r="M189" s="158"/>
      <c r="N189" s="158"/>
      <c r="O189" s="158"/>
      <c r="P189" s="158" t="str">
        <f>IFERROR(IF(ISNUMBER(MATCH(F189,'Step 1 Data Bank'!E:E, 0)), "On Data Bank", "Not In Data Bank"),"")</f>
        <v>Not In Data Bank</v>
      </c>
      <c r="Q189" s="158" t="str">
        <f t="array" ref="Q189">XLOOKUP(F189,'Step 1 Data Bank'!E:E,'Step 1 Data Bank'!M:M,"",0)</f>
        <v/>
      </c>
      <c r="R189" s="160" t="str">
        <f t="array" ref="R189">XLOOKUP(F189,'Step 1 Data Bank'!E:E,'Step 1 Data Bank'!N:N,"",0)</f>
        <v/>
      </c>
      <c r="S189" s="158" t="str">
        <f>IFERROR(IF(ISNUMBER(MATCH(F189,'OLD DATA'!H:H, 0)), "On OLD Data", "Not In Old Data"),"")</f>
        <v>On OLD Data</v>
      </c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</row>
    <row r="190">
      <c r="A190" s="207">
        <f>IFERROR(__xludf.DUMMYFUNCTION("""COMPUTED_VALUE"""),46174.0)</f>
        <v>46174</v>
      </c>
      <c r="B190" s="158" t="str">
        <f>IFERROR(__xludf.DUMMYFUNCTION("""COMPUTED_VALUE"""),"GOAT")</f>
        <v>GOAT</v>
      </c>
      <c r="C190" s="158" t="str">
        <f>IFERROR(__xludf.DUMMYFUNCTION("""COMPUTED_VALUE"""),"Made Intan Deyana Wirata")</f>
        <v>Made Intan Deyana Wirata</v>
      </c>
      <c r="D190" s="158" t="str">
        <f>IFERROR(__xludf.DUMMYFUNCTION("""COMPUTED_VALUE"""),"Akbari")</f>
        <v>Akbari</v>
      </c>
      <c r="E190" s="160" t="str">
        <f>IFERROR(__xludf.DUMMYFUNCTION("""COMPUTED_VALUE"""),"ASTERIXA ABIGAIL +62 821-1397-6882")</f>
        <v>ASTERIXA ABIGAIL +62 821-1397-6882</v>
      </c>
      <c r="F190" s="158" t="str">
        <f>IFERROR(__xludf.DUMMYFUNCTION("""COMPUTED_VALUE"""),"RF7YAM6F773RTB")</f>
        <v>RF7YAM6F773RTB</v>
      </c>
      <c r="G190" s="158" t="str">
        <f>IFERROR(__xludf.DUMMYFUNCTION("""COMPUTED_VALUE"""),"EP-T2510NWEGWW")</f>
        <v>EP-T2510NWEGWW</v>
      </c>
      <c r="H190" s="160" t="str">
        <f>IFERROR(__xludf.DUMMYFUNCTION("""COMPUTED_VALUE"""),"ACC HHP,CHARGER (MOBILE),E: ENG,UNIT")</f>
        <v>ACC HHP,CHARGER (MOBILE),E: ENG,UNIT</v>
      </c>
      <c r="I190" s="208">
        <f>IFERROR(__xludf.DUMMYFUNCTION("""COMPUTED_VALUE"""),46203.0)</f>
        <v>46203</v>
      </c>
      <c r="J190" s="158">
        <f>IFERROR(__xludf.DUMMYFUNCTION("""COMPUTED_VALUE"""),-122.0)</f>
        <v>-122</v>
      </c>
      <c r="K190" s="160"/>
      <c r="L190" s="158" t="str">
        <f>IFERROR(__xludf.DUMMYFUNCTION("""COMPUTED_VALUE"""),"Not Overdue")</f>
        <v>Not Overdue</v>
      </c>
      <c r="M190" s="158"/>
      <c r="N190" s="158"/>
      <c r="O190" s="158"/>
      <c r="P190" s="158" t="str">
        <f>IFERROR(IF(ISNUMBER(MATCH(F190,'Step 1 Data Bank'!E:E, 0)), "On Data Bank", "Not In Data Bank"),"")</f>
        <v>Not In Data Bank</v>
      </c>
      <c r="Q190" s="158" t="str">
        <f t="array" ref="Q190">XLOOKUP(F190,'Step 1 Data Bank'!E:E,'Step 1 Data Bank'!M:M,"",0)</f>
        <v/>
      </c>
      <c r="R190" s="160" t="str">
        <f t="array" ref="R190">XLOOKUP(F190,'Step 1 Data Bank'!E:E,'Step 1 Data Bank'!N:N,"",0)</f>
        <v/>
      </c>
      <c r="S190" s="158" t="str">
        <f>IFERROR(IF(ISNUMBER(MATCH(F190,'OLD DATA'!H:H, 0)), "On OLD Data", "Not In Old Data"),"")</f>
        <v>On OLD Data</v>
      </c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</row>
    <row r="191">
      <c r="A191" s="207">
        <f>IFERROR(__xludf.DUMMYFUNCTION("""COMPUTED_VALUE"""),46174.0)</f>
        <v>46174</v>
      </c>
      <c r="B191" s="158" t="str">
        <f>IFERROR(__xludf.DUMMYFUNCTION("""COMPUTED_VALUE"""),"GOAT")</f>
        <v>GOAT</v>
      </c>
      <c r="C191" s="158" t="str">
        <f>IFERROR(__xludf.DUMMYFUNCTION("""COMPUTED_VALUE"""),"Made Intan Deyana Wirata")</f>
        <v>Made Intan Deyana Wirata</v>
      </c>
      <c r="D191" s="158" t="str">
        <f>IFERROR(__xludf.DUMMYFUNCTION("""COMPUTED_VALUE"""),"Akbari")</f>
        <v>Akbari</v>
      </c>
      <c r="E191" s="160" t="str">
        <f>IFERROR(__xludf.DUMMYFUNCTION("""COMPUTED_VALUE"""),"ASTERIXA ABIGAIL +62 821-1397-6882")</f>
        <v>ASTERIXA ABIGAIL +62 821-1397-6882</v>
      </c>
      <c r="F191" s="158" t="str">
        <f>IFERROR(__xludf.DUMMYFUNCTION("""COMPUTED_VALUE"""),"RF7YAM6FB43RTB")</f>
        <v>RF7YAM6FB43RTB</v>
      </c>
      <c r="G191" s="158" t="str">
        <f>IFERROR(__xludf.DUMMYFUNCTION("""COMPUTED_VALUE"""),"EP-T2510NWEGWW")</f>
        <v>EP-T2510NWEGWW</v>
      </c>
      <c r="H191" s="160" t="str">
        <f>IFERROR(__xludf.DUMMYFUNCTION("""COMPUTED_VALUE"""),"ACC HHP,CHARGER (MOBILE),E: ENG,UNIT")</f>
        <v>ACC HHP,CHARGER (MOBILE),E: ENG,UNIT</v>
      </c>
      <c r="I191" s="208">
        <f>IFERROR(__xludf.DUMMYFUNCTION("""COMPUTED_VALUE"""),46203.0)</f>
        <v>46203</v>
      </c>
      <c r="J191" s="158">
        <f>IFERROR(__xludf.DUMMYFUNCTION("""COMPUTED_VALUE"""),-122.0)</f>
        <v>-122</v>
      </c>
      <c r="K191" s="160"/>
      <c r="L191" s="158" t="str">
        <f>IFERROR(__xludf.DUMMYFUNCTION("""COMPUTED_VALUE"""),"Not Overdue")</f>
        <v>Not Overdue</v>
      </c>
      <c r="M191" s="158"/>
      <c r="N191" s="158"/>
      <c r="O191" s="158"/>
      <c r="P191" s="158" t="str">
        <f>IFERROR(IF(ISNUMBER(MATCH(F191,'Step 1 Data Bank'!E:E, 0)), "On Data Bank", "Not In Data Bank"),"")</f>
        <v>Not In Data Bank</v>
      </c>
      <c r="Q191" s="158" t="str">
        <f t="array" ref="Q191">XLOOKUP(F191,'Step 1 Data Bank'!E:E,'Step 1 Data Bank'!M:M,"",0)</f>
        <v/>
      </c>
      <c r="R191" s="160" t="str">
        <f t="array" ref="R191">XLOOKUP(F191,'Step 1 Data Bank'!E:E,'Step 1 Data Bank'!N:N,"",0)</f>
        <v/>
      </c>
      <c r="S191" s="158" t="str">
        <f>IFERROR(IF(ISNUMBER(MATCH(F191,'OLD DATA'!H:H, 0)), "On OLD Data", "Not In Old Data"),"")</f>
        <v>On OLD Data</v>
      </c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</row>
    <row r="192">
      <c r="A192" s="207">
        <f>IFERROR(__xludf.DUMMYFUNCTION("""COMPUTED_VALUE"""),46174.0)</f>
        <v>46174</v>
      </c>
      <c r="B192" s="158" t="str">
        <f>IFERROR(__xludf.DUMMYFUNCTION("""COMPUTED_VALUE"""),"GOAT")</f>
        <v>GOAT</v>
      </c>
      <c r="C192" s="158" t="str">
        <f>IFERROR(__xludf.DUMMYFUNCTION("""COMPUTED_VALUE"""),"Made Intan Deyana Wirata")</f>
        <v>Made Intan Deyana Wirata</v>
      </c>
      <c r="D192" s="158" t="str">
        <f>IFERROR(__xludf.DUMMYFUNCTION("""COMPUTED_VALUE"""),"Akbari")</f>
        <v>Akbari</v>
      </c>
      <c r="E192" s="160" t="str">
        <f>IFERROR(__xludf.DUMMYFUNCTION("""COMPUTED_VALUE"""),"ASTERIXA ABIGAIL +62 821-1397-6882")</f>
        <v>ASTERIXA ABIGAIL +62 821-1397-6882</v>
      </c>
      <c r="F192" s="158" t="str">
        <f>IFERROR(__xludf.DUMMYFUNCTION("""COMPUTED_VALUE"""),"RF7YAQ1QF53RTB")</f>
        <v>RF7YAQ1QF53RTB</v>
      </c>
      <c r="G192" s="158" t="str">
        <f>IFERROR(__xludf.DUMMYFUNCTION("""COMPUTED_VALUE"""),"EP-T2510NWEGWW")</f>
        <v>EP-T2510NWEGWW</v>
      </c>
      <c r="H192" s="160" t="str">
        <f>IFERROR(__xludf.DUMMYFUNCTION("""COMPUTED_VALUE"""),"ACC HHP,CHARGER (MOBILE),E: ENG,UNIT")</f>
        <v>ACC HHP,CHARGER (MOBILE),E: ENG,UNIT</v>
      </c>
      <c r="I192" s="208">
        <f>IFERROR(__xludf.DUMMYFUNCTION("""COMPUTED_VALUE"""),46203.0)</f>
        <v>46203</v>
      </c>
      <c r="J192" s="158">
        <f>IFERROR(__xludf.DUMMYFUNCTION("""COMPUTED_VALUE"""),-122.0)</f>
        <v>-122</v>
      </c>
      <c r="K192" s="160"/>
      <c r="L192" s="158" t="str">
        <f>IFERROR(__xludf.DUMMYFUNCTION("""COMPUTED_VALUE"""),"Not Overdue")</f>
        <v>Not Overdue</v>
      </c>
      <c r="M192" s="158"/>
      <c r="N192" s="158"/>
      <c r="O192" s="158"/>
      <c r="P192" s="158" t="str">
        <f>IFERROR(IF(ISNUMBER(MATCH(F192,'Step 1 Data Bank'!E:E, 0)), "On Data Bank", "Not In Data Bank"),"")</f>
        <v>On Data Bank</v>
      </c>
      <c r="Q192" s="158" t="str">
        <f t="array" ref="Q192">XLOOKUP(F192,'Step 1 Data Bank'!E:E,'Step 1 Data Bank'!M:M,"",0)</f>
        <v>LOANED / ON KOL</v>
      </c>
      <c r="R192" s="160" t="str">
        <f t="array" ref="R192">XLOOKUP(F192,'Step 1 Data Bank'!E:E,'Step 1 Data Bank'!N:N,"",0)</f>
        <v>amorita lukprina</v>
      </c>
      <c r="S192" s="158" t="str">
        <f>IFERROR(IF(ISNUMBER(MATCH(F192,'OLD DATA'!H:H, 0)), "On OLD Data", "Not In Old Data"),"")</f>
        <v>On OLD Data</v>
      </c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</row>
    <row r="193">
      <c r="A193" s="207">
        <f>IFERROR(__xludf.DUMMYFUNCTION("""COMPUTED_VALUE"""),46174.0)</f>
        <v>46174</v>
      </c>
      <c r="B193" s="158" t="str">
        <f>IFERROR(__xludf.DUMMYFUNCTION("""COMPUTED_VALUE"""),"GOAT")</f>
        <v>GOAT</v>
      </c>
      <c r="C193" s="158" t="str">
        <f>IFERROR(__xludf.DUMMYFUNCTION("""COMPUTED_VALUE"""),"Made Intan Deyana Wirata")</f>
        <v>Made Intan Deyana Wirata</v>
      </c>
      <c r="D193" s="158" t="str">
        <f>IFERROR(__xludf.DUMMYFUNCTION("""COMPUTED_VALUE"""),"Akbari")</f>
        <v>Akbari</v>
      </c>
      <c r="E193" s="160" t="str">
        <f>IFERROR(__xludf.DUMMYFUNCTION("""COMPUTED_VALUE"""),"ASTERIXA ABIGAIL +62 821-1397-6882")</f>
        <v>ASTERIXA ABIGAIL +62 821-1397-6882</v>
      </c>
      <c r="F193" s="158" t="str">
        <f>IFERROR(__xludf.DUMMYFUNCTION("""COMPUTED_VALUE"""),"RF7YAQ12GD3RTB")</f>
        <v>RF7YAQ12GD3RTB</v>
      </c>
      <c r="G193" s="158" t="str">
        <f>IFERROR(__xludf.DUMMYFUNCTION("""COMPUTED_VALUE"""),"EP-T2510NWEGWW")</f>
        <v>EP-T2510NWEGWW</v>
      </c>
      <c r="H193" s="160" t="str">
        <f>IFERROR(__xludf.DUMMYFUNCTION("""COMPUTED_VALUE"""),"ACC HHP,CHARGER (MOBILE),E: ENG,UNIT")</f>
        <v>ACC HHP,CHARGER (MOBILE),E: ENG,UNIT</v>
      </c>
      <c r="I193" s="208">
        <f>IFERROR(__xludf.DUMMYFUNCTION("""COMPUTED_VALUE"""),46203.0)</f>
        <v>46203</v>
      </c>
      <c r="J193" s="158">
        <f>IFERROR(__xludf.DUMMYFUNCTION("""COMPUTED_VALUE"""),-122.0)</f>
        <v>-122</v>
      </c>
      <c r="K193" s="160"/>
      <c r="L193" s="158" t="str">
        <f>IFERROR(__xludf.DUMMYFUNCTION("""COMPUTED_VALUE"""),"Not Overdue")</f>
        <v>Not Overdue</v>
      </c>
      <c r="M193" s="158"/>
      <c r="N193" s="158"/>
      <c r="O193" s="158"/>
      <c r="P193" s="158" t="str">
        <f>IFERROR(IF(ISNUMBER(MATCH(F193,'Step 1 Data Bank'!E:E, 0)), "On Data Bank", "Not In Data Bank"),"")</f>
        <v>Not In Data Bank</v>
      </c>
      <c r="Q193" s="158" t="str">
        <f t="array" ref="Q193">XLOOKUP(F193,'Step 1 Data Bank'!E:E,'Step 1 Data Bank'!M:M,"",0)</f>
        <v/>
      </c>
      <c r="R193" s="160" t="str">
        <f t="array" ref="R193">XLOOKUP(F193,'Step 1 Data Bank'!E:E,'Step 1 Data Bank'!N:N,"",0)</f>
        <v/>
      </c>
      <c r="S193" s="158" t="str">
        <f>IFERROR(IF(ISNUMBER(MATCH(F193,'OLD DATA'!H:H, 0)), "On OLD Data", "Not In Old Data"),"")</f>
        <v>On OLD Data</v>
      </c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</row>
    <row r="194">
      <c r="A194" s="207">
        <f>IFERROR(__xludf.DUMMYFUNCTION("""COMPUTED_VALUE"""),46174.0)</f>
        <v>46174</v>
      </c>
      <c r="B194" s="158" t="str">
        <f>IFERROR(__xludf.DUMMYFUNCTION("""COMPUTED_VALUE"""),"GOAT")</f>
        <v>GOAT</v>
      </c>
      <c r="C194" s="158" t="str">
        <f>IFERROR(__xludf.DUMMYFUNCTION("""COMPUTED_VALUE"""),"Made Intan Deyana Wirata")</f>
        <v>Made Intan Deyana Wirata</v>
      </c>
      <c r="D194" s="158" t="str">
        <f>IFERROR(__xludf.DUMMYFUNCTION("""COMPUTED_VALUE"""),"Akbari")</f>
        <v>Akbari</v>
      </c>
      <c r="E194" s="160" t="str">
        <f>IFERROR(__xludf.DUMMYFUNCTION("""COMPUTED_VALUE"""),"ASTERIXA ABIGAIL +62 821-1397-6882")</f>
        <v>ASTERIXA ABIGAIL +62 821-1397-6882</v>
      </c>
      <c r="F194" s="158" t="str">
        <f>IFERROR(__xludf.DUMMYFUNCTION("""COMPUTED_VALUE"""),"RF7YAQ1CV83RTB")</f>
        <v>RF7YAQ1CV83RTB</v>
      </c>
      <c r="G194" s="158" t="str">
        <f>IFERROR(__xludf.DUMMYFUNCTION("""COMPUTED_VALUE"""),"EP-T2510NWEGWW")</f>
        <v>EP-T2510NWEGWW</v>
      </c>
      <c r="H194" s="160" t="str">
        <f>IFERROR(__xludf.DUMMYFUNCTION("""COMPUTED_VALUE"""),"ACC HHP,CHARGER (MOBILE),E: ENG,UNIT")</f>
        <v>ACC HHP,CHARGER (MOBILE),E: ENG,UNIT</v>
      </c>
      <c r="I194" s="208">
        <f>IFERROR(__xludf.DUMMYFUNCTION("""COMPUTED_VALUE"""),46203.0)</f>
        <v>46203</v>
      </c>
      <c r="J194" s="158">
        <f>IFERROR(__xludf.DUMMYFUNCTION("""COMPUTED_VALUE"""),-122.0)</f>
        <v>-122</v>
      </c>
      <c r="K194" s="160"/>
      <c r="L194" s="158" t="str">
        <f>IFERROR(__xludf.DUMMYFUNCTION("""COMPUTED_VALUE"""),"Not Overdue")</f>
        <v>Not Overdue</v>
      </c>
      <c r="M194" s="158"/>
      <c r="N194" s="158"/>
      <c r="O194" s="158"/>
      <c r="P194" s="158" t="str">
        <f>IFERROR(IF(ISNUMBER(MATCH(F194,'Step 1 Data Bank'!E:E, 0)), "On Data Bank", "Not In Data Bank"),"")</f>
        <v>Not In Data Bank</v>
      </c>
      <c r="Q194" s="158" t="str">
        <f t="array" ref="Q194">XLOOKUP(F194,'Step 1 Data Bank'!E:E,'Step 1 Data Bank'!M:M,"",0)</f>
        <v/>
      </c>
      <c r="R194" s="160" t="str">
        <f t="array" ref="R194">XLOOKUP(F194,'Step 1 Data Bank'!E:E,'Step 1 Data Bank'!N:N,"",0)</f>
        <v/>
      </c>
      <c r="S194" s="158" t="str">
        <f>IFERROR(IF(ISNUMBER(MATCH(F194,'OLD DATA'!H:H, 0)), "On OLD Data", "Not In Old Data"),"")</f>
        <v>On OLD Data</v>
      </c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</row>
    <row r="195">
      <c r="A195" s="207">
        <f>IFERROR(__xludf.DUMMYFUNCTION("""COMPUTED_VALUE"""),46174.0)</f>
        <v>46174</v>
      </c>
      <c r="B195" s="158" t="str">
        <f>IFERROR(__xludf.DUMMYFUNCTION("""COMPUTED_VALUE"""),"GOAT")</f>
        <v>GOAT</v>
      </c>
      <c r="C195" s="158" t="str">
        <f>IFERROR(__xludf.DUMMYFUNCTION("""COMPUTED_VALUE"""),"Made Intan Deyana Wirata")</f>
        <v>Made Intan Deyana Wirata</v>
      </c>
      <c r="D195" s="158" t="str">
        <f>IFERROR(__xludf.DUMMYFUNCTION("""COMPUTED_VALUE"""),"Akbari")</f>
        <v>Akbari</v>
      </c>
      <c r="E195" s="160" t="str">
        <f>IFERROR(__xludf.DUMMYFUNCTION("""COMPUTED_VALUE"""),"ASTERIXA ABIGAIL +62 821-1397-6882")</f>
        <v>ASTERIXA ABIGAIL +62 821-1397-6882</v>
      </c>
      <c r="F195" s="158" t="str">
        <f>IFERROR(__xludf.DUMMYFUNCTION("""COMPUTED_VALUE"""),"RF7YAM62R93RTB")</f>
        <v>RF7YAM62R93RTB</v>
      </c>
      <c r="G195" s="158" t="str">
        <f>IFERROR(__xludf.DUMMYFUNCTION("""COMPUTED_VALUE"""),"EP-T2510NWEGWW")</f>
        <v>EP-T2510NWEGWW</v>
      </c>
      <c r="H195" s="160" t="str">
        <f>IFERROR(__xludf.DUMMYFUNCTION("""COMPUTED_VALUE"""),"ACC HHP,CHARGER (MOBILE),E: ENG,UNIT")</f>
        <v>ACC HHP,CHARGER (MOBILE),E: ENG,UNIT</v>
      </c>
      <c r="I195" s="208">
        <f>IFERROR(__xludf.DUMMYFUNCTION("""COMPUTED_VALUE"""),46203.0)</f>
        <v>46203</v>
      </c>
      <c r="J195" s="158">
        <f>IFERROR(__xludf.DUMMYFUNCTION("""COMPUTED_VALUE"""),-122.0)</f>
        <v>-122</v>
      </c>
      <c r="K195" s="160"/>
      <c r="L195" s="158" t="str">
        <f>IFERROR(__xludf.DUMMYFUNCTION("""COMPUTED_VALUE"""),"Not Overdue")</f>
        <v>Not Overdue</v>
      </c>
      <c r="M195" s="158"/>
      <c r="N195" s="158"/>
      <c r="O195" s="158"/>
      <c r="P195" s="158" t="str">
        <f>IFERROR(IF(ISNUMBER(MATCH(F195,'Step 1 Data Bank'!E:E, 0)), "On Data Bank", "Not In Data Bank"),"")</f>
        <v>On Data Bank</v>
      </c>
      <c r="Q195" s="158" t="str">
        <f t="array" ref="Q195">XLOOKUP(F195,'Step 1 Data Bank'!E:E,'Step 1 Data Bank'!M:M,"",0)</f>
        <v>LOANED / ON KOL</v>
      </c>
      <c r="R195" s="160" t="str">
        <f t="array" ref="R195">XLOOKUP(F195,'Step 1 Data Bank'!E:E,'Step 1 Data Bank'!N:N,"",0)</f>
        <v>Nungky</v>
      </c>
      <c r="S195" s="158" t="str">
        <f>IFERROR(IF(ISNUMBER(MATCH(F195,'OLD DATA'!H:H, 0)), "On OLD Data", "Not In Old Data"),"")</f>
        <v>On OLD Data</v>
      </c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</row>
    <row r="196">
      <c r="A196" s="207">
        <f>IFERROR(__xludf.DUMMYFUNCTION("""COMPUTED_VALUE"""),46174.0)</f>
        <v>46174</v>
      </c>
      <c r="B196" s="158" t="str">
        <f>IFERROR(__xludf.DUMMYFUNCTION("""COMPUTED_VALUE"""),"GOAT")</f>
        <v>GOAT</v>
      </c>
      <c r="C196" s="158" t="str">
        <f>IFERROR(__xludf.DUMMYFUNCTION("""COMPUTED_VALUE"""),"Made Intan Deyana Wirata")</f>
        <v>Made Intan Deyana Wirata</v>
      </c>
      <c r="D196" s="158" t="str">
        <f>IFERROR(__xludf.DUMMYFUNCTION("""COMPUTED_VALUE"""),"Akbari")</f>
        <v>Akbari</v>
      </c>
      <c r="E196" s="160" t="str">
        <f>IFERROR(__xludf.DUMMYFUNCTION("""COMPUTED_VALUE"""),"ASTERIXA ABIGAIL +62 821-1397-6882")</f>
        <v>ASTERIXA ABIGAIL +62 821-1397-6882</v>
      </c>
      <c r="F196" s="158" t="str">
        <f>IFERROR(__xludf.DUMMYFUNCTION("""COMPUTED_VALUE"""),"RF7YAQ1C783RTB")</f>
        <v>RF7YAQ1C783RTB</v>
      </c>
      <c r="G196" s="158" t="str">
        <f>IFERROR(__xludf.DUMMYFUNCTION("""COMPUTED_VALUE"""),"EP-T2510NWEGWW")</f>
        <v>EP-T2510NWEGWW</v>
      </c>
      <c r="H196" s="160" t="str">
        <f>IFERROR(__xludf.DUMMYFUNCTION("""COMPUTED_VALUE"""),"ACC HHP,CHARGER (MOBILE),E: ENG,UNIT")</f>
        <v>ACC HHP,CHARGER (MOBILE),E: ENG,UNIT</v>
      </c>
      <c r="I196" s="208">
        <f>IFERROR(__xludf.DUMMYFUNCTION("""COMPUTED_VALUE"""),46203.0)</f>
        <v>46203</v>
      </c>
      <c r="J196" s="158">
        <f>IFERROR(__xludf.DUMMYFUNCTION("""COMPUTED_VALUE"""),-122.0)</f>
        <v>-122</v>
      </c>
      <c r="K196" s="160"/>
      <c r="L196" s="158" t="str">
        <f>IFERROR(__xludf.DUMMYFUNCTION("""COMPUTED_VALUE"""),"Not Overdue")</f>
        <v>Not Overdue</v>
      </c>
      <c r="M196" s="158"/>
      <c r="N196" s="158"/>
      <c r="O196" s="158"/>
      <c r="P196" s="158" t="str">
        <f>IFERROR(IF(ISNUMBER(MATCH(F196,'Step 1 Data Bank'!E:E, 0)), "On Data Bank", "Not In Data Bank"),"")</f>
        <v>Not In Data Bank</v>
      </c>
      <c r="Q196" s="158" t="str">
        <f t="array" ref="Q196">XLOOKUP(F196,'Step 1 Data Bank'!E:E,'Step 1 Data Bank'!M:M,"",0)</f>
        <v/>
      </c>
      <c r="R196" s="160" t="str">
        <f t="array" ref="R196">XLOOKUP(F196,'Step 1 Data Bank'!E:E,'Step 1 Data Bank'!N:N,"",0)</f>
        <v/>
      </c>
      <c r="S196" s="158" t="str">
        <f>IFERROR(IF(ISNUMBER(MATCH(F196,'OLD DATA'!H:H, 0)), "On OLD Data", "Not In Old Data"),"")</f>
        <v>On OLD Data</v>
      </c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</row>
    <row r="197">
      <c r="A197" s="207">
        <f>IFERROR(__xludf.DUMMYFUNCTION("""COMPUTED_VALUE"""),46174.0)</f>
        <v>46174</v>
      </c>
      <c r="B197" s="158" t="str">
        <f>IFERROR(__xludf.DUMMYFUNCTION("""COMPUTED_VALUE"""),"GOAT")</f>
        <v>GOAT</v>
      </c>
      <c r="C197" s="158" t="str">
        <f>IFERROR(__xludf.DUMMYFUNCTION("""COMPUTED_VALUE"""),"Made Intan Deyana Wirata")</f>
        <v>Made Intan Deyana Wirata</v>
      </c>
      <c r="D197" s="158" t="str">
        <f>IFERROR(__xludf.DUMMYFUNCTION("""COMPUTED_VALUE"""),"Akbari")</f>
        <v>Akbari</v>
      </c>
      <c r="E197" s="160" t="str">
        <f>IFERROR(__xludf.DUMMYFUNCTION("""COMPUTED_VALUE"""),"ASTERIXA ABIGAIL +62 821-1397-6882")</f>
        <v>ASTERIXA ABIGAIL +62 821-1397-6882</v>
      </c>
      <c r="F197" s="158" t="str">
        <f>IFERROR(__xludf.DUMMYFUNCTION("""COMPUTED_VALUE"""),"RF7YAQ1DWW3RTB")</f>
        <v>RF7YAQ1DWW3RTB</v>
      </c>
      <c r="G197" s="158" t="str">
        <f>IFERROR(__xludf.DUMMYFUNCTION("""COMPUTED_VALUE"""),"EP-T2510NWEGWW")</f>
        <v>EP-T2510NWEGWW</v>
      </c>
      <c r="H197" s="160" t="str">
        <f>IFERROR(__xludf.DUMMYFUNCTION("""COMPUTED_VALUE"""),"ACC HHP,CHARGER (MOBILE),E: ENG,UNIT")</f>
        <v>ACC HHP,CHARGER (MOBILE),E: ENG,UNIT</v>
      </c>
      <c r="I197" s="208">
        <f>IFERROR(__xludf.DUMMYFUNCTION("""COMPUTED_VALUE"""),46203.0)</f>
        <v>46203</v>
      </c>
      <c r="J197" s="158">
        <f>IFERROR(__xludf.DUMMYFUNCTION("""COMPUTED_VALUE"""),-122.0)</f>
        <v>-122</v>
      </c>
      <c r="K197" s="160"/>
      <c r="L197" s="158" t="str">
        <f>IFERROR(__xludf.DUMMYFUNCTION("""COMPUTED_VALUE"""),"Not Overdue")</f>
        <v>Not Overdue</v>
      </c>
      <c r="M197" s="158"/>
      <c r="N197" s="158"/>
      <c r="O197" s="158"/>
      <c r="P197" s="158" t="str">
        <f>IFERROR(IF(ISNUMBER(MATCH(F197,'Step 1 Data Bank'!E:E, 0)), "On Data Bank", "Not In Data Bank"),"")</f>
        <v>On Data Bank</v>
      </c>
      <c r="Q197" s="158" t="str">
        <f t="array" ref="Q197">XLOOKUP(F197,'Step 1 Data Bank'!E:E,'Step 1 Data Bank'!M:M,"",0)</f>
        <v>AVAILABLE</v>
      </c>
      <c r="R197" s="160" t="str">
        <f t="array" ref="R197">XLOOKUP(F197,'Step 1 Data Bank'!E:E,'Step 1 Data Bank'!N:N,"",0)</f>
        <v>-</v>
      </c>
      <c r="S197" s="158" t="str">
        <f>IFERROR(IF(ISNUMBER(MATCH(F197,'OLD DATA'!H:H, 0)), "On OLD Data", "Not In Old Data"),"")</f>
        <v>On OLD Data</v>
      </c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</row>
    <row r="198">
      <c r="A198" s="207">
        <f>IFERROR(__xludf.DUMMYFUNCTION("""COMPUTED_VALUE"""),46174.0)</f>
        <v>46174</v>
      </c>
      <c r="B198" s="158" t="str">
        <f>IFERROR(__xludf.DUMMYFUNCTION("""COMPUTED_VALUE"""),"GOAT")</f>
        <v>GOAT</v>
      </c>
      <c r="C198" s="158" t="str">
        <f>IFERROR(__xludf.DUMMYFUNCTION("""COMPUTED_VALUE"""),"Made Intan Deyana Wirata")</f>
        <v>Made Intan Deyana Wirata</v>
      </c>
      <c r="D198" s="158" t="str">
        <f>IFERROR(__xludf.DUMMYFUNCTION("""COMPUTED_VALUE"""),"Akbari")</f>
        <v>Akbari</v>
      </c>
      <c r="E198" s="160" t="str">
        <f>IFERROR(__xludf.DUMMYFUNCTION("""COMPUTED_VALUE"""),"ASTERIXA ABIGAIL +62 821-1397-6882")</f>
        <v>ASTERIXA ABIGAIL +62 821-1397-6882</v>
      </c>
      <c r="F198" s="158" t="str">
        <f>IFERROR(__xludf.DUMMYFUNCTION("""COMPUTED_VALUE"""),"RF7YAQ1DJD3RTB")</f>
        <v>RF7YAQ1DJD3RTB</v>
      </c>
      <c r="G198" s="158" t="str">
        <f>IFERROR(__xludf.DUMMYFUNCTION("""COMPUTED_VALUE"""),"EP-T2510NWEGWW")</f>
        <v>EP-T2510NWEGWW</v>
      </c>
      <c r="H198" s="160" t="str">
        <f>IFERROR(__xludf.DUMMYFUNCTION("""COMPUTED_VALUE"""),"ACC HHP,CHARGER (MOBILE),E: ENG,UNIT")</f>
        <v>ACC HHP,CHARGER (MOBILE),E: ENG,UNIT</v>
      </c>
      <c r="I198" s="208">
        <f>IFERROR(__xludf.DUMMYFUNCTION("""COMPUTED_VALUE"""),46203.0)</f>
        <v>46203</v>
      </c>
      <c r="J198" s="158">
        <f>IFERROR(__xludf.DUMMYFUNCTION("""COMPUTED_VALUE"""),-122.0)</f>
        <v>-122</v>
      </c>
      <c r="K198" s="160"/>
      <c r="L198" s="158" t="str">
        <f>IFERROR(__xludf.DUMMYFUNCTION("""COMPUTED_VALUE"""),"Not Overdue")</f>
        <v>Not Overdue</v>
      </c>
      <c r="M198" s="158"/>
      <c r="N198" s="158"/>
      <c r="O198" s="158"/>
      <c r="P198" s="158" t="str">
        <f>IFERROR(IF(ISNUMBER(MATCH(F198,'Step 1 Data Bank'!E:E, 0)), "On Data Bank", "Not In Data Bank"),"")</f>
        <v>On Data Bank</v>
      </c>
      <c r="Q198" s="158" t="str">
        <f t="array" ref="Q198">XLOOKUP(F198,'Step 1 Data Bank'!E:E,'Step 1 Data Bank'!M:M,"",0)</f>
        <v>LOANED / ON KOL</v>
      </c>
      <c r="R198" s="160" t="str">
        <f t="array" ref="R198">XLOOKUP(F198,'Step 1 Data Bank'!E:E,'Step 1 Data Bank'!N:N,"",0)</f>
        <v>melinda aristya</v>
      </c>
      <c r="S198" s="158" t="str">
        <f>IFERROR(IF(ISNUMBER(MATCH(F198,'OLD DATA'!H:H, 0)), "On OLD Data", "Not In Old Data"),"")</f>
        <v>On OLD Data</v>
      </c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</row>
    <row r="199">
      <c r="A199" s="207">
        <f>IFERROR(__xludf.DUMMYFUNCTION("""COMPUTED_VALUE"""),46174.0)</f>
        <v>46174</v>
      </c>
      <c r="B199" s="158" t="str">
        <f>IFERROR(__xludf.DUMMYFUNCTION("""COMPUTED_VALUE"""),"GOAT")</f>
        <v>GOAT</v>
      </c>
      <c r="C199" s="158" t="str">
        <f>IFERROR(__xludf.DUMMYFUNCTION("""COMPUTED_VALUE"""),"Made Intan Deyana Wirata")</f>
        <v>Made Intan Deyana Wirata</v>
      </c>
      <c r="D199" s="158" t="str">
        <f>IFERROR(__xludf.DUMMYFUNCTION("""COMPUTED_VALUE"""),"Yaya")</f>
        <v>Yaya</v>
      </c>
      <c r="E199" s="160" t="str">
        <f>IFERROR(__xludf.DUMMYFUNCTION("""COMPUTED_VALUE"""),"ASTERIXA ABIGAIL +62 821-1397-6882")</f>
        <v>ASTERIXA ABIGAIL +62 821-1397-6882</v>
      </c>
      <c r="F199" s="158" t="str">
        <f>IFERROR(__xludf.DUMMYFUNCTION("""COMPUTED_VALUE"""),"RF7L106VRMYL")</f>
        <v>RF7L106VRMYL</v>
      </c>
      <c r="G199" s="158" t="str">
        <f>IFERROR(__xludf.DUMMYFUNCTION("""COMPUTED_VALUE"""),"S-SM-R640NZWAXAR")</f>
        <v>S-SM-R640NZWAXAR</v>
      </c>
      <c r="H199" s="160" t="str">
        <f>IFERROR(__xludf.DUMMYFUNCTION("""COMPUTED_VALUE"""),"G-BUDS4-PRO, WHITE (2026)")</f>
        <v>G-BUDS4-PRO, WHITE (2026)</v>
      </c>
      <c r="I199" s="208">
        <f>IFERROR(__xludf.DUMMYFUNCTION("""COMPUTED_VALUE"""),46203.0)</f>
        <v>46203</v>
      </c>
      <c r="J199" s="158">
        <f>IFERROR(__xludf.DUMMYFUNCTION("""COMPUTED_VALUE"""),-122.0)</f>
        <v>-122</v>
      </c>
      <c r="K199" s="160"/>
      <c r="L199" s="158" t="str">
        <f>IFERROR(__xludf.DUMMYFUNCTION("""COMPUTED_VALUE"""),"Not Overdue")</f>
        <v>Not Overdue</v>
      </c>
      <c r="M199" s="158"/>
      <c r="N199" s="158"/>
      <c r="O199" s="158"/>
      <c r="P199" s="158" t="str">
        <f>IFERROR(IF(ISNUMBER(MATCH(F199,'Step 1 Data Bank'!E:E, 0)), "On Data Bank", "Not In Data Bank"),"")</f>
        <v>Not In Data Bank</v>
      </c>
      <c r="Q199" s="158" t="str">
        <f t="array" ref="Q199">XLOOKUP(F199,'Step 1 Data Bank'!E:E,'Step 1 Data Bank'!M:M,"",0)</f>
        <v/>
      </c>
      <c r="R199" s="160" t="str">
        <f t="array" ref="R199">XLOOKUP(F199,'Step 1 Data Bank'!E:E,'Step 1 Data Bank'!N:N,"",0)</f>
        <v/>
      </c>
      <c r="S199" s="158" t="str">
        <f>IFERROR(IF(ISNUMBER(MATCH(F199,'OLD DATA'!H:H, 0)), "On OLD Data", "Not In Old Data"),"")</f>
        <v>Not In Old Data</v>
      </c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</row>
    <row r="200">
      <c r="A200" s="207">
        <f>IFERROR(__xludf.DUMMYFUNCTION("""COMPUTED_VALUE"""),46174.0)</f>
        <v>46174</v>
      </c>
      <c r="B200" s="158" t="str">
        <f>IFERROR(__xludf.DUMMYFUNCTION("""COMPUTED_VALUE"""),"GOAT")</f>
        <v>GOAT</v>
      </c>
      <c r="C200" s="158" t="str">
        <f>IFERROR(__xludf.DUMMYFUNCTION("""COMPUTED_VALUE"""),"Made Intan Deyana Wirata")</f>
        <v>Made Intan Deyana Wirata</v>
      </c>
      <c r="D200" s="158" t="str">
        <f>IFERROR(__xludf.DUMMYFUNCTION("""COMPUTED_VALUE"""),"Yaya")</f>
        <v>Yaya</v>
      </c>
      <c r="E200" s="160" t="str">
        <f>IFERROR(__xludf.DUMMYFUNCTION("""COMPUTED_VALUE"""),"ASTERIXA ABIGAIL +62 821-1397-6882")</f>
        <v>ASTERIXA ABIGAIL +62 821-1397-6882</v>
      </c>
      <c r="F200" s="158" t="str">
        <f>IFERROR(__xludf.DUMMYFUNCTION("""COMPUTED_VALUE"""),"RF7L106VRMYR")</f>
        <v>RF7L106VRMYR</v>
      </c>
      <c r="G200" s="158" t="str">
        <f>IFERROR(__xludf.DUMMYFUNCTION("""COMPUTED_VALUE"""),"S-SM-R640NZWAXAR")</f>
        <v>S-SM-R640NZWAXAR</v>
      </c>
      <c r="H200" s="160" t="str">
        <f>IFERROR(__xludf.DUMMYFUNCTION("""COMPUTED_VALUE"""),"G-BUDS4-PRO, WHITE (2026)")</f>
        <v>G-BUDS4-PRO, WHITE (2026)</v>
      </c>
      <c r="I200" s="208">
        <f>IFERROR(__xludf.DUMMYFUNCTION("""COMPUTED_VALUE"""),46203.0)</f>
        <v>46203</v>
      </c>
      <c r="J200" s="158">
        <f>IFERROR(__xludf.DUMMYFUNCTION("""COMPUTED_VALUE"""),-122.0)</f>
        <v>-122</v>
      </c>
      <c r="K200" s="160"/>
      <c r="L200" s="158" t="str">
        <f>IFERROR(__xludf.DUMMYFUNCTION("""COMPUTED_VALUE"""),"Not Overdue")</f>
        <v>Not Overdue</v>
      </c>
      <c r="M200" s="158"/>
      <c r="N200" s="158"/>
      <c r="O200" s="158"/>
      <c r="P200" s="158" t="str">
        <f>IFERROR(IF(ISNUMBER(MATCH(F200,'Step 1 Data Bank'!E:E, 0)), "On Data Bank", "Not In Data Bank"),"")</f>
        <v>Not In Data Bank</v>
      </c>
      <c r="Q200" s="158" t="str">
        <f t="array" ref="Q200">XLOOKUP(F200,'Step 1 Data Bank'!E:E,'Step 1 Data Bank'!M:M,"",0)</f>
        <v/>
      </c>
      <c r="R200" s="160" t="str">
        <f t="array" ref="R200">XLOOKUP(F200,'Step 1 Data Bank'!E:E,'Step 1 Data Bank'!N:N,"",0)</f>
        <v/>
      </c>
      <c r="S200" s="158" t="str">
        <f>IFERROR(IF(ISNUMBER(MATCH(F200,'OLD DATA'!H:H, 0)), "On OLD Data", "Not In Old Data"),"")</f>
        <v>Not In Old Data</v>
      </c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</row>
    <row r="201">
      <c r="A201" s="207">
        <f>IFERROR(__xludf.DUMMYFUNCTION("""COMPUTED_VALUE"""),46174.0)</f>
        <v>46174</v>
      </c>
      <c r="B201" s="158" t="str">
        <f>IFERROR(__xludf.DUMMYFUNCTION("""COMPUTED_VALUE"""),"GOAT")</f>
        <v>GOAT</v>
      </c>
      <c r="C201" s="158" t="str">
        <f>IFERROR(__xludf.DUMMYFUNCTION("""COMPUTED_VALUE"""),"Made Intan Deyana Wirata")</f>
        <v>Made Intan Deyana Wirata</v>
      </c>
      <c r="D201" s="158" t="str">
        <f>IFERROR(__xludf.DUMMYFUNCTION("""COMPUTED_VALUE"""),"Yaya")</f>
        <v>Yaya</v>
      </c>
      <c r="E201" s="160" t="str">
        <f>IFERROR(__xludf.DUMMYFUNCTION("""COMPUTED_VALUE"""),"ASTERIXA ABIGAIL +62 821-1397-6882")</f>
        <v>ASTERIXA ABIGAIL +62 821-1397-6882</v>
      </c>
      <c r="F201" s="158" t="str">
        <f>IFERROR(__xludf.DUMMYFUNCTION("""COMPUTED_VALUE"""),"RF7L106VRRNL")</f>
        <v>RF7L106VRRNL</v>
      </c>
      <c r="G201" s="158" t="str">
        <f>IFERROR(__xludf.DUMMYFUNCTION("""COMPUTED_VALUE"""),"S-SM-R640NZWAXAR")</f>
        <v>S-SM-R640NZWAXAR</v>
      </c>
      <c r="H201" s="160" t="str">
        <f>IFERROR(__xludf.DUMMYFUNCTION("""COMPUTED_VALUE"""),"G-BUDS4-PRO, WHITE (2026)")</f>
        <v>G-BUDS4-PRO, WHITE (2026)</v>
      </c>
      <c r="I201" s="208">
        <f>IFERROR(__xludf.DUMMYFUNCTION("""COMPUTED_VALUE"""),46203.0)</f>
        <v>46203</v>
      </c>
      <c r="J201" s="158">
        <f>IFERROR(__xludf.DUMMYFUNCTION("""COMPUTED_VALUE"""),-122.0)</f>
        <v>-122</v>
      </c>
      <c r="K201" s="160"/>
      <c r="L201" s="158" t="str">
        <f>IFERROR(__xludf.DUMMYFUNCTION("""COMPUTED_VALUE"""),"Not Overdue")</f>
        <v>Not Overdue</v>
      </c>
      <c r="M201" s="158"/>
      <c r="N201" s="158"/>
      <c r="O201" s="158"/>
      <c r="P201" s="158" t="str">
        <f>IFERROR(IF(ISNUMBER(MATCH(F201,'Step 1 Data Bank'!E:E, 0)), "On Data Bank", "Not In Data Bank"),"")</f>
        <v>Not In Data Bank</v>
      </c>
      <c r="Q201" s="158" t="str">
        <f t="array" ref="Q201">XLOOKUP(F201,'Step 1 Data Bank'!E:E,'Step 1 Data Bank'!M:M,"",0)</f>
        <v/>
      </c>
      <c r="R201" s="160" t="str">
        <f t="array" ref="R201">XLOOKUP(F201,'Step 1 Data Bank'!E:E,'Step 1 Data Bank'!N:N,"",0)</f>
        <v/>
      </c>
      <c r="S201" s="158" t="str">
        <f>IFERROR(IF(ISNUMBER(MATCH(F201,'OLD DATA'!H:H, 0)), "On OLD Data", "Not In Old Data"),"")</f>
        <v>Not In Old Data</v>
      </c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</row>
    <row r="202">
      <c r="A202" s="207">
        <f>IFERROR(__xludf.DUMMYFUNCTION("""COMPUTED_VALUE"""),46174.0)</f>
        <v>46174</v>
      </c>
      <c r="B202" s="158" t="str">
        <f>IFERROR(__xludf.DUMMYFUNCTION("""COMPUTED_VALUE"""),"GOAT")</f>
        <v>GOAT</v>
      </c>
      <c r="C202" s="158" t="str">
        <f>IFERROR(__xludf.DUMMYFUNCTION("""COMPUTED_VALUE"""),"Made Intan Deyana Wirata")</f>
        <v>Made Intan Deyana Wirata</v>
      </c>
      <c r="D202" s="158" t="str">
        <f>IFERROR(__xludf.DUMMYFUNCTION("""COMPUTED_VALUE"""),"Yaya")</f>
        <v>Yaya</v>
      </c>
      <c r="E202" s="160" t="str">
        <f>IFERROR(__xludf.DUMMYFUNCTION("""COMPUTED_VALUE"""),"ASTERIXA ABIGAIL +62 821-1397-6882")</f>
        <v>ASTERIXA ABIGAIL +62 821-1397-6882</v>
      </c>
      <c r="F202" s="158" t="str">
        <f>IFERROR(__xludf.DUMMYFUNCTION("""COMPUTED_VALUE"""),"RF7L106VRRNR")</f>
        <v>RF7L106VRRNR</v>
      </c>
      <c r="G202" s="158" t="str">
        <f>IFERROR(__xludf.DUMMYFUNCTION("""COMPUTED_VALUE"""),"S-SM-R640NZWAXAR")</f>
        <v>S-SM-R640NZWAXAR</v>
      </c>
      <c r="H202" s="160" t="str">
        <f>IFERROR(__xludf.DUMMYFUNCTION("""COMPUTED_VALUE"""),"G-BUDS4-PRO, WHITE (2026)")</f>
        <v>G-BUDS4-PRO, WHITE (2026)</v>
      </c>
      <c r="I202" s="208">
        <f>IFERROR(__xludf.DUMMYFUNCTION("""COMPUTED_VALUE"""),46203.0)</f>
        <v>46203</v>
      </c>
      <c r="J202" s="158">
        <f>IFERROR(__xludf.DUMMYFUNCTION("""COMPUTED_VALUE"""),-122.0)</f>
        <v>-122</v>
      </c>
      <c r="K202" s="160"/>
      <c r="L202" s="158" t="str">
        <f>IFERROR(__xludf.DUMMYFUNCTION("""COMPUTED_VALUE"""),"Not Overdue")</f>
        <v>Not Overdue</v>
      </c>
      <c r="M202" s="158"/>
      <c r="N202" s="158"/>
      <c r="O202" s="158"/>
      <c r="P202" s="158" t="str">
        <f>IFERROR(IF(ISNUMBER(MATCH(F202,'Step 1 Data Bank'!E:E, 0)), "On Data Bank", "Not In Data Bank"),"")</f>
        <v>Not In Data Bank</v>
      </c>
      <c r="Q202" s="158" t="str">
        <f t="array" ref="Q202">XLOOKUP(F202,'Step 1 Data Bank'!E:E,'Step 1 Data Bank'!M:M,"",0)</f>
        <v/>
      </c>
      <c r="R202" s="160" t="str">
        <f t="array" ref="R202">XLOOKUP(F202,'Step 1 Data Bank'!E:E,'Step 1 Data Bank'!N:N,"",0)</f>
        <v/>
      </c>
      <c r="S202" s="158" t="str">
        <f>IFERROR(IF(ISNUMBER(MATCH(F202,'OLD DATA'!H:H, 0)), "On OLD Data", "Not In Old Data"),"")</f>
        <v>Not In Old Data</v>
      </c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</row>
    <row r="203">
      <c r="A203" s="207">
        <f>IFERROR(__xludf.DUMMYFUNCTION("""COMPUTED_VALUE"""),46174.0)</f>
        <v>46174</v>
      </c>
      <c r="B203" s="158" t="str">
        <f>IFERROR(__xludf.DUMMYFUNCTION("""COMPUTED_VALUE"""),"GOAT")</f>
        <v>GOAT</v>
      </c>
      <c r="C203" s="158" t="str">
        <f>IFERROR(__xludf.DUMMYFUNCTION("""COMPUTED_VALUE"""),"Made Intan Deyana Wirata")</f>
        <v>Made Intan Deyana Wirata</v>
      </c>
      <c r="D203" s="158" t="str">
        <f>IFERROR(__xludf.DUMMYFUNCTION("""COMPUTED_VALUE"""),"Yaya")</f>
        <v>Yaya</v>
      </c>
      <c r="E203" s="160" t="str">
        <f>IFERROR(__xludf.DUMMYFUNCTION("""COMPUTED_VALUE"""),"ASTERIXA ABIGAIL +62 821-1397-6882")</f>
        <v>ASTERIXA ABIGAIL +62 821-1397-6882</v>
      </c>
      <c r="F203" s="158" t="str">
        <f>IFERROR(__xludf.DUMMYFUNCTION("""COMPUTED_VALUE"""),"RF7L1060V4EL")</f>
        <v>RF7L1060V4EL</v>
      </c>
      <c r="G203" s="158" t="str">
        <f>IFERROR(__xludf.DUMMYFUNCTION("""COMPUTED_VALUE"""),"S-SM-R640NZDAXAR")</f>
        <v>S-SM-R640NZDAXAR</v>
      </c>
      <c r="H203" s="160" t="str">
        <f>IFERROR(__xludf.DUMMYFUNCTION("""COMPUTED_VALUE"""),"G-BUDS4-PRO, GOLD (2026)")</f>
        <v>G-BUDS4-PRO, GOLD (2026)</v>
      </c>
      <c r="I203" s="208">
        <f>IFERROR(__xludf.DUMMYFUNCTION("""COMPUTED_VALUE"""),46203.0)</f>
        <v>46203</v>
      </c>
      <c r="J203" s="158">
        <f>IFERROR(__xludf.DUMMYFUNCTION("""COMPUTED_VALUE"""),-122.0)</f>
        <v>-122</v>
      </c>
      <c r="K203" s="160"/>
      <c r="L203" s="158" t="str">
        <f>IFERROR(__xludf.DUMMYFUNCTION("""COMPUTED_VALUE"""),"Not Overdue")</f>
        <v>Not Overdue</v>
      </c>
      <c r="M203" s="158"/>
      <c r="N203" s="158"/>
      <c r="O203" s="158"/>
      <c r="P203" s="158" t="str">
        <f>IFERROR(IF(ISNUMBER(MATCH(F203,'Step 1 Data Bank'!E:E, 0)), "On Data Bank", "Not In Data Bank"),"")</f>
        <v>Not In Data Bank</v>
      </c>
      <c r="Q203" s="158" t="str">
        <f t="array" ref="Q203">XLOOKUP(F203,'Step 1 Data Bank'!E:E,'Step 1 Data Bank'!M:M,"",0)</f>
        <v/>
      </c>
      <c r="R203" s="160" t="str">
        <f t="array" ref="R203">XLOOKUP(F203,'Step 1 Data Bank'!E:E,'Step 1 Data Bank'!N:N,"",0)</f>
        <v/>
      </c>
      <c r="S203" s="158" t="str">
        <f>IFERROR(IF(ISNUMBER(MATCH(F203,'OLD DATA'!H:H, 0)), "On OLD Data", "Not In Old Data"),"")</f>
        <v>Not In Old Data</v>
      </c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</row>
    <row r="204">
      <c r="A204" s="207">
        <f>IFERROR(__xludf.DUMMYFUNCTION("""COMPUTED_VALUE"""),46174.0)</f>
        <v>46174</v>
      </c>
      <c r="B204" s="158" t="str">
        <f>IFERROR(__xludf.DUMMYFUNCTION("""COMPUTED_VALUE"""),"GOAT")</f>
        <v>GOAT</v>
      </c>
      <c r="C204" s="158" t="str">
        <f>IFERROR(__xludf.DUMMYFUNCTION("""COMPUTED_VALUE"""),"Made Intan Deyana Wirata")</f>
        <v>Made Intan Deyana Wirata</v>
      </c>
      <c r="D204" s="158" t="str">
        <f>IFERROR(__xludf.DUMMYFUNCTION("""COMPUTED_VALUE"""),"Yaya")</f>
        <v>Yaya</v>
      </c>
      <c r="E204" s="160" t="str">
        <f>IFERROR(__xludf.DUMMYFUNCTION("""COMPUTED_VALUE"""),"ASTERIXA ABIGAIL +62 821-1397-6882")</f>
        <v>ASTERIXA ABIGAIL +62 821-1397-6882</v>
      </c>
      <c r="F204" s="158" t="str">
        <f>IFERROR(__xludf.DUMMYFUNCTION("""COMPUTED_VALUE"""),"RF7L1060V4ER")</f>
        <v>RF7L1060V4ER</v>
      </c>
      <c r="G204" s="158" t="str">
        <f>IFERROR(__xludf.DUMMYFUNCTION("""COMPUTED_VALUE"""),"S-SM-R640NZDAXAR")</f>
        <v>S-SM-R640NZDAXAR</v>
      </c>
      <c r="H204" s="160" t="str">
        <f>IFERROR(__xludf.DUMMYFUNCTION("""COMPUTED_VALUE"""),"G-BUDS4-PRO, GOLD (2026)")</f>
        <v>G-BUDS4-PRO, GOLD (2026)</v>
      </c>
      <c r="I204" s="208">
        <f>IFERROR(__xludf.DUMMYFUNCTION("""COMPUTED_VALUE"""),46203.0)</f>
        <v>46203</v>
      </c>
      <c r="J204" s="158">
        <f>IFERROR(__xludf.DUMMYFUNCTION("""COMPUTED_VALUE"""),-122.0)</f>
        <v>-122</v>
      </c>
      <c r="K204" s="160"/>
      <c r="L204" s="158" t="str">
        <f>IFERROR(__xludf.DUMMYFUNCTION("""COMPUTED_VALUE"""),"Not Overdue")</f>
        <v>Not Overdue</v>
      </c>
      <c r="M204" s="158"/>
      <c r="N204" s="158"/>
      <c r="O204" s="158"/>
      <c r="P204" s="158" t="str">
        <f>IFERROR(IF(ISNUMBER(MATCH(F204,'Step 1 Data Bank'!E:E, 0)), "On Data Bank", "Not In Data Bank"),"")</f>
        <v>Not In Data Bank</v>
      </c>
      <c r="Q204" s="158" t="str">
        <f t="array" ref="Q204">XLOOKUP(F204,'Step 1 Data Bank'!E:E,'Step 1 Data Bank'!M:M,"",0)</f>
        <v/>
      </c>
      <c r="R204" s="160" t="str">
        <f t="array" ref="R204">XLOOKUP(F204,'Step 1 Data Bank'!E:E,'Step 1 Data Bank'!N:N,"",0)</f>
        <v/>
      </c>
      <c r="S204" s="158" t="str">
        <f>IFERROR(IF(ISNUMBER(MATCH(F204,'OLD DATA'!H:H, 0)), "On OLD Data", "Not In Old Data"),"")</f>
        <v>Not In Old Data</v>
      </c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</row>
    <row r="205">
      <c r="A205" s="207">
        <f>IFERROR(__xludf.DUMMYFUNCTION("""COMPUTED_VALUE"""),46174.0)</f>
        <v>46174</v>
      </c>
      <c r="B205" s="158" t="str">
        <f>IFERROR(__xludf.DUMMYFUNCTION("""COMPUTED_VALUE"""),"GOAT")</f>
        <v>GOAT</v>
      </c>
      <c r="C205" s="158" t="str">
        <f>IFERROR(__xludf.DUMMYFUNCTION("""COMPUTED_VALUE"""),"Made Intan Deyana Wirata")</f>
        <v>Made Intan Deyana Wirata</v>
      </c>
      <c r="D205" s="158" t="str">
        <f>IFERROR(__xludf.DUMMYFUNCTION("""COMPUTED_VALUE"""),"Yaya")</f>
        <v>Yaya</v>
      </c>
      <c r="E205" s="160" t="str">
        <f>IFERROR(__xludf.DUMMYFUNCTION("""COMPUTED_VALUE"""),"ASTERIXA ABIGAIL +62 821-1397-6882")</f>
        <v>ASTERIXA ABIGAIL +62 821-1397-6882</v>
      </c>
      <c r="F205" s="158" t="str">
        <f>IFERROR(__xludf.DUMMYFUNCTION("""COMPUTED_VALUE"""),"RF7L1060SQJL")</f>
        <v>RF7L1060SQJL</v>
      </c>
      <c r="G205" s="158" t="str">
        <f>IFERROR(__xludf.DUMMYFUNCTION("""COMPUTED_VALUE"""),"S-SM-R640NZDAXAR")</f>
        <v>S-SM-R640NZDAXAR</v>
      </c>
      <c r="H205" s="160" t="str">
        <f>IFERROR(__xludf.DUMMYFUNCTION("""COMPUTED_VALUE"""),"G-BUDS4-PRO, GOLD (2026)")</f>
        <v>G-BUDS4-PRO, GOLD (2026)</v>
      </c>
      <c r="I205" s="208">
        <f>IFERROR(__xludf.DUMMYFUNCTION("""COMPUTED_VALUE"""),46203.0)</f>
        <v>46203</v>
      </c>
      <c r="J205" s="158">
        <f>IFERROR(__xludf.DUMMYFUNCTION("""COMPUTED_VALUE"""),-122.0)</f>
        <v>-122</v>
      </c>
      <c r="K205" s="160"/>
      <c r="L205" s="158" t="str">
        <f>IFERROR(__xludf.DUMMYFUNCTION("""COMPUTED_VALUE"""),"Not Overdue")</f>
        <v>Not Overdue</v>
      </c>
      <c r="M205" s="158"/>
      <c r="N205" s="158"/>
      <c r="O205" s="158"/>
      <c r="P205" s="158" t="str">
        <f>IFERROR(IF(ISNUMBER(MATCH(F205,'Step 1 Data Bank'!E:E, 0)), "On Data Bank", "Not In Data Bank"),"")</f>
        <v>Not In Data Bank</v>
      </c>
      <c r="Q205" s="158" t="str">
        <f t="array" ref="Q205">XLOOKUP(F205,'Step 1 Data Bank'!E:E,'Step 1 Data Bank'!M:M,"",0)</f>
        <v/>
      </c>
      <c r="R205" s="160" t="str">
        <f t="array" ref="R205">XLOOKUP(F205,'Step 1 Data Bank'!E:E,'Step 1 Data Bank'!N:N,"",0)</f>
        <v/>
      </c>
      <c r="S205" s="158" t="str">
        <f>IFERROR(IF(ISNUMBER(MATCH(F205,'OLD DATA'!H:H, 0)), "On OLD Data", "Not In Old Data"),"")</f>
        <v>Not In Old Data</v>
      </c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</row>
    <row r="206">
      <c r="A206" s="207">
        <f>IFERROR(__xludf.DUMMYFUNCTION("""COMPUTED_VALUE"""),46174.0)</f>
        <v>46174</v>
      </c>
      <c r="B206" s="158" t="str">
        <f>IFERROR(__xludf.DUMMYFUNCTION("""COMPUTED_VALUE"""),"GOAT")</f>
        <v>GOAT</v>
      </c>
      <c r="C206" s="158" t="str">
        <f>IFERROR(__xludf.DUMMYFUNCTION("""COMPUTED_VALUE"""),"Made Intan Deyana Wirata")</f>
        <v>Made Intan Deyana Wirata</v>
      </c>
      <c r="D206" s="158" t="str">
        <f>IFERROR(__xludf.DUMMYFUNCTION("""COMPUTED_VALUE"""),"Yaya")</f>
        <v>Yaya</v>
      </c>
      <c r="E206" s="160" t="str">
        <f>IFERROR(__xludf.DUMMYFUNCTION("""COMPUTED_VALUE"""),"ASTERIXA ABIGAIL +62 821-1397-6882")</f>
        <v>ASTERIXA ABIGAIL +62 821-1397-6882</v>
      </c>
      <c r="F206" s="158" t="str">
        <f>IFERROR(__xludf.DUMMYFUNCTION("""COMPUTED_VALUE"""),"RF7L1060SQJR")</f>
        <v>RF7L1060SQJR</v>
      </c>
      <c r="G206" s="158" t="str">
        <f>IFERROR(__xludf.DUMMYFUNCTION("""COMPUTED_VALUE"""),"S-SM-R640NZDAXAR")</f>
        <v>S-SM-R640NZDAXAR</v>
      </c>
      <c r="H206" s="160" t="str">
        <f>IFERROR(__xludf.DUMMYFUNCTION("""COMPUTED_VALUE"""),"G-BUDS4-PRO, GOLD (2026)")</f>
        <v>G-BUDS4-PRO, GOLD (2026)</v>
      </c>
      <c r="I206" s="208">
        <f>IFERROR(__xludf.DUMMYFUNCTION("""COMPUTED_VALUE"""),46203.0)</f>
        <v>46203</v>
      </c>
      <c r="J206" s="158">
        <f>IFERROR(__xludf.DUMMYFUNCTION("""COMPUTED_VALUE"""),-122.0)</f>
        <v>-122</v>
      </c>
      <c r="K206" s="160"/>
      <c r="L206" s="158" t="str">
        <f>IFERROR(__xludf.DUMMYFUNCTION("""COMPUTED_VALUE"""),"Not Overdue")</f>
        <v>Not Overdue</v>
      </c>
      <c r="M206" s="158"/>
      <c r="N206" s="158"/>
      <c r="O206" s="158"/>
      <c r="P206" s="158" t="str">
        <f>IFERROR(IF(ISNUMBER(MATCH(F206,'Step 1 Data Bank'!E:E, 0)), "On Data Bank", "Not In Data Bank"),"")</f>
        <v>Not In Data Bank</v>
      </c>
      <c r="Q206" s="158" t="str">
        <f t="array" ref="Q206">XLOOKUP(F206,'Step 1 Data Bank'!E:E,'Step 1 Data Bank'!M:M,"",0)</f>
        <v/>
      </c>
      <c r="R206" s="160" t="str">
        <f t="array" ref="R206">XLOOKUP(F206,'Step 1 Data Bank'!E:E,'Step 1 Data Bank'!N:N,"",0)</f>
        <v/>
      </c>
      <c r="S206" s="158" t="str">
        <f>IFERROR(IF(ISNUMBER(MATCH(F206,'OLD DATA'!H:H, 0)), "On OLD Data", "Not In Old Data"),"")</f>
        <v>Not In Old Data</v>
      </c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</row>
    <row r="207">
      <c r="A207" s="207">
        <f>IFERROR(__xludf.DUMMYFUNCTION("""COMPUTED_VALUE"""),46204.0)</f>
        <v>46204</v>
      </c>
      <c r="B207" s="158" t="str">
        <f>IFERROR(__xludf.DUMMYFUNCTION("""COMPUTED_VALUE"""),"GOAT")</f>
        <v>GOAT</v>
      </c>
      <c r="C207" s="158" t="str">
        <f>IFERROR(__xludf.DUMMYFUNCTION("""COMPUTED_VALUE"""),"Made Intan Deyana Wirata")</f>
        <v>Made Intan Deyana Wirata</v>
      </c>
      <c r="D207" s="158" t="str">
        <f>IFERROR(__xludf.DUMMYFUNCTION("""COMPUTED_VALUE"""),"Yaya")</f>
        <v>Yaya</v>
      </c>
      <c r="E207" s="160" t="str">
        <f>IFERROR(__xludf.DUMMYFUNCTION("""COMPUTED_VALUE"""),"MADE INTAN DEYANA WI +62 821-2954-6019")</f>
        <v>MADE INTAN DEYANA WI +62 821-2954-6019</v>
      </c>
      <c r="F207" s="158">
        <f>IFERROR(__xludf.DUMMYFUNCTION("""COMPUTED_VALUE"""),3.50798022213826E14)</f>
        <v>350798022213826</v>
      </c>
      <c r="G207" s="158" t="str">
        <f>IFERROR(__xludf.DUMMYFUNCTION("""COMPUTED_VALUE"""),"S-SM-F766BDBGXBA")</f>
        <v>S-SM-F766BDBGXBA</v>
      </c>
      <c r="H207" s="160" t="str">
        <f>IFERROR(__xludf.DUMMYFUNCTION("""COMPUTED_VALUE"""),"G-Z-FLIP7 256GB DARK BLUE (2025)")</f>
        <v>G-Z-FLIP7 256GB DARK BLUE (2025)</v>
      </c>
      <c r="I207" s="208">
        <f>IFERROR(__xludf.DUMMYFUNCTION("""COMPUTED_VALUE"""),46213.0)</f>
        <v>46213</v>
      </c>
      <c r="J207" s="158">
        <f>IFERROR(__xludf.DUMMYFUNCTION("""COMPUTED_VALUE"""),-132.0)</f>
        <v>-132</v>
      </c>
      <c r="K207" s="160"/>
      <c r="L207" s="158" t="str">
        <f>IFERROR(__xludf.DUMMYFUNCTION("""COMPUTED_VALUE"""),"Not Overdue")</f>
        <v>Not Overdue</v>
      </c>
      <c r="M207" s="158"/>
      <c r="N207" s="158"/>
      <c r="O207" s="158"/>
      <c r="P207" s="158" t="str">
        <f>IFERROR(IF(ISNUMBER(MATCH(F207,'Step 1 Data Bank'!E:E, 0)), "On Data Bank", "Not In Data Bank"),"")</f>
        <v>Not In Data Bank</v>
      </c>
      <c r="Q207" s="158" t="str">
        <f t="array" ref="Q207">XLOOKUP(F207,'Step 1 Data Bank'!E:E,'Step 1 Data Bank'!M:M,"",0)</f>
        <v/>
      </c>
      <c r="R207" s="160" t="str">
        <f t="array" ref="R207">XLOOKUP(F207,'Step 1 Data Bank'!E:E,'Step 1 Data Bank'!N:N,"",0)</f>
        <v/>
      </c>
      <c r="S207" s="158" t="str">
        <f>IFERROR(IF(ISNUMBER(MATCH(F207,'OLD DATA'!H:H, 0)), "On OLD Data", "Not In Old Data"),"")</f>
        <v>Not In Old Data</v>
      </c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</row>
    <row r="208">
      <c r="A208" s="207">
        <f>IFERROR(__xludf.DUMMYFUNCTION("""COMPUTED_VALUE"""),46204.0)</f>
        <v>46204</v>
      </c>
      <c r="B208" s="158" t="str">
        <f>IFERROR(__xludf.DUMMYFUNCTION("""COMPUTED_VALUE"""),"GOAT")</f>
        <v>GOAT</v>
      </c>
      <c r="C208" s="158" t="str">
        <f>IFERROR(__xludf.DUMMYFUNCTION("""COMPUTED_VALUE"""),"Made Intan Deyana Wirata")</f>
        <v>Made Intan Deyana Wirata</v>
      </c>
      <c r="D208" s="158" t="str">
        <f>IFERROR(__xludf.DUMMYFUNCTION("""COMPUTED_VALUE"""),"Yaya")</f>
        <v>Yaya</v>
      </c>
      <c r="E208" s="160" t="str">
        <f>IFERROR(__xludf.DUMMYFUNCTION("""COMPUTED_VALUE"""),"MADE INTAN DEYANA WI +62 821-2954-6019")</f>
        <v>MADE INTAN DEYANA WI +62 821-2954-6019</v>
      </c>
      <c r="F208" s="158">
        <f>IFERROR(__xludf.DUMMYFUNCTION("""COMPUTED_VALUE"""),3.50966321026294E14)</f>
        <v>350966321026294</v>
      </c>
      <c r="G208" s="158" t="str">
        <f>IFERROR(__xludf.DUMMYFUNCTION("""COMPUTED_VALUE"""),"S-SM-F966BDBBXBA")</f>
        <v>S-SM-F966BDBBXBA</v>
      </c>
      <c r="H208" s="160" t="str">
        <f>IFERROR(__xludf.DUMMYFUNCTION("""COMPUTED_VALUE"""),"G-Z-FOLD7 256GB DARK BLUE (2025)")</f>
        <v>G-Z-FOLD7 256GB DARK BLUE (2025)</v>
      </c>
      <c r="I208" s="208">
        <f>IFERROR(__xludf.DUMMYFUNCTION("""COMPUTED_VALUE"""),46213.0)</f>
        <v>46213</v>
      </c>
      <c r="J208" s="158">
        <f>IFERROR(__xludf.DUMMYFUNCTION("""COMPUTED_VALUE"""),-132.0)</f>
        <v>-132</v>
      </c>
      <c r="K208" s="160"/>
      <c r="L208" s="158" t="str">
        <f>IFERROR(__xludf.DUMMYFUNCTION("""COMPUTED_VALUE"""),"Not Overdue")</f>
        <v>Not Overdue</v>
      </c>
      <c r="M208" s="158"/>
      <c r="N208" s="158"/>
      <c r="O208" s="158"/>
      <c r="P208" s="158" t="str">
        <f>IFERROR(IF(ISNUMBER(MATCH(F208,'Step 1 Data Bank'!E:E, 0)), "On Data Bank", "Not In Data Bank"),"")</f>
        <v>On Data Bank</v>
      </c>
      <c r="Q208" s="158" t="str">
        <f t="array" ref="Q208">XLOOKUP(F208,'Step 1 Data Bank'!E:E,'Step 1 Data Bank'!M:M,"",0)</f>
        <v>AVAILABLE</v>
      </c>
      <c r="R208" s="160" t="str">
        <f t="array" ref="R208">XLOOKUP(F208,'Step 1 Data Bank'!E:E,'Step 1 Data Bank'!N:N,"",0)</f>
        <v>-</v>
      </c>
      <c r="S208" s="158" t="str">
        <f>IFERROR(IF(ISNUMBER(MATCH(F208,'OLD DATA'!H:H, 0)), "On OLD Data", "Not In Old Data"),"")</f>
        <v>Not In Old Data</v>
      </c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</row>
    <row r="209">
      <c r="A209" s="207">
        <f>IFERROR(__xludf.DUMMYFUNCTION("""COMPUTED_VALUE"""),46204.0)</f>
        <v>46204</v>
      </c>
      <c r="B209" s="158" t="str">
        <f>IFERROR(__xludf.DUMMYFUNCTION("""COMPUTED_VALUE"""),"GOAT")</f>
        <v>GOAT</v>
      </c>
      <c r="C209" s="158" t="str">
        <f>IFERROR(__xludf.DUMMYFUNCTION("""COMPUTED_VALUE"""),"Made Intan Deyana Wirata")</f>
        <v>Made Intan Deyana Wirata</v>
      </c>
      <c r="D209" s="158" t="str">
        <f>IFERROR(__xludf.DUMMYFUNCTION("""COMPUTED_VALUE"""),"Yaya")</f>
        <v>Yaya</v>
      </c>
      <c r="E209" s="160" t="str">
        <f>IFERROR(__xludf.DUMMYFUNCTION("""COMPUTED_VALUE"""),"MADE INTAN DEYANA WI +62 821-2954-6019")</f>
        <v>MADE INTAN DEYANA WI +62 821-2954-6019</v>
      </c>
      <c r="F209" s="158">
        <f>IFERROR(__xludf.DUMMYFUNCTION("""COMPUTED_VALUE"""),3.50966321021204E14)</f>
        <v>350966321021204</v>
      </c>
      <c r="G209" s="158" t="str">
        <f>IFERROR(__xludf.DUMMYFUNCTION("""COMPUTED_VALUE"""),"S-SM-F966BDBBXBA")</f>
        <v>S-SM-F966BDBBXBA</v>
      </c>
      <c r="H209" s="160" t="str">
        <f>IFERROR(__xludf.DUMMYFUNCTION("""COMPUTED_VALUE"""),"G-Z-FOLD7 256GB DARK BLUE (2025)")</f>
        <v>G-Z-FOLD7 256GB DARK BLUE (2025)</v>
      </c>
      <c r="I209" s="208">
        <f>IFERROR(__xludf.DUMMYFUNCTION("""COMPUTED_VALUE"""),46213.0)</f>
        <v>46213</v>
      </c>
      <c r="J209" s="158">
        <f>IFERROR(__xludf.DUMMYFUNCTION("""COMPUTED_VALUE"""),-132.0)</f>
        <v>-132</v>
      </c>
      <c r="K209" s="160"/>
      <c r="L209" s="158" t="str">
        <f>IFERROR(__xludf.DUMMYFUNCTION("""COMPUTED_VALUE"""),"Not Overdue")</f>
        <v>Not Overdue</v>
      </c>
      <c r="M209" s="158"/>
      <c r="N209" s="158"/>
      <c r="O209" s="158"/>
      <c r="P209" s="158" t="str">
        <f>IFERROR(IF(ISNUMBER(MATCH(F209,'Step 1 Data Bank'!E:E, 0)), "On Data Bank", "Not In Data Bank"),"")</f>
        <v>Not In Data Bank</v>
      </c>
      <c r="Q209" s="158" t="str">
        <f t="array" ref="Q209">XLOOKUP(F209,'Step 1 Data Bank'!E:E,'Step 1 Data Bank'!M:M,"",0)</f>
        <v/>
      </c>
      <c r="R209" s="160" t="str">
        <f t="array" ref="R209">XLOOKUP(F209,'Step 1 Data Bank'!E:E,'Step 1 Data Bank'!N:N,"",0)</f>
        <v/>
      </c>
      <c r="S209" s="158" t="str">
        <f>IFERROR(IF(ISNUMBER(MATCH(F209,'OLD DATA'!H:H, 0)), "On OLD Data", "Not In Old Data"),"")</f>
        <v>On OLD Data</v>
      </c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</row>
    <row r="210">
      <c r="A210" s="207">
        <f>IFERROR(__xludf.DUMMYFUNCTION("""COMPUTED_VALUE"""),46204.0)</f>
        <v>46204</v>
      </c>
      <c r="B210" s="158" t="str">
        <f>IFERROR(__xludf.DUMMYFUNCTION("""COMPUTED_VALUE"""),"GOAT")</f>
        <v>GOAT</v>
      </c>
      <c r="C210" s="158" t="str">
        <f>IFERROR(__xludf.DUMMYFUNCTION("""COMPUTED_VALUE"""),"Made Intan Deyana Wirata")</f>
        <v>Made Intan Deyana Wirata</v>
      </c>
      <c r="D210" s="158" t="str">
        <f>IFERROR(__xludf.DUMMYFUNCTION("""COMPUTED_VALUE"""),"Yaya")</f>
        <v>Yaya</v>
      </c>
      <c r="E210" s="160" t="str">
        <f>IFERROR(__xludf.DUMMYFUNCTION("""COMPUTED_VALUE"""),"MADE INTAN DEYANA WI +62 821-2954-6019")</f>
        <v>MADE INTAN DEYANA WI +62 821-2954-6019</v>
      </c>
      <c r="F210" s="158">
        <f>IFERROR(__xludf.DUMMYFUNCTION("""COMPUTED_VALUE"""),3.50966321030114E14)</f>
        <v>350966321030114</v>
      </c>
      <c r="G210" s="158" t="str">
        <f>IFERROR(__xludf.DUMMYFUNCTION("""COMPUTED_VALUE"""),"S-SM-F966BDBBXBA")</f>
        <v>S-SM-F966BDBBXBA</v>
      </c>
      <c r="H210" s="160" t="str">
        <f>IFERROR(__xludf.DUMMYFUNCTION("""COMPUTED_VALUE"""),"G-Z-FOLD7 256GB DARK BLUE (2025)")</f>
        <v>G-Z-FOLD7 256GB DARK BLUE (2025)</v>
      </c>
      <c r="I210" s="208">
        <f>IFERROR(__xludf.DUMMYFUNCTION("""COMPUTED_VALUE"""),46213.0)</f>
        <v>46213</v>
      </c>
      <c r="J210" s="158">
        <f>IFERROR(__xludf.DUMMYFUNCTION("""COMPUTED_VALUE"""),-132.0)</f>
        <v>-132</v>
      </c>
      <c r="K210" s="160"/>
      <c r="L210" s="158" t="str">
        <f>IFERROR(__xludf.DUMMYFUNCTION("""COMPUTED_VALUE"""),"Not Overdue")</f>
        <v>Not Overdue</v>
      </c>
      <c r="M210" s="158"/>
      <c r="N210" s="158"/>
      <c r="O210" s="158"/>
      <c r="P210" s="158" t="str">
        <f>IFERROR(IF(ISNUMBER(MATCH(F210,'Step 1 Data Bank'!E:E, 0)), "On Data Bank", "Not In Data Bank"),"")</f>
        <v>Not In Data Bank</v>
      </c>
      <c r="Q210" s="158" t="str">
        <f t="array" ref="Q210">XLOOKUP(F210,'Step 1 Data Bank'!E:E,'Step 1 Data Bank'!M:M,"",0)</f>
        <v/>
      </c>
      <c r="R210" s="160" t="str">
        <f t="array" ref="R210">XLOOKUP(F210,'Step 1 Data Bank'!E:E,'Step 1 Data Bank'!N:N,"",0)</f>
        <v/>
      </c>
      <c r="S210" s="158" t="str">
        <f>IFERROR(IF(ISNUMBER(MATCH(F210,'OLD DATA'!H:H, 0)), "On OLD Data", "Not In Old Data"),"")</f>
        <v>Not In Old Data</v>
      </c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</row>
    <row r="211">
      <c r="A211" s="207">
        <f>IFERROR(__xludf.DUMMYFUNCTION("""COMPUTED_VALUE"""),46204.0)</f>
        <v>46204</v>
      </c>
      <c r="B211" s="158" t="str">
        <f>IFERROR(__xludf.DUMMYFUNCTION("""COMPUTED_VALUE"""),"GOAT")</f>
        <v>GOAT</v>
      </c>
      <c r="C211" s="158" t="str">
        <f>IFERROR(__xludf.DUMMYFUNCTION("""COMPUTED_VALUE"""),"Made Intan Deyana Wirata")</f>
        <v>Made Intan Deyana Wirata</v>
      </c>
      <c r="D211" s="158" t="str">
        <f>IFERROR(__xludf.DUMMYFUNCTION("""COMPUTED_VALUE"""),"Yaya")</f>
        <v>Yaya</v>
      </c>
      <c r="E211" s="160" t="str">
        <f>IFERROR(__xludf.DUMMYFUNCTION("""COMPUTED_VALUE"""),"MADE INTAN DEYANA WI +62 821-2954-6019")</f>
        <v>MADE INTAN DEYANA WI +62 821-2954-6019</v>
      </c>
      <c r="F211" s="158">
        <f>IFERROR(__xludf.DUMMYFUNCTION("""COMPUTED_VALUE"""),3.50966321020651E14)</f>
        <v>350966321020651</v>
      </c>
      <c r="G211" s="158" t="str">
        <f>IFERROR(__xludf.DUMMYFUNCTION("""COMPUTED_VALUE"""),"S-SM-F966BDBBXBA")</f>
        <v>S-SM-F966BDBBXBA</v>
      </c>
      <c r="H211" s="160" t="str">
        <f>IFERROR(__xludf.DUMMYFUNCTION("""COMPUTED_VALUE"""),"G-Z-FOLD7 256GB DARK BLUE (2025)")</f>
        <v>G-Z-FOLD7 256GB DARK BLUE (2025)</v>
      </c>
      <c r="I211" s="208">
        <f>IFERROR(__xludf.DUMMYFUNCTION("""COMPUTED_VALUE"""),46213.0)</f>
        <v>46213</v>
      </c>
      <c r="J211" s="158">
        <f>IFERROR(__xludf.DUMMYFUNCTION("""COMPUTED_VALUE"""),-132.0)</f>
        <v>-132</v>
      </c>
      <c r="K211" s="160"/>
      <c r="L211" s="158" t="str">
        <f>IFERROR(__xludf.DUMMYFUNCTION("""COMPUTED_VALUE"""),"Not Overdue")</f>
        <v>Not Overdue</v>
      </c>
      <c r="M211" s="158"/>
      <c r="N211" s="158"/>
      <c r="O211" s="158"/>
      <c r="P211" s="158" t="str">
        <f>IFERROR(IF(ISNUMBER(MATCH(F211,'Step 1 Data Bank'!E:E, 0)), "On Data Bank", "Not In Data Bank"),"")</f>
        <v>Not In Data Bank</v>
      </c>
      <c r="Q211" s="158" t="str">
        <f t="array" ref="Q211">XLOOKUP(F211,'Step 1 Data Bank'!E:E,'Step 1 Data Bank'!M:M,"",0)</f>
        <v/>
      </c>
      <c r="R211" s="160" t="str">
        <f t="array" ref="R211">XLOOKUP(F211,'Step 1 Data Bank'!E:E,'Step 1 Data Bank'!N:N,"",0)</f>
        <v/>
      </c>
      <c r="S211" s="158" t="str">
        <f>IFERROR(IF(ISNUMBER(MATCH(F211,'OLD DATA'!H:H, 0)), "On OLD Data", "Not In Old Data"),"")</f>
        <v>On OLD Data</v>
      </c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</row>
    <row r="212">
      <c r="A212" s="207">
        <f>IFERROR(__xludf.DUMMYFUNCTION("""COMPUTED_VALUE"""),46204.0)</f>
        <v>46204</v>
      </c>
      <c r="B212" s="158" t="str">
        <f>IFERROR(__xludf.DUMMYFUNCTION("""COMPUTED_VALUE"""),"GOAT")</f>
        <v>GOAT</v>
      </c>
      <c r="C212" s="158" t="str">
        <f>IFERROR(__xludf.DUMMYFUNCTION("""COMPUTED_VALUE"""),"Anggi Paramita Gianieri")</f>
        <v>Anggi Paramita Gianieri</v>
      </c>
      <c r="D212" s="158" t="str">
        <f>IFERROR(__xludf.DUMMYFUNCTION("""COMPUTED_VALUE"""),"Cindana")</f>
        <v>Cindana</v>
      </c>
      <c r="E212" s="160" t="str">
        <f>IFERROR(__xludf.DUMMYFUNCTION("""COMPUTED_VALUE"""),"AUFA ROZY SABILA +62 851 7978 3590")</f>
        <v>AUFA ROZY SABILA +62 851 7978 3590</v>
      </c>
      <c r="F212" s="158">
        <f>IFERROR(__xludf.DUMMYFUNCTION("""COMPUTED_VALUE"""),3.51298320081115E14)</f>
        <v>351298320081115</v>
      </c>
      <c r="G212" s="158" t="str">
        <f>IFERROR(__xludf.DUMMYFUNCTION("""COMPUTED_VALUE"""),"SM-S731BDBCXID")</f>
        <v>SM-S731BDBCXID</v>
      </c>
      <c r="H212" s="160" t="str">
        <f>IFERROR(__xludf.DUMMYFUNCTION("""COMPUTED_VALUE"""),"G-S25-FE, 8/256GB, DARK BLUE (2025)")</f>
        <v>G-S25-FE, 8/256GB, DARK BLUE (2025)</v>
      </c>
      <c r="I212" s="208">
        <f>IFERROR(__xludf.DUMMYFUNCTION("""COMPUTED_VALUE"""),46234.0)</f>
        <v>46234</v>
      </c>
      <c r="J212" s="158">
        <f>IFERROR(__xludf.DUMMYFUNCTION("""COMPUTED_VALUE"""),-153.0)</f>
        <v>-153</v>
      </c>
      <c r="K212" s="160"/>
      <c r="L212" s="158" t="str">
        <f>IFERROR(__xludf.DUMMYFUNCTION("""COMPUTED_VALUE"""),"Not Overdue")</f>
        <v>Not Overdue</v>
      </c>
      <c r="M212" s="158"/>
      <c r="N212" s="158"/>
      <c r="O212" s="158"/>
      <c r="P212" s="158" t="str">
        <f>IFERROR(IF(ISNUMBER(MATCH(F212,'Step 1 Data Bank'!E:E, 0)), "On Data Bank", "Not In Data Bank"),"")</f>
        <v>Not In Data Bank</v>
      </c>
      <c r="Q212" s="158" t="str">
        <f t="array" ref="Q212">XLOOKUP(F212,'Step 1 Data Bank'!E:E,'Step 1 Data Bank'!M:M,"",0)</f>
        <v/>
      </c>
      <c r="R212" s="160" t="str">
        <f t="array" ref="R212">XLOOKUP(F212,'Step 1 Data Bank'!E:E,'Step 1 Data Bank'!N:N,"",0)</f>
        <v/>
      </c>
      <c r="S212" s="158" t="str">
        <f>IFERROR(IF(ISNUMBER(MATCH(F212,'OLD DATA'!H:H, 0)), "On OLD Data", "Not In Old Data"),"")</f>
        <v>On OLD Data</v>
      </c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</row>
    <row r="213">
      <c r="A213" s="207">
        <f>IFERROR(__xludf.DUMMYFUNCTION("""COMPUTED_VALUE"""),46204.0)</f>
        <v>46204</v>
      </c>
      <c r="B213" s="158" t="str">
        <f>IFERROR(__xludf.DUMMYFUNCTION("""COMPUTED_VALUE"""),"GOAT")</f>
        <v>GOAT</v>
      </c>
      <c r="C213" s="158" t="str">
        <f>IFERROR(__xludf.DUMMYFUNCTION("""COMPUTED_VALUE"""),"Anggi Paramita Gianieri")</f>
        <v>Anggi Paramita Gianieri</v>
      </c>
      <c r="D213" s="158" t="str">
        <f>IFERROR(__xludf.DUMMYFUNCTION("""COMPUTED_VALUE"""),"Cindana")</f>
        <v>Cindana</v>
      </c>
      <c r="E213" s="160" t="str">
        <f>IFERROR(__xludf.DUMMYFUNCTION("""COMPUTED_VALUE"""),"AUFA ROZY SABILA +62 851 7978 3590")</f>
        <v>AUFA ROZY SABILA +62 851 7978 3590</v>
      </c>
      <c r="F213" s="158">
        <f>IFERROR(__xludf.DUMMYFUNCTION("""COMPUTED_VALUE"""),3.51298320054427E14)</f>
        <v>351298320054427</v>
      </c>
      <c r="G213" s="158" t="str">
        <f>IFERROR(__xludf.DUMMYFUNCTION("""COMPUTED_VALUE"""),"SM-S731BDBCXID")</f>
        <v>SM-S731BDBCXID</v>
      </c>
      <c r="H213" s="160" t="str">
        <f>IFERROR(__xludf.DUMMYFUNCTION("""COMPUTED_VALUE"""),"G-S25-FE, 8/256GB, DARK BLUE (2025)")</f>
        <v>G-S25-FE, 8/256GB, DARK BLUE (2025)</v>
      </c>
      <c r="I213" s="208">
        <f>IFERROR(__xludf.DUMMYFUNCTION("""COMPUTED_VALUE"""),46234.0)</f>
        <v>46234</v>
      </c>
      <c r="J213" s="158">
        <f>IFERROR(__xludf.DUMMYFUNCTION("""COMPUTED_VALUE"""),-153.0)</f>
        <v>-153</v>
      </c>
      <c r="K213" s="160"/>
      <c r="L213" s="158" t="str">
        <f>IFERROR(__xludf.DUMMYFUNCTION("""COMPUTED_VALUE"""),"Not Overdue")</f>
        <v>Not Overdue</v>
      </c>
      <c r="M213" s="158"/>
      <c r="N213" s="158"/>
      <c r="O213" s="158"/>
      <c r="P213" s="158" t="str">
        <f>IFERROR(IF(ISNUMBER(MATCH(F213,'Step 1 Data Bank'!E:E, 0)), "On Data Bank", "Not In Data Bank"),"")</f>
        <v>Not In Data Bank</v>
      </c>
      <c r="Q213" s="158" t="str">
        <f t="array" ref="Q213">XLOOKUP(F213,'Step 1 Data Bank'!E:E,'Step 1 Data Bank'!M:M,"",0)</f>
        <v/>
      </c>
      <c r="R213" s="160" t="str">
        <f t="array" ref="R213">XLOOKUP(F213,'Step 1 Data Bank'!E:E,'Step 1 Data Bank'!N:N,"",0)</f>
        <v/>
      </c>
      <c r="S213" s="158" t="str">
        <f>IFERROR(IF(ISNUMBER(MATCH(F213,'OLD DATA'!H:H, 0)), "On OLD Data", "Not In Old Data"),"")</f>
        <v>On OLD Data</v>
      </c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</row>
    <row r="214">
      <c r="A214" s="207">
        <f>IFERROR(__xludf.DUMMYFUNCTION("""COMPUTED_VALUE"""),46204.0)</f>
        <v>46204</v>
      </c>
      <c r="B214" s="158" t="str">
        <f>IFERROR(__xludf.DUMMYFUNCTION("""COMPUTED_VALUE"""),"GOAT")</f>
        <v>GOAT</v>
      </c>
      <c r="C214" s="158" t="str">
        <f>IFERROR(__xludf.DUMMYFUNCTION("""COMPUTED_VALUE"""),"Anggi Paramita Gianieri")</f>
        <v>Anggi Paramita Gianieri</v>
      </c>
      <c r="D214" s="158" t="str">
        <f>IFERROR(__xludf.DUMMYFUNCTION("""COMPUTED_VALUE"""),"Cindana")</f>
        <v>Cindana</v>
      </c>
      <c r="E214" s="160" t="str">
        <f>IFERROR(__xludf.DUMMYFUNCTION("""COMPUTED_VALUE"""),"AUFA ROZY SABILA +62 851 7978 3590")</f>
        <v>AUFA ROZY SABILA +62 851 7978 3590</v>
      </c>
      <c r="F214" s="158">
        <f>IFERROR(__xludf.DUMMYFUNCTION("""COMPUTED_VALUE"""),3.51298320060812E14)</f>
        <v>351298320060812</v>
      </c>
      <c r="G214" s="158" t="str">
        <f>IFERROR(__xludf.DUMMYFUNCTION("""COMPUTED_VALUE"""),"SM-S731BDBCXID")</f>
        <v>SM-S731BDBCXID</v>
      </c>
      <c r="H214" s="160" t="str">
        <f>IFERROR(__xludf.DUMMYFUNCTION("""COMPUTED_VALUE"""),"G-S25-FE, 8/256GB, DARK BLUE (2025)")</f>
        <v>G-S25-FE, 8/256GB, DARK BLUE (2025)</v>
      </c>
      <c r="I214" s="208">
        <f>IFERROR(__xludf.DUMMYFUNCTION("""COMPUTED_VALUE"""),46234.0)</f>
        <v>46234</v>
      </c>
      <c r="J214" s="158">
        <f>IFERROR(__xludf.DUMMYFUNCTION("""COMPUTED_VALUE"""),-153.0)</f>
        <v>-153</v>
      </c>
      <c r="K214" s="160"/>
      <c r="L214" s="158" t="str">
        <f>IFERROR(__xludf.DUMMYFUNCTION("""COMPUTED_VALUE"""),"Not Overdue")</f>
        <v>Not Overdue</v>
      </c>
      <c r="M214" s="158"/>
      <c r="N214" s="158"/>
      <c r="O214" s="158"/>
      <c r="P214" s="158" t="str">
        <f>IFERROR(IF(ISNUMBER(MATCH(F214,'Step 1 Data Bank'!E:E, 0)), "On Data Bank", "Not In Data Bank"),"")</f>
        <v>Not In Data Bank</v>
      </c>
      <c r="Q214" s="158" t="str">
        <f t="array" ref="Q214">XLOOKUP(F214,'Step 1 Data Bank'!E:E,'Step 1 Data Bank'!M:M,"",0)</f>
        <v/>
      </c>
      <c r="R214" s="160" t="str">
        <f t="array" ref="R214">XLOOKUP(F214,'Step 1 Data Bank'!E:E,'Step 1 Data Bank'!N:N,"",0)</f>
        <v/>
      </c>
      <c r="S214" s="158" t="str">
        <f>IFERROR(IF(ISNUMBER(MATCH(F214,'OLD DATA'!H:H, 0)), "On OLD Data", "Not In Old Data"),"")</f>
        <v>On OLD Data</v>
      </c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</row>
    <row r="215">
      <c r="A215" s="207">
        <f>IFERROR(__xludf.DUMMYFUNCTION("""COMPUTED_VALUE"""),46204.0)</f>
        <v>46204</v>
      </c>
      <c r="B215" s="158" t="str">
        <f>IFERROR(__xludf.DUMMYFUNCTION("""COMPUTED_VALUE"""),"GOAT")</f>
        <v>GOAT</v>
      </c>
      <c r="C215" s="158" t="str">
        <f>IFERROR(__xludf.DUMMYFUNCTION("""COMPUTED_VALUE"""),"Anggi Paramita Gianieri")</f>
        <v>Anggi Paramita Gianieri</v>
      </c>
      <c r="D215" s="158" t="str">
        <f>IFERROR(__xludf.DUMMYFUNCTION("""COMPUTED_VALUE"""),"Cindana")</f>
        <v>Cindana</v>
      </c>
      <c r="E215" s="160" t="str">
        <f>IFERROR(__xludf.DUMMYFUNCTION("""COMPUTED_VALUE"""),"AUFA ROZY SABILA +62 851 7978 3590")</f>
        <v>AUFA ROZY SABILA +62 851 7978 3590</v>
      </c>
      <c r="F215" s="158">
        <f>IFERROR(__xludf.DUMMYFUNCTION("""COMPUTED_VALUE"""),3.51298320091916E14)</f>
        <v>351298320091916</v>
      </c>
      <c r="G215" s="158" t="str">
        <f>IFERROR(__xludf.DUMMYFUNCTION("""COMPUTED_VALUE"""),"SM-S731BDBCXID")</f>
        <v>SM-S731BDBCXID</v>
      </c>
      <c r="H215" s="160" t="str">
        <f>IFERROR(__xludf.DUMMYFUNCTION("""COMPUTED_VALUE"""),"G-S25-FE, 8/256GB, DARK BLUE (2025)")</f>
        <v>G-S25-FE, 8/256GB, DARK BLUE (2025)</v>
      </c>
      <c r="I215" s="208">
        <f>IFERROR(__xludf.DUMMYFUNCTION("""COMPUTED_VALUE"""),46234.0)</f>
        <v>46234</v>
      </c>
      <c r="J215" s="158">
        <f>IFERROR(__xludf.DUMMYFUNCTION("""COMPUTED_VALUE"""),-153.0)</f>
        <v>-153</v>
      </c>
      <c r="K215" s="160"/>
      <c r="L215" s="158" t="str">
        <f>IFERROR(__xludf.DUMMYFUNCTION("""COMPUTED_VALUE"""),"Not Overdue")</f>
        <v>Not Overdue</v>
      </c>
      <c r="M215" s="158"/>
      <c r="N215" s="158"/>
      <c r="O215" s="158"/>
      <c r="P215" s="158" t="str">
        <f>IFERROR(IF(ISNUMBER(MATCH(F215,'Step 1 Data Bank'!E:E, 0)), "On Data Bank", "Not In Data Bank"),"")</f>
        <v>Not In Data Bank</v>
      </c>
      <c r="Q215" s="158" t="str">
        <f t="array" ref="Q215">XLOOKUP(F215,'Step 1 Data Bank'!E:E,'Step 1 Data Bank'!M:M,"",0)</f>
        <v/>
      </c>
      <c r="R215" s="160" t="str">
        <f t="array" ref="R215">XLOOKUP(F215,'Step 1 Data Bank'!E:E,'Step 1 Data Bank'!N:N,"",0)</f>
        <v/>
      </c>
      <c r="S215" s="158" t="str">
        <f>IFERROR(IF(ISNUMBER(MATCH(F215,'OLD DATA'!H:H, 0)), "On OLD Data", "Not In Old Data"),"")</f>
        <v>On OLD Data</v>
      </c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</row>
    <row r="216">
      <c r="A216" s="207">
        <f>IFERROR(__xludf.DUMMYFUNCTION("""COMPUTED_VALUE"""),46204.0)</f>
        <v>46204</v>
      </c>
      <c r="B216" s="158" t="str">
        <f>IFERROR(__xludf.DUMMYFUNCTION("""COMPUTED_VALUE"""),"GOAT")</f>
        <v>GOAT</v>
      </c>
      <c r="C216" s="158" t="str">
        <f>IFERROR(__xludf.DUMMYFUNCTION("""COMPUTED_VALUE"""),"Anggi Paramita Gianieri")</f>
        <v>Anggi Paramita Gianieri</v>
      </c>
      <c r="D216" s="158" t="str">
        <f>IFERROR(__xludf.DUMMYFUNCTION("""COMPUTED_VALUE"""),"Cindana")</f>
        <v>Cindana</v>
      </c>
      <c r="E216" s="160" t="str">
        <f>IFERROR(__xludf.DUMMYFUNCTION("""COMPUTED_VALUE"""),"AUFA ROZY SABILA +62 851 7978 3590")</f>
        <v>AUFA ROZY SABILA +62 851 7978 3590</v>
      </c>
      <c r="F216" s="158">
        <f>IFERROR(__xludf.DUMMYFUNCTION("""COMPUTED_VALUE"""),3.51298320079291E14)</f>
        <v>351298320079291</v>
      </c>
      <c r="G216" s="158" t="str">
        <f>IFERROR(__xludf.DUMMYFUNCTION("""COMPUTED_VALUE"""),"SM-S731BDBCXID")</f>
        <v>SM-S731BDBCXID</v>
      </c>
      <c r="H216" s="160" t="str">
        <f>IFERROR(__xludf.DUMMYFUNCTION("""COMPUTED_VALUE"""),"G-S25-FE, 8/256GB, DARK BLUE (2025)")</f>
        <v>G-S25-FE, 8/256GB, DARK BLUE (2025)</v>
      </c>
      <c r="I216" s="208">
        <f>IFERROR(__xludf.DUMMYFUNCTION("""COMPUTED_VALUE"""),46234.0)</f>
        <v>46234</v>
      </c>
      <c r="J216" s="158">
        <f>IFERROR(__xludf.DUMMYFUNCTION("""COMPUTED_VALUE"""),-153.0)</f>
        <v>-153</v>
      </c>
      <c r="K216" s="160"/>
      <c r="L216" s="158" t="str">
        <f>IFERROR(__xludf.DUMMYFUNCTION("""COMPUTED_VALUE"""),"Not Overdue")</f>
        <v>Not Overdue</v>
      </c>
      <c r="M216" s="158"/>
      <c r="N216" s="158"/>
      <c r="O216" s="158"/>
      <c r="P216" s="158" t="str">
        <f>IFERROR(IF(ISNUMBER(MATCH(F216,'Step 1 Data Bank'!E:E, 0)), "On Data Bank", "Not In Data Bank"),"")</f>
        <v>Not In Data Bank</v>
      </c>
      <c r="Q216" s="158" t="str">
        <f t="array" ref="Q216">XLOOKUP(F216,'Step 1 Data Bank'!E:E,'Step 1 Data Bank'!M:M,"",0)</f>
        <v/>
      </c>
      <c r="R216" s="160" t="str">
        <f t="array" ref="R216">XLOOKUP(F216,'Step 1 Data Bank'!E:E,'Step 1 Data Bank'!N:N,"",0)</f>
        <v/>
      </c>
      <c r="S216" s="158" t="str">
        <f>IFERROR(IF(ISNUMBER(MATCH(F216,'OLD DATA'!H:H, 0)), "On OLD Data", "Not In Old Data"),"")</f>
        <v>On OLD Data</v>
      </c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</row>
    <row r="217">
      <c r="A217" s="207">
        <f>IFERROR(__xludf.DUMMYFUNCTION("""COMPUTED_VALUE"""),46204.0)</f>
        <v>46204</v>
      </c>
      <c r="B217" s="158" t="str">
        <f>IFERROR(__xludf.DUMMYFUNCTION("""COMPUTED_VALUE"""),"GOAT")</f>
        <v>GOAT</v>
      </c>
      <c r="C217" s="158" t="str">
        <f>IFERROR(__xludf.DUMMYFUNCTION("""COMPUTED_VALUE"""),"Anggi Paramita Gianieri")</f>
        <v>Anggi Paramita Gianieri</v>
      </c>
      <c r="D217" s="158" t="str">
        <f>IFERROR(__xludf.DUMMYFUNCTION("""COMPUTED_VALUE"""),"Cindana")</f>
        <v>Cindana</v>
      </c>
      <c r="E217" s="160" t="str">
        <f>IFERROR(__xludf.DUMMYFUNCTION("""COMPUTED_VALUE"""),"AUFA ROZY SABILA +62 851 7978 3590")</f>
        <v>AUFA ROZY SABILA +62 851 7978 3590</v>
      </c>
      <c r="F217" s="158">
        <f>IFERROR(__xludf.DUMMYFUNCTION("""COMPUTED_VALUE"""),3.51298320076115E14)</f>
        <v>351298320076115</v>
      </c>
      <c r="G217" s="158" t="str">
        <f>IFERROR(__xludf.DUMMYFUNCTION("""COMPUTED_VALUE"""),"SM-S731BDBCXID")</f>
        <v>SM-S731BDBCXID</v>
      </c>
      <c r="H217" s="160" t="str">
        <f>IFERROR(__xludf.DUMMYFUNCTION("""COMPUTED_VALUE"""),"G-S25-FE, 8/256GB, DARK BLUE (2025)")</f>
        <v>G-S25-FE, 8/256GB, DARK BLUE (2025)</v>
      </c>
      <c r="I217" s="208">
        <f>IFERROR(__xludf.DUMMYFUNCTION("""COMPUTED_VALUE"""),46234.0)</f>
        <v>46234</v>
      </c>
      <c r="J217" s="158">
        <f>IFERROR(__xludf.DUMMYFUNCTION("""COMPUTED_VALUE"""),-153.0)</f>
        <v>-153</v>
      </c>
      <c r="K217" s="160"/>
      <c r="L217" s="158" t="str">
        <f>IFERROR(__xludf.DUMMYFUNCTION("""COMPUTED_VALUE"""),"Not Overdue")</f>
        <v>Not Overdue</v>
      </c>
      <c r="M217" s="158"/>
      <c r="N217" s="158"/>
      <c r="O217" s="158"/>
      <c r="P217" s="158" t="str">
        <f>IFERROR(IF(ISNUMBER(MATCH(F217,'Step 1 Data Bank'!E:E, 0)), "On Data Bank", "Not In Data Bank"),"")</f>
        <v>Not In Data Bank</v>
      </c>
      <c r="Q217" s="158" t="str">
        <f t="array" ref="Q217">XLOOKUP(F217,'Step 1 Data Bank'!E:E,'Step 1 Data Bank'!M:M,"",0)</f>
        <v/>
      </c>
      <c r="R217" s="160" t="str">
        <f t="array" ref="R217">XLOOKUP(F217,'Step 1 Data Bank'!E:E,'Step 1 Data Bank'!N:N,"",0)</f>
        <v/>
      </c>
      <c r="S217" s="158" t="str">
        <f>IFERROR(IF(ISNUMBER(MATCH(F217,'OLD DATA'!H:H, 0)), "On OLD Data", "Not In Old Data"),"")</f>
        <v>On OLD Data</v>
      </c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</row>
    <row r="218">
      <c r="A218" s="207">
        <f>IFERROR(__xludf.DUMMYFUNCTION("""COMPUTED_VALUE"""),46204.0)</f>
        <v>46204</v>
      </c>
      <c r="B218" s="158" t="str">
        <f>IFERROR(__xludf.DUMMYFUNCTION("""COMPUTED_VALUE"""),"GOAT")</f>
        <v>GOAT</v>
      </c>
      <c r="C218" s="158" t="str">
        <f>IFERROR(__xludf.DUMMYFUNCTION("""COMPUTED_VALUE"""),"Anggi Paramita Gianieri")</f>
        <v>Anggi Paramita Gianieri</v>
      </c>
      <c r="D218" s="158" t="str">
        <f>IFERROR(__xludf.DUMMYFUNCTION("""COMPUTED_VALUE"""),"Cindana")</f>
        <v>Cindana</v>
      </c>
      <c r="E218" s="160" t="str">
        <f>IFERROR(__xludf.DUMMYFUNCTION("""COMPUTED_VALUE"""),"AUFA ROZY SABILA +62 851 7978 3590")</f>
        <v>AUFA ROZY SABILA +62 851 7978 3590</v>
      </c>
      <c r="F218" s="158">
        <f>IFERROR(__xludf.DUMMYFUNCTION("""COMPUTED_VALUE"""),3.51298320096238E14)</f>
        <v>351298320096238</v>
      </c>
      <c r="G218" s="158" t="str">
        <f>IFERROR(__xludf.DUMMYFUNCTION("""COMPUTED_VALUE"""),"SM-S731BLBCXID")</f>
        <v>SM-S731BLBCXID</v>
      </c>
      <c r="H218" s="160" t="str">
        <f>IFERROR(__xludf.DUMMYFUNCTION("""COMPUTED_VALUE"""),"G-S25-FE, 8/256GB, LIGHT BLUE (2025)")</f>
        <v>G-S25-FE, 8/256GB, LIGHT BLUE (2025)</v>
      </c>
      <c r="I218" s="208">
        <f>IFERROR(__xludf.DUMMYFUNCTION("""COMPUTED_VALUE"""),46234.0)</f>
        <v>46234</v>
      </c>
      <c r="J218" s="158">
        <f>IFERROR(__xludf.DUMMYFUNCTION("""COMPUTED_VALUE"""),-153.0)</f>
        <v>-153</v>
      </c>
      <c r="K218" s="160"/>
      <c r="L218" s="158" t="str">
        <f>IFERROR(__xludf.DUMMYFUNCTION("""COMPUTED_VALUE"""),"Not Overdue")</f>
        <v>Not Overdue</v>
      </c>
      <c r="M218" s="158"/>
      <c r="N218" s="158"/>
      <c r="O218" s="158"/>
      <c r="P218" s="158" t="str">
        <f>IFERROR(IF(ISNUMBER(MATCH(F218,'Step 1 Data Bank'!E:E, 0)), "On Data Bank", "Not In Data Bank"),"")</f>
        <v>On Data Bank</v>
      </c>
      <c r="Q218" s="158" t="str">
        <f t="array" ref="Q218">XLOOKUP(F218,'Step 1 Data Bank'!E:E,'Step 1 Data Bank'!M:M,"",0)</f>
        <v>LOANED / ON KOL</v>
      </c>
      <c r="R218" s="160" t="str">
        <f t="array" ref="R218">XLOOKUP(F218,'Step 1 Data Bank'!E:E,'Step 1 Data Bank'!N:N,"",0)</f>
        <v>Dico Ricardo</v>
      </c>
      <c r="S218" s="158" t="str">
        <f>IFERROR(IF(ISNUMBER(MATCH(F218,'OLD DATA'!H:H, 0)), "On OLD Data", "Not In Old Data"),"")</f>
        <v>On OLD Data</v>
      </c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</row>
    <row r="219">
      <c r="A219" s="207">
        <f>IFERROR(__xludf.DUMMYFUNCTION("""COMPUTED_VALUE"""),46204.0)</f>
        <v>46204</v>
      </c>
      <c r="B219" s="158" t="str">
        <f>IFERROR(__xludf.DUMMYFUNCTION("""COMPUTED_VALUE"""),"GOAT")</f>
        <v>GOAT</v>
      </c>
      <c r="C219" s="158" t="str">
        <f>IFERROR(__xludf.DUMMYFUNCTION("""COMPUTED_VALUE"""),"Anggi Paramita Gianieri")</f>
        <v>Anggi Paramita Gianieri</v>
      </c>
      <c r="D219" s="158" t="str">
        <f>IFERROR(__xludf.DUMMYFUNCTION("""COMPUTED_VALUE"""),"Cindana")</f>
        <v>Cindana</v>
      </c>
      <c r="E219" s="160" t="str">
        <f>IFERROR(__xludf.DUMMYFUNCTION("""COMPUTED_VALUE"""),"AUFA ROZY SABILA +62 851 7978 3590")</f>
        <v>AUFA ROZY SABILA +62 851 7978 3590</v>
      </c>
      <c r="F219" s="158">
        <f>IFERROR(__xludf.DUMMYFUNCTION("""COMPUTED_VALUE"""),3.51298320095065E14)</f>
        <v>351298320095065</v>
      </c>
      <c r="G219" s="158" t="str">
        <f>IFERROR(__xludf.DUMMYFUNCTION("""COMPUTED_VALUE"""),"SM-S731BLBCXID")</f>
        <v>SM-S731BLBCXID</v>
      </c>
      <c r="H219" s="160" t="str">
        <f>IFERROR(__xludf.DUMMYFUNCTION("""COMPUTED_VALUE"""),"G-S25-FE, 8/256GB, LIGHT BLUE (2025)")</f>
        <v>G-S25-FE, 8/256GB, LIGHT BLUE (2025)</v>
      </c>
      <c r="I219" s="208">
        <f>IFERROR(__xludf.DUMMYFUNCTION("""COMPUTED_VALUE"""),46234.0)</f>
        <v>46234</v>
      </c>
      <c r="J219" s="158">
        <f>IFERROR(__xludf.DUMMYFUNCTION("""COMPUTED_VALUE"""),-153.0)</f>
        <v>-153</v>
      </c>
      <c r="K219" s="160"/>
      <c r="L219" s="158" t="str">
        <f>IFERROR(__xludf.DUMMYFUNCTION("""COMPUTED_VALUE"""),"Not Overdue")</f>
        <v>Not Overdue</v>
      </c>
      <c r="M219" s="158"/>
      <c r="N219" s="158"/>
      <c r="O219" s="158"/>
      <c r="P219" s="158" t="str">
        <f>IFERROR(IF(ISNUMBER(MATCH(F219,'Step 1 Data Bank'!E:E, 0)), "On Data Bank", "Not In Data Bank"),"")</f>
        <v>On Data Bank</v>
      </c>
      <c r="Q219" s="158" t="str">
        <f t="array" ref="Q219">XLOOKUP(F219,'Step 1 Data Bank'!E:E,'Step 1 Data Bank'!M:M,"",0)</f>
        <v>AVAILABLE</v>
      </c>
      <c r="R219" s="160" t="str">
        <f t="array" ref="R219">XLOOKUP(F219,'Step 1 Data Bank'!E:E,'Step 1 Data Bank'!N:N,"",0)</f>
        <v>-</v>
      </c>
      <c r="S219" s="158" t="str">
        <f>IFERROR(IF(ISNUMBER(MATCH(F219,'OLD DATA'!H:H, 0)), "On OLD Data", "Not In Old Data"),"")</f>
        <v>On OLD Data</v>
      </c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</row>
    <row r="220">
      <c r="A220" s="207">
        <f>IFERROR(__xludf.DUMMYFUNCTION("""COMPUTED_VALUE"""),46204.0)</f>
        <v>46204</v>
      </c>
      <c r="B220" s="158" t="str">
        <f>IFERROR(__xludf.DUMMYFUNCTION("""COMPUTED_VALUE"""),"GOAT")</f>
        <v>GOAT</v>
      </c>
      <c r="C220" s="158" t="str">
        <f>IFERROR(__xludf.DUMMYFUNCTION("""COMPUTED_VALUE"""),"Anggi Paramita Gianieri")</f>
        <v>Anggi Paramita Gianieri</v>
      </c>
      <c r="D220" s="158" t="str">
        <f>IFERROR(__xludf.DUMMYFUNCTION("""COMPUTED_VALUE"""),"Cindana")</f>
        <v>Cindana</v>
      </c>
      <c r="E220" s="160" t="str">
        <f>IFERROR(__xludf.DUMMYFUNCTION("""COMPUTED_VALUE"""),"AUFA ROZY SABILA +62 851 7978 3590")</f>
        <v>AUFA ROZY SABILA +62 851 7978 3590</v>
      </c>
      <c r="F220" s="158">
        <f>IFERROR(__xludf.DUMMYFUNCTION("""COMPUTED_VALUE"""),3.51298320095305E14)</f>
        <v>351298320095305</v>
      </c>
      <c r="G220" s="158" t="str">
        <f>IFERROR(__xludf.DUMMYFUNCTION("""COMPUTED_VALUE"""),"SM-S731BLBCXID")</f>
        <v>SM-S731BLBCXID</v>
      </c>
      <c r="H220" s="160" t="str">
        <f>IFERROR(__xludf.DUMMYFUNCTION("""COMPUTED_VALUE"""),"G-S25-FE, 8/256GB, LIGHT BLUE (2025)")</f>
        <v>G-S25-FE, 8/256GB, LIGHT BLUE (2025)</v>
      </c>
      <c r="I220" s="208">
        <f>IFERROR(__xludf.DUMMYFUNCTION("""COMPUTED_VALUE"""),46234.0)</f>
        <v>46234</v>
      </c>
      <c r="J220" s="158">
        <f>IFERROR(__xludf.DUMMYFUNCTION("""COMPUTED_VALUE"""),-153.0)</f>
        <v>-153</v>
      </c>
      <c r="K220" s="160"/>
      <c r="L220" s="158" t="str">
        <f>IFERROR(__xludf.DUMMYFUNCTION("""COMPUTED_VALUE"""),"Not Overdue")</f>
        <v>Not Overdue</v>
      </c>
      <c r="M220" s="158"/>
      <c r="N220" s="158"/>
      <c r="O220" s="158"/>
      <c r="P220" s="158" t="str">
        <f>IFERROR(IF(ISNUMBER(MATCH(F220,'Step 1 Data Bank'!E:E, 0)), "On Data Bank", "Not In Data Bank"),"")</f>
        <v>Not In Data Bank</v>
      </c>
      <c r="Q220" s="158" t="str">
        <f t="array" ref="Q220">XLOOKUP(F220,'Step 1 Data Bank'!E:E,'Step 1 Data Bank'!M:M,"",0)</f>
        <v/>
      </c>
      <c r="R220" s="160" t="str">
        <f t="array" ref="R220">XLOOKUP(F220,'Step 1 Data Bank'!E:E,'Step 1 Data Bank'!N:N,"",0)</f>
        <v/>
      </c>
      <c r="S220" s="158" t="str">
        <f>IFERROR(IF(ISNUMBER(MATCH(F220,'OLD DATA'!H:H, 0)), "On OLD Data", "Not In Old Data"),"")</f>
        <v>On OLD Data</v>
      </c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</row>
    <row r="221">
      <c r="A221" s="207">
        <f>IFERROR(__xludf.DUMMYFUNCTION("""COMPUTED_VALUE"""),46204.0)</f>
        <v>46204</v>
      </c>
      <c r="B221" s="158" t="str">
        <f>IFERROR(__xludf.DUMMYFUNCTION("""COMPUTED_VALUE"""),"GOAT")</f>
        <v>GOAT</v>
      </c>
      <c r="C221" s="158" t="str">
        <f>IFERROR(__xludf.DUMMYFUNCTION("""COMPUTED_VALUE"""),"Anggi Paramita Gianieri")</f>
        <v>Anggi Paramita Gianieri</v>
      </c>
      <c r="D221" s="158" t="str">
        <f>IFERROR(__xludf.DUMMYFUNCTION("""COMPUTED_VALUE"""),"Cindana")</f>
        <v>Cindana</v>
      </c>
      <c r="E221" s="160" t="str">
        <f>IFERROR(__xludf.DUMMYFUNCTION("""COMPUTED_VALUE"""),"AUFA ROZY SABILA +62 851 7978 3590")</f>
        <v>AUFA ROZY SABILA +62 851 7978 3590</v>
      </c>
      <c r="F221" s="158">
        <f>IFERROR(__xludf.DUMMYFUNCTION("""COMPUTED_VALUE"""),3.51298320095388E14)</f>
        <v>351298320095388</v>
      </c>
      <c r="G221" s="158" t="str">
        <f>IFERROR(__xludf.DUMMYFUNCTION("""COMPUTED_VALUE"""),"SM-S731BLBCXID")</f>
        <v>SM-S731BLBCXID</v>
      </c>
      <c r="H221" s="160" t="str">
        <f>IFERROR(__xludf.DUMMYFUNCTION("""COMPUTED_VALUE"""),"G-S25-FE, 8/256GB, LIGHT BLUE (2025)")</f>
        <v>G-S25-FE, 8/256GB, LIGHT BLUE (2025)</v>
      </c>
      <c r="I221" s="208">
        <f>IFERROR(__xludf.DUMMYFUNCTION("""COMPUTED_VALUE"""),46234.0)</f>
        <v>46234</v>
      </c>
      <c r="J221" s="158">
        <f>IFERROR(__xludf.DUMMYFUNCTION("""COMPUTED_VALUE"""),-153.0)</f>
        <v>-153</v>
      </c>
      <c r="K221" s="160"/>
      <c r="L221" s="158" t="str">
        <f>IFERROR(__xludf.DUMMYFUNCTION("""COMPUTED_VALUE"""),"Not Overdue")</f>
        <v>Not Overdue</v>
      </c>
      <c r="M221" s="158"/>
      <c r="N221" s="158"/>
      <c r="O221" s="158"/>
      <c r="P221" s="158" t="str">
        <f>IFERROR(IF(ISNUMBER(MATCH(F221,'Step 1 Data Bank'!E:E, 0)), "On Data Bank", "Not In Data Bank"),"")</f>
        <v>On Data Bank</v>
      </c>
      <c r="Q221" s="158" t="str">
        <f t="array" ref="Q221">XLOOKUP(F221,'Step 1 Data Bank'!E:E,'Step 1 Data Bank'!M:M,"",0)</f>
        <v>AVAILABLE</v>
      </c>
      <c r="R221" s="160" t="str">
        <f t="array" ref="R221">XLOOKUP(F221,'Step 1 Data Bank'!E:E,'Step 1 Data Bank'!N:N,"",0)</f>
        <v>-</v>
      </c>
      <c r="S221" s="158" t="str">
        <f>IFERROR(IF(ISNUMBER(MATCH(F221,'OLD DATA'!H:H, 0)), "On OLD Data", "Not In Old Data"),"")</f>
        <v>Not In Old Data</v>
      </c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</row>
    <row r="222">
      <c r="A222" s="207">
        <f>IFERROR(__xludf.DUMMYFUNCTION("""COMPUTED_VALUE"""),46204.0)</f>
        <v>46204</v>
      </c>
      <c r="B222" s="158" t="str">
        <f>IFERROR(__xludf.DUMMYFUNCTION("""COMPUTED_VALUE"""),"GOAT")</f>
        <v>GOAT</v>
      </c>
      <c r="C222" s="158" t="str">
        <f>IFERROR(__xludf.DUMMYFUNCTION("""COMPUTED_VALUE"""),"Anggi Paramita Gianieri")</f>
        <v>Anggi Paramita Gianieri</v>
      </c>
      <c r="D222" s="158" t="str">
        <f>IFERROR(__xludf.DUMMYFUNCTION("""COMPUTED_VALUE"""),"Cindana")</f>
        <v>Cindana</v>
      </c>
      <c r="E222" s="160" t="str">
        <f>IFERROR(__xludf.DUMMYFUNCTION("""COMPUTED_VALUE"""),"AUFA ROZY SABILA +62 851 7978 3590")</f>
        <v>AUFA ROZY SABILA +62 851 7978 3590</v>
      </c>
      <c r="F222" s="158">
        <f>IFERROR(__xludf.DUMMYFUNCTION("""COMPUTED_VALUE"""),3.51298320096071E14)</f>
        <v>351298320096071</v>
      </c>
      <c r="G222" s="158" t="str">
        <f>IFERROR(__xludf.DUMMYFUNCTION("""COMPUTED_VALUE"""),"SM-S731BLBCXID")</f>
        <v>SM-S731BLBCXID</v>
      </c>
      <c r="H222" s="160" t="str">
        <f>IFERROR(__xludf.DUMMYFUNCTION("""COMPUTED_VALUE"""),"G-S25-FE, 8/256GB, LIGHT BLUE (2025)")</f>
        <v>G-S25-FE, 8/256GB, LIGHT BLUE (2025)</v>
      </c>
      <c r="I222" s="208">
        <f>IFERROR(__xludf.DUMMYFUNCTION("""COMPUTED_VALUE"""),46234.0)</f>
        <v>46234</v>
      </c>
      <c r="J222" s="158">
        <f>IFERROR(__xludf.DUMMYFUNCTION("""COMPUTED_VALUE"""),-153.0)</f>
        <v>-153</v>
      </c>
      <c r="K222" s="160"/>
      <c r="L222" s="158" t="str">
        <f>IFERROR(__xludf.DUMMYFUNCTION("""COMPUTED_VALUE"""),"Not Overdue")</f>
        <v>Not Overdue</v>
      </c>
      <c r="M222" s="158"/>
      <c r="N222" s="158"/>
      <c r="O222" s="158"/>
      <c r="P222" s="158" t="str">
        <f>IFERROR(IF(ISNUMBER(MATCH(F222,'Step 1 Data Bank'!E:E, 0)), "On Data Bank", "Not In Data Bank"),"")</f>
        <v>Not In Data Bank</v>
      </c>
      <c r="Q222" s="158" t="str">
        <f t="array" ref="Q222">XLOOKUP(F222,'Step 1 Data Bank'!E:E,'Step 1 Data Bank'!M:M,"",0)</f>
        <v/>
      </c>
      <c r="R222" s="160" t="str">
        <f t="array" ref="R222">XLOOKUP(F222,'Step 1 Data Bank'!E:E,'Step 1 Data Bank'!N:N,"",0)</f>
        <v/>
      </c>
      <c r="S222" s="158" t="str">
        <f>IFERROR(IF(ISNUMBER(MATCH(F222,'OLD DATA'!H:H, 0)), "On OLD Data", "Not In Old Data"),"")</f>
        <v>On OLD Data</v>
      </c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</row>
    <row r="223">
      <c r="A223" s="207">
        <f>IFERROR(__xludf.DUMMYFUNCTION("""COMPUTED_VALUE"""),46204.0)</f>
        <v>46204</v>
      </c>
      <c r="B223" s="158" t="str">
        <f>IFERROR(__xludf.DUMMYFUNCTION("""COMPUTED_VALUE"""),"GOAT")</f>
        <v>GOAT</v>
      </c>
      <c r="C223" s="158" t="str">
        <f>IFERROR(__xludf.DUMMYFUNCTION("""COMPUTED_VALUE"""),"Anggi Paramita Gianieri")</f>
        <v>Anggi Paramita Gianieri</v>
      </c>
      <c r="D223" s="158" t="str">
        <f>IFERROR(__xludf.DUMMYFUNCTION("""COMPUTED_VALUE"""),"Cindana")</f>
        <v>Cindana</v>
      </c>
      <c r="E223" s="160" t="str">
        <f>IFERROR(__xludf.DUMMYFUNCTION("""COMPUTED_VALUE"""),"AUFA ROZY SABILA +62 851 7978 3590")</f>
        <v>AUFA ROZY SABILA +62 851 7978 3590</v>
      </c>
      <c r="F223" s="158">
        <f>IFERROR(__xludf.DUMMYFUNCTION("""COMPUTED_VALUE"""),3.51298320099109E14)</f>
        <v>351298320099109</v>
      </c>
      <c r="G223" s="158" t="str">
        <f>IFERROR(__xludf.DUMMYFUNCTION("""COMPUTED_VALUE"""),"SM-S731BLBCXID")</f>
        <v>SM-S731BLBCXID</v>
      </c>
      <c r="H223" s="160" t="str">
        <f>IFERROR(__xludf.DUMMYFUNCTION("""COMPUTED_VALUE"""),"G-S25-FE, 8/256GB, LIGHT BLUE (2025)")</f>
        <v>G-S25-FE, 8/256GB, LIGHT BLUE (2025)</v>
      </c>
      <c r="I223" s="208">
        <f>IFERROR(__xludf.DUMMYFUNCTION("""COMPUTED_VALUE"""),46234.0)</f>
        <v>46234</v>
      </c>
      <c r="J223" s="158">
        <f>IFERROR(__xludf.DUMMYFUNCTION("""COMPUTED_VALUE"""),-153.0)</f>
        <v>-153</v>
      </c>
      <c r="K223" s="160"/>
      <c r="L223" s="158" t="str">
        <f>IFERROR(__xludf.DUMMYFUNCTION("""COMPUTED_VALUE"""),"Not Overdue")</f>
        <v>Not Overdue</v>
      </c>
      <c r="M223" s="158"/>
      <c r="N223" s="158"/>
      <c r="O223" s="158"/>
      <c r="P223" s="158" t="str">
        <f>IFERROR(IF(ISNUMBER(MATCH(F223,'Step 1 Data Bank'!E:E, 0)), "On Data Bank", "Not In Data Bank"),"")</f>
        <v>Not In Data Bank</v>
      </c>
      <c r="Q223" s="158" t="str">
        <f t="array" ref="Q223">XLOOKUP(F223,'Step 1 Data Bank'!E:E,'Step 1 Data Bank'!M:M,"",0)</f>
        <v/>
      </c>
      <c r="R223" s="160" t="str">
        <f t="array" ref="R223">XLOOKUP(F223,'Step 1 Data Bank'!E:E,'Step 1 Data Bank'!N:N,"",0)</f>
        <v/>
      </c>
      <c r="S223" s="158" t="str">
        <f>IFERROR(IF(ISNUMBER(MATCH(F223,'OLD DATA'!H:H, 0)), "On OLD Data", "Not In Old Data"),"")</f>
        <v>On OLD Data</v>
      </c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</row>
    <row r="224">
      <c r="A224" s="207">
        <f>IFERROR(__xludf.DUMMYFUNCTION("""COMPUTED_VALUE"""),46204.0)</f>
        <v>46204</v>
      </c>
      <c r="B224" s="158" t="str">
        <f>IFERROR(__xludf.DUMMYFUNCTION("""COMPUTED_VALUE"""),"GOAT")</f>
        <v>GOAT</v>
      </c>
      <c r="C224" s="158" t="str">
        <f>IFERROR(__xludf.DUMMYFUNCTION("""COMPUTED_VALUE"""),"Anggi Paramita Gianieri")</f>
        <v>Anggi Paramita Gianieri</v>
      </c>
      <c r="D224" s="158" t="str">
        <f>IFERROR(__xludf.DUMMYFUNCTION("""COMPUTED_VALUE"""),"Cindana")</f>
        <v>Cindana</v>
      </c>
      <c r="E224" s="160" t="str">
        <f>IFERROR(__xludf.DUMMYFUNCTION("""COMPUTED_VALUE"""),"AUFA ROZY SABILA +62 851 7978 3590")</f>
        <v>AUFA ROZY SABILA +62 851 7978 3590</v>
      </c>
      <c r="F224" s="158">
        <f>IFERROR(__xludf.DUMMYFUNCTION("""COMPUTED_VALUE"""),3.5129832009778E14)</f>
        <v>351298320097780</v>
      </c>
      <c r="G224" s="158" t="str">
        <f>IFERROR(__xludf.DUMMYFUNCTION("""COMPUTED_VALUE"""),"SM-S731BLBCXID")</f>
        <v>SM-S731BLBCXID</v>
      </c>
      <c r="H224" s="160" t="str">
        <f>IFERROR(__xludf.DUMMYFUNCTION("""COMPUTED_VALUE"""),"G-S25-FE, 8/256GB, LIGHT BLUE (2025)")</f>
        <v>G-S25-FE, 8/256GB, LIGHT BLUE (2025)</v>
      </c>
      <c r="I224" s="208">
        <f>IFERROR(__xludf.DUMMYFUNCTION("""COMPUTED_VALUE"""),46234.0)</f>
        <v>46234</v>
      </c>
      <c r="J224" s="158">
        <f>IFERROR(__xludf.DUMMYFUNCTION("""COMPUTED_VALUE"""),-153.0)</f>
        <v>-153</v>
      </c>
      <c r="K224" s="160"/>
      <c r="L224" s="158" t="str">
        <f>IFERROR(__xludf.DUMMYFUNCTION("""COMPUTED_VALUE"""),"Not Overdue")</f>
        <v>Not Overdue</v>
      </c>
      <c r="M224" s="158"/>
      <c r="N224" s="158"/>
      <c r="O224" s="158"/>
      <c r="P224" s="158" t="str">
        <f>IFERROR(IF(ISNUMBER(MATCH(F224,'Step 1 Data Bank'!E:E, 0)), "On Data Bank", "Not In Data Bank"),"")</f>
        <v>On Data Bank</v>
      </c>
      <c r="Q224" s="158" t="str">
        <f t="array" ref="Q224">XLOOKUP(F224,'Step 1 Data Bank'!E:E,'Step 1 Data Bank'!M:M,"",0)</f>
        <v>AVAILABLE</v>
      </c>
      <c r="R224" s="160" t="str">
        <f t="array" ref="R224">XLOOKUP(F224,'Step 1 Data Bank'!E:E,'Step 1 Data Bank'!N:N,"",0)</f>
        <v>-</v>
      </c>
      <c r="S224" s="158" t="str">
        <f>IFERROR(IF(ISNUMBER(MATCH(F224,'OLD DATA'!H:H, 0)), "On OLD Data", "Not In Old Data"),"")</f>
        <v>On OLD Data</v>
      </c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</row>
    <row r="225">
      <c r="A225" s="207">
        <f>IFERROR(__xludf.DUMMYFUNCTION("""COMPUTED_VALUE"""),46204.0)</f>
        <v>46204</v>
      </c>
      <c r="B225" s="158" t="str">
        <f>IFERROR(__xludf.DUMMYFUNCTION("""COMPUTED_VALUE"""),"GOAT")</f>
        <v>GOAT</v>
      </c>
      <c r="C225" s="158" t="str">
        <f>IFERROR(__xludf.DUMMYFUNCTION("""COMPUTED_VALUE"""),"Anggi Paramita Gianieri")</f>
        <v>Anggi Paramita Gianieri</v>
      </c>
      <c r="D225" s="158" t="str">
        <f>IFERROR(__xludf.DUMMYFUNCTION("""COMPUTED_VALUE"""),"Cindana")</f>
        <v>Cindana</v>
      </c>
      <c r="E225" s="160" t="str">
        <f>IFERROR(__xludf.DUMMYFUNCTION("""COMPUTED_VALUE"""),"AUFA ROZY SABILA +62 851 7978 3590")</f>
        <v>AUFA ROZY SABILA +62 851 7978 3590</v>
      </c>
      <c r="F225" s="158">
        <f>IFERROR(__xludf.DUMMYFUNCTION("""COMPUTED_VALUE"""),3.5129832010041E14)</f>
        <v>351298320100410</v>
      </c>
      <c r="G225" s="158" t="str">
        <f>IFERROR(__xludf.DUMMYFUNCTION("""COMPUTED_VALUE"""),"SM-S731BLBCXID")</f>
        <v>SM-S731BLBCXID</v>
      </c>
      <c r="H225" s="160" t="str">
        <f>IFERROR(__xludf.DUMMYFUNCTION("""COMPUTED_VALUE"""),"G-S25-FE, 8/256GB, LIGHT BLUE (2025)")</f>
        <v>G-S25-FE, 8/256GB, LIGHT BLUE (2025)</v>
      </c>
      <c r="I225" s="208">
        <f>IFERROR(__xludf.DUMMYFUNCTION("""COMPUTED_VALUE"""),46234.0)</f>
        <v>46234</v>
      </c>
      <c r="J225" s="158">
        <f>IFERROR(__xludf.DUMMYFUNCTION("""COMPUTED_VALUE"""),-153.0)</f>
        <v>-153</v>
      </c>
      <c r="K225" s="160"/>
      <c r="L225" s="158" t="str">
        <f>IFERROR(__xludf.DUMMYFUNCTION("""COMPUTED_VALUE"""),"Not Overdue")</f>
        <v>Not Overdue</v>
      </c>
      <c r="M225" s="158"/>
      <c r="N225" s="158"/>
      <c r="O225" s="158"/>
      <c r="P225" s="158" t="str">
        <f>IFERROR(IF(ISNUMBER(MATCH(F225,'Step 1 Data Bank'!E:E, 0)), "On Data Bank", "Not In Data Bank"),"")</f>
        <v>Not In Data Bank</v>
      </c>
      <c r="Q225" s="158" t="str">
        <f t="array" ref="Q225">XLOOKUP(F225,'Step 1 Data Bank'!E:E,'Step 1 Data Bank'!M:M,"",0)</f>
        <v/>
      </c>
      <c r="R225" s="160" t="str">
        <f t="array" ref="R225">XLOOKUP(F225,'Step 1 Data Bank'!E:E,'Step 1 Data Bank'!N:N,"",0)</f>
        <v/>
      </c>
      <c r="S225" s="158" t="str">
        <f>IFERROR(IF(ISNUMBER(MATCH(F225,'OLD DATA'!H:H, 0)), "On OLD Data", "Not In Old Data"),"")</f>
        <v>On OLD Data</v>
      </c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</row>
    <row r="226">
      <c r="A226" s="207">
        <f>IFERROR(__xludf.DUMMYFUNCTION("""COMPUTED_VALUE"""),46204.0)</f>
        <v>46204</v>
      </c>
      <c r="B226" s="158" t="str">
        <f>IFERROR(__xludf.DUMMYFUNCTION("""COMPUTED_VALUE"""),"GOAT")</f>
        <v>GOAT</v>
      </c>
      <c r="C226" s="158" t="str">
        <f>IFERROR(__xludf.DUMMYFUNCTION("""COMPUTED_VALUE"""),"Anggi Paramita Gianieri")</f>
        <v>Anggi Paramita Gianieri</v>
      </c>
      <c r="D226" s="158" t="str">
        <f>IFERROR(__xludf.DUMMYFUNCTION("""COMPUTED_VALUE"""),"Cindana")</f>
        <v>Cindana</v>
      </c>
      <c r="E226" s="160" t="str">
        <f>IFERROR(__xludf.DUMMYFUNCTION("""COMPUTED_VALUE"""),"AUFA ROZY SABILA +62 851 7978 3590")</f>
        <v>AUFA ROZY SABILA +62 851 7978 3590</v>
      </c>
      <c r="F226" s="158">
        <f>IFERROR(__xludf.DUMMYFUNCTION("""COMPUTED_VALUE"""),3.51298320006815E14)</f>
        <v>351298320006815</v>
      </c>
      <c r="G226" s="158" t="str">
        <f>IFERROR(__xludf.DUMMYFUNCTION("""COMPUTED_VALUE"""),"SM-S731BZWCXID")</f>
        <v>SM-S731BZWCXID</v>
      </c>
      <c r="H226" s="160" t="str">
        <f>IFERROR(__xludf.DUMMYFUNCTION("""COMPUTED_VALUE"""),"G-S25-FE, 8/256GB, WHITE (2025)")</f>
        <v>G-S25-FE, 8/256GB, WHITE (2025)</v>
      </c>
      <c r="I226" s="208">
        <f>IFERROR(__xludf.DUMMYFUNCTION("""COMPUTED_VALUE"""),46234.0)</f>
        <v>46234</v>
      </c>
      <c r="J226" s="158">
        <f>IFERROR(__xludf.DUMMYFUNCTION("""COMPUTED_VALUE"""),-153.0)</f>
        <v>-153</v>
      </c>
      <c r="K226" s="160"/>
      <c r="L226" s="158" t="str">
        <f>IFERROR(__xludf.DUMMYFUNCTION("""COMPUTED_VALUE"""),"Not Overdue")</f>
        <v>Not Overdue</v>
      </c>
      <c r="M226" s="158"/>
      <c r="N226" s="158"/>
      <c r="O226" s="158"/>
      <c r="P226" s="158" t="str">
        <f>IFERROR(IF(ISNUMBER(MATCH(F226,'Step 1 Data Bank'!E:E, 0)), "On Data Bank", "Not In Data Bank"),"")</f>
        <v>Not In Data Bank</v>
      </c>
      <c r="Q226" s="158" t="str">
        <f t="array" ref="Q226">XLOOKUP(F226,'Step 1 Data Bank'!E:E,'Step 1 Data Bank'!M:M,"",0)</f>
        <v/>
      </c>
      <c r="R226" s="160" t="str">
        <f t="array" ref="R226">XLOOKUP(F226,'Step 1 Data Bank'!E:E,'Step 1 Data Bank'!N:N,"",0)</f>
        <v/>
      </c>
      <c r="S226" s="158" t="str">
        <f>IFERROR(IF(ISNUMBER(MATCH(F226,'OLD DATA'!H:H, 0)), "On OLD Data", "Not In Old Data"),"")</f>
        <v>On OLD Data</v>
      </c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</row>
    <row r="227">
      <c r="A227" s="207">
        <f>IFERROR(__xludf.DUMMYFUNCTION("""COMPUTED_VALUE"""),46204.0)</f>
        <v>46204</v>
      </c>
      <c r="B227" s="158" t="str">
        <f>IFERROR(__xludf.DUMMYFUNCTION("""COMPUTED_VALUE"""),"GOAT")</f>
        <v>GOAT</v>
      </c>
      <c r="C227" s="158" t="str">
        <f>IFERROR(__xludf.DUMMYFUNCTION("""COMPUTED_VALUE"""),"Anggi Paramita Gianieri")</f>
        <v>Anggi Paramita Gianieri</v>
      </c>
      <c r="D227" s="158" t="str">
        <f>IFERROR(__xludf.DUMMYFUNCTION("""COMPUTED_VALUE"""),"Cindana")</f>
        <v>Cindana</v>
      </c>
      <c r="E227" s="160" t="str">
        <f>IFERROR(__xludf.DUMMYFUNCTION("""COMPUTED_VALUE"""),"AUFA ROZY SABILA +62 851 7978 3590")</f>
        <v>AUFA ROZY SABILA +62 851 7978 3590</v>
      </c>
      <c r="F227" s="158">
        <f>IFERROR(__xludf.DUMMYFUNCTION("""COMPUTED_VALUE"""),3.51298320003754E14)</f>
        <v>351298320003754</v>
      </c>
      <c r="G227" s="158" t="str">
        <f>IFERROR(__xludf.DUMMYFUNCTION("""COMPUTED_VALUE"""),"SM-S731BZWCXID")</f>
        <v>SM-S731BZWCXID</v>
      </c>
      <c r="H227" s="160" t="str">
        <f>IFERROR(__xludf.DUMMYFUNCTION("""COMPUTED_VALUE"""),"G-S25-FE, 8/256GB, WHITE (2025)")</f>
        <v>G-S25-FE, 8/256GB, WHITE (2025)</v>
      </c>
      <c r="I227" s="208">
        <f>IFERROR(__xludf.DUMMYFUNCTION("""COMPUTED_VALUE"""),46234.0)</f>
        <v>46234</v>
      </c>
      <c r="J227" s="158">
        <f>IFERROR(__xludf.DUMMYFUNCTION("""COMPUTED_VALUE"""),-153.0)</f>
        <v>-153</v>
      </c>
      <c r="K227" s="160"/>
      <c r="L227" s="158" t="str">
        <f>IFERROR(__xludf.DUMMYFUNCTION("""COMPUTED_VALUE"""),"Not Overdue")</f>
        <v>Not Overdue</v>
      </c>
      <c r="M227" s="158"/>
      <c r="N227" s="158"/>
      <c r="O227" s="158"/>
      <c r="P227" s="158" t="str">
        <f>IFERROR(IF(ISNUMBER(MATCH(F227,'Step 1 Data Bank'!E:E, 0)), "On Data Bank", "Not In Data Bank"),"")</f>
        <v>On Data Bank</v>
      </c>
      <c r="Q227" s="158" t="str">
        <f t="array" ref="Q227">XLOOKUP(F227,'Step 1 Data Bank'!E:E,'Step 1 Data Bank'!M:M,"",0)</f>
        <v>AVAILABLE</v>
      </c>
      <c r="R227" s="160" t="str">
        <f t="array" ref="R227">XLOOKUP(F227,'Step 1 Data Bank'!E:E,'Step 1 Data Bank'!N:N,"",0)</f>
        <v>-</v>
      </c>
      <c r="S227" s="158" t="str">
        <f>IFERROR(IF(ISNUMBER(MATCH(F227,'OLD DATA'!H:H, 0)), "On OLD Data", "Not In Old Data"),"")</f>
        <v>On OLD Data</v>
      </c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</row>
    <row r="228">
      <c r="A228" s="207">
        <f>IFERROR(__xludf.DUMMYFUNCTION("""COMPUTED_VALUE"""),46204.0)</f>
        <v>46204</v>
      </c>
      <c r="B228" s="158" t="str">
        <f>IFERROR(__xludf.DUMMYFUNCTION("""COMPUTED_VALUE"""),"GOAT")</f>
        <v>GOAT</v>
      </c>
      <c r="C228" s="158" t="str">
        <f>IFERROR(__xludf.DUMMYFUNCTION("""COMPUTED_VALUE"""),"Anggi Paramita Gianieri")</f>
        <v>Anggi Paramita Gianieri</v>
      </c>
      <c r="D228" s="158" t="str">
        <f>IFERROR(__xludf.DUMMYFUNCTION("""COMPUTED_VALUE"""),"Cindana")</f>
        <v>Cindana</v>
      </c>
      <c r="E228" s="160" t="str">
        <f>IFERROR(__xludf.DUMMYFUNCTION("""COMPUTED_VALUE"""),"AUFA ROZY SABILA +62 851 7978 3590")</f>
        <v>AUFA ROZY SABILA +62 851 7978 3590</v>
      </c>
      <c r="F228" s="158">
        <f>IFERROR(__xludf.DUMMYFUNCTION("""COMPUTED_VALUE"""),3.512983200024E14)</f>
        <v>351298320002400</v>
      </c>
      <c r="G228" s="158" t="str">
        <f>IFERROR(__xludf.DUMMYFUNCTION("""COMPUTED_VALUE"""),"SM-S731BZWCXID")</f>
        <v>SM-S731BZWCXID</v>
      </c>
      <c r="H228" s="160" t="str">
        <f>IFERROR(__xludf.DUMMYFUNCTION("""COMPUTED_VALUE"""),"G-S25-FE, 8/256GB, WHITE (2025)")</f>
        <v>G-S25-FE, 8/256GB, WHITE (2025)</v>
      </c>
      <c r="I228" s="208">
        <f>IFERROR(__xludf.DUMMYFUNCTION("""COMPUTED_VALUE"""),46234.0)</f>
        <v>46234</v>
      </c>
      <c r="J228" s="158">
        <f>IFERROR(__xludf.DUMMYFUNCTION("""COMPUTED_VALUE"""),-153.0)</f>
        <v>-153</v>
      </c>
      <c r="K228" s="160"/>
      <c r="L228" s="158" t="str">
        <f>IFERROR(__xludf.DUMMYFUNCTION("""COMPUTED_VALUE"""),"Not Overdue")</f>
        <v>Not Overdue</v>
      </c>
      <c r="M228" s="158"/>
      <c r="N228" s="158"/>
      <c r="O228" s="158"/>
      <c r="P228" s="158" t="str">
        <f>IFERROR(IF(ISNUMBER(MATCH(F228,'Step 1 Data Bank'!E:E, 0)), "On Data Bank", "Not In Data Bank"),"")</f>
        <v>On Data Bank</v>
      </c>
      <c r="Q228" s="158" t="str">
        <f t="array" ref="Q228">XLOOKUP(F228,'Step 1 Data Bank'!E:E,'Step 1 Data Bank'!M:M,"",0)</f>
        <v>AVAILABLE</v>
      </c>
      <c r="R228" s="160" t="str">
        <f t="array" ref="R228">XLOOKUP(F228,'Step 1 Data Bank'!E:E,'Step 1 Data Bank'!N:N,"",0)</f>
        <v>-</v>
      </c>
      <c r="S228" s="158" t="str">
        <f>IFERROR(IF(ISNUMBER(MATCH(F228,'OLD DATA'!H:H, 0)), "On OLD Data", "Not In Old Data"),"")</f>
        <v>On OLD Data</v>
      </c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</row>
    <row r="229">
      <c r="A229" s="207">
        <f>IFERROR(__xludf.DUMMYFUNCTION("""COMPUTED_VALUE"""),46204.0)</f>
        <v>46204</v>
      </c>
      <c r="B229" s="158" t="str">
        <f>IFERROR(__xludf.DUMMYFUNCTION("""COMPUTED_VALUE"""),"GOAT")</f>
        <v>GOAT</v>
      </c>
      <c r="C229" s="158" t="str">
        <f>IFERROR(__xludf.DUMMYFUNCTION("""COMPUTED_VALUE"""),"Anggi Paramita Gianieri")</f>
        <v>Anggi Paramita Gianieri</v>
      </c>
      <c r="D229" s="158" t="str">
        <f>IFERROR(__xludf.DUMMYFUNCTION("""COMPUTED_VALUE"""),"Anggi")</f>
        <v>Anggi</v>
      </c>
      <c r="E229" s="160" t="str">
        <f>IFERROR(__xludf.DUMMYFUNCTION("""COMPUTED_VALUE"""),"KHALIDA SYARIFAH +62 878-7524-5551")</f>
        <v>KHALIDA SYARIFAH +62 878-7524-5551</v>
      </c>
      <c r="F229" s="158">
        <f>IFERROR(__xludf.DUMMYFUNCTION("""COMPUTED_VALUE"""),3.58410185002861E14)</f>
        <v>358410185002861</v>
      </c>
      <c r="G229" s="158" t="str">
        <f>IFERROR(__xludf.DUMMYFUNCTION("""COMPUTED_VALUE"""),"SM-S931BDBCXID")</f>
        <v>SM-S931BDBCXID</v>
      </c>
      <c r="H229" s="160" t="str">
        <f>IFERROR(__xludf.DUMMYFUNCTION("""COMPUTED_VALUE"""),"G-S25 (256GB) DARK BLUE (2025)")</f>
        <v>G-S25 (256GB) DARK BLUE (2025)</v>
      </c>
      <c r="I229" s="208">
        <f>IFERROR(__xludf.DUMMYFUNCTION("""COMPUTED_VALUE"""),46234.0)</f>
        <v>46234</v>
      </c>
      <c r="J229" s="158">
        <f>IFERROR(__xludf.DUMMYFUNCTION("""COMPUTED_VALUE"""),-153.0)</f>
        <v>-153</v>
      </c>
      <c r="K229" s="160"/>
      <c r="L229" s="158" t="str">
        <f>IFERROR(__xludf.DUMMYFUNCTION("""COMPUTED_VALUE"""),"Not Overdue")</f>
        <v>Not Overdue</v>
      </c>
      <c r="M229" s="158"/>
      <c r="N229" s="158"/>
      <c r="O229" s="158"/>
      <c r="P229" s="158" t="str">
        <f>IFERROR(IF(ISNUMBER(MATCH(F229,'Step 1 Data Bank'!E:E, 0)), "On Data Bank", "Not In Data Bank"),"")</f>
        <v>On Data Bank</v>
      </c>
      <c r="Q229" s="158" t="str">
        <f t="array" ref="Q229">XLOOKUP(F229,'Step 1 Data Bank'!E:E,'Step 1 Data Bank'!M:M,"",0)</f>
        <v>LOANED / ON KOL</v>
      </c>
      <c r="R229" s="160" t="str">
        <f t="array" ref="R229">XLOOKUP(F229,'Step 1 Data Bank'!E:E,'Step 1 Data Bank'!N:N,"",0)</f>
        <v>Adinka</v>
      </c>
      <c r="S229" s="158" t="str">
        <f>IFERROR(IF(ISNUMBER(MATCH(F229,'OLD DATA'!H:H, 0)), "On OLD Data", "Not In Old Data"),"")</f>
        <v>On OLD Data</v>
      </c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</row>
    <row r="230">
      <c r="A230" s="207">
        <f>IFERROR(__xludf.DUMMYFUNCTION("""COMPUTED_VALUE"""),46204.0)</f>
        <v>46204</v>
      </c>
      <c r="B230" s="158" t="str">
        <f>IFERROR(__xludf.DUMMYFUNCTION("""COMPUTED_VALUE"""),"GOAT")</f>
        <v>GOAT</v>
      </c>
      <c r="C230" s="158" t="str">
        <f>IFERROR(__xludf.DUMMYFUNCTION("""COMPUTED_VALUE"""),"Anggi Paramita Gianieri")</f>
        <v>Anggi Paramita Gianieri</v>
      </c>
      <c r="D230" s="158" t="str">
        <f>IFERROR(__xludf.DUMMYFUNCTION("""COMPUTED_VALUE"""),"Anggi")</f>
        <v>Anggi</v>
      </c>
      <c r="E230" s="160" t="str">
        <f>IFERROR(__xludf.DUMMYFUNCTION("""COMPUTED_VALUE"""),"KHALIDA SYARIFAH +62 878-7524-5551")</f>
        <v>KHALIDA SYARIFAH +62 878-7524-5551</v>
      </c>
      <c r="F230" s="158">
        <f>IFERROR(__xludf.DUMMYFUNCTION("""COMPUTED_VALUE"""),3.58410185073425E14)</f>
        <v>358410185073425</v>
      </c>
      <c r="G230" s="158" t="str">
        <f>IFERROR(__xludf.DUMMYFUNCTION("""COMPUTED_VALUE"""),"SM-S931BZSCXID")</f>
        <v>SM-S931BZSCXID</v>
      </c>
      <c r="H230" s="160" t="str">
        <f>IFERROR(__xludf.DUMMYFUNCTION("""COMPUTED_VALUE"""),"G-S25 (256GB) SILVER (2025)")</f>
        <v>G-S25 (256GB) SILVER (2025)</v>
      </c>
      <c r="I230" s="208">
        <f>IFERROR(__xludf.DUMMYFUNCTION("""COMPUTED_VALUE"""),46234.0)</f>
        <v>46234</v>
      </c>
      <c r="J230" s="158">
        <f>IFERROR(__xludf.DUMMYFUNCTION("""COMPUTED_VALUE"""),-153.0)</f>
        <v>-153</v>
      </c>
      <c r="K230" s="160"/>
      <c r="L230" s="158" t="str">
        <f>IFERROR(__xludf.DUMMYFUNCTION("""COMPUTED_VALUE"""),"Not Overdue")</f>
        <v>Not Overdue</v>
      </c>
      <c r="M230" s="158"/>
      <c r="N230" s="158"/>
      <c r="O230" s="158"/>
      <c r="P230" s="158" t="str">
        <f>IFERROR(IF(ISNUMBER(MATCH(F230,'Step 1 Data Bank'!E:E, 0)), "On Data Bank", "Not In Data Bank"),"")</f>
        <v>On Data Bank</v>
      </c>
      <c r="Q230" s="158" t="str">
        <f t="array" ref="Q230">XLOOKUP(F230,'Step 1 Data Bank'!E:E,'Step 1 Data Bank'!M:M,"",0)</f>
        <v>LOANED / ON KOL</v>
      </c>
      <c r="R230" s="160" t="str">
        <f t="array" ref="R230">XLOOKUP(F230,'Step 1 Data Bank'!E:E,'Step 1 Data Bank'!N:N,"",0)</f>
        <v>Raje</v>
      </c>
      <c r="S230" s="158" t="str">
        <f>IFERROR(IF(ISNUMBER(MATCH(F230,'OLD DATA'!H:H, 0)), "On OLD Data", "Not In Old Data"),"")</f>
        <v>Not In Old Data</v>
      </c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</row>
    <row r="231">
      <c r="A231" s="207">
        <f>IFERROR(__xludf.DUMMYFUNCTION("""COMPUTED_VALUE"""),46204.0)</f>
        <v>46204</v>
      </c>
      <c r="B231" s="158" t="str">
        <f>IFERROR(__xludf.DUMMYFUNCTION("""COMPUTED_VALUE"""),"GOAT")</f>
        <v>GOAT</v>
      </c>
      <c r="C231" s="158" t="str">
        <f>IFERROR(__xludf.DUMMYFUNCTION("""COMPUTED_VALUE"""),"Anggi Paramita Gianieri")</f>
        <v>Anggi Paramita Gianieri</v>
      </c>
      <c r="D231" s="158" t="str">
        <f>IFERROR(__xludf.DUMMYFUNCTION("""COMPUTED_VALUE"""),"Anggi")</f>
        <v>Anggi</v>
      </c>
      <c r="E231" s="160" t="str">
        <f>IFERROR(__xludf.DUMMYFUNCTION("""COMPUTED_VALUE"""),"KHALIDA SYARIFAH +62 878-7524-5551")</f>
        <v>KHALIDA SYARIFAH +62 878-7524-5551</v>
      </c>
      <c r="F231" s="158">
        <f>IFERROR(__xludf.DUMMYFUNCTION("""COMPUTED_VALUE"""),3.58410185074076E14)</f>
        <v>358410185074076</v>
      </c>
      <c r="G231" s="158" t="str">
        <f>IFERROR(__xludf.DUMMYFUNCTION("""COMPUTED_VALUE"""),"SM-S931BZSCXID")</f>
        <v>SM-S931BZSCXID</v>
      </c>
      <c r="H231" s="160" t="str">
        <f>IFERROR(__xludf.DUMMYFUNCTION("""COMPUTED_VALUE"""),"G-S25 (256GB) SILVER (2025)")</f>
        <v>G-S25 (256GB) SILVER (2025)</v>
      </c>
      <c r="I231" s="208">
        <f>IFERROR(__xludf.DUMMYFUNCTION("""COMPUTED_VALUE"""),46234.0)</f>
        <v>46234</v>
      </c>
      <c r="J231" s="158">
        <f>IFERROR(__xludf.DUMMYFUNCTION("""COMPUTED_VALUE"""),-153.0)</f>
        <v>-153</v>
      </c>
      <c r="K231" s="160"/>
      <c r="L231" s="158" t="str">
        <f>IFERROR(__xludf.DUMMYFUNCTION("""COMPUTED_VALUE"""),"Not Overdue")</f>
        <v>Not Overdue</v>
      </c>
      <c r="M231" s="158"/>
      <c r="N231" s="158"/>
      <c r="O231" s="158"/>
      <c r="P231" s="158" t="str">
        <f>IFERROR(IF(ISNUMBER(MATCH(F231,'Step 1 Data Bank'!E:E, 0)), "On Data Bank", "Not In Data Bank"),"")</f>
        <v>On Data Bank</v>
      </c>
      <c r="Q231" s="158" t="str">
        <f t="array" ref="Q231">XLOOKUP(F231,'Step 1 Data Bank'!E:E,'Step 1 Data Bank'!M:M,"",0)</f>
        <v>LOANED / ON KOL</v>
      </c>
      <c r="R231" s="160" t="str">
        <f t="array" ref="R231">XLOOKUP(F231,'Step 1 Data Bank'!E:E,'Step 1 Data Bank'!N:N,"",0)</f>
        <v>Satria </v>
      </c>
      <c r="S231" s="158" t="str">
        <f>IFERROR(IF(ISNUMBER(MATCH(F231,'OLD DATA'!H:H, 0)), "On OLD Data", "Not In Old Data"),"")</f>
        <v>Not In Old Data</v>
      </c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</row>
    <row r="232">
      <c r="A232" s="207">
        <f>IFERROR(__xludf.DUMMYFUNCTION("""COMPUTED_VALUE"""),46204.0)</f>
        <v>46204</v>
      </c>
      <c r="B232" s="158" t="str">
        <f>IFERROR(__xludf.DUMMYFUNCTION("""COMPUTED_VALUE"""),"GOAT")</f>
        <v>GOAT</v>
      </c>
      <c r="C232" s="158" t="str">
        <f>IFERROR(__xludf.DUMMYFUNCTION("""COMPUTED_VALUE"""),"Anggi Paramita Gianieri")</f>
        <v>Anggi Paramita Gianieri</v>
      </c>
      <c r="D232" s="158" t="str">
        <f>IFERROR(__xludf.DUMMYFUNCTION("""COMPUTED_VALUE"""),"Anggi")</f>
        <v>Anggi</v>
      </c>
      <c r="E232" s="160" t="str">
        <f>IFERROR(__xludf.DUMMYFUNCTION("""COMPUTED_VALUE"""),"KHALIDA SYARIFAH +62 878-7524-5551")</f>
        <v>KHALIDA SYARIFAH +62 878-7524-5551</v>
      </c>
      <c r="F232" s="158">
        <f>IFERROR(__xludf.DUMMYFUNCTION("""COMPUTED_VALUE"""),3.54312420000854E14)</f>
        <v>354312420000854</v>
      </c>
      <c r="G232" s="158" t="str">
        <f>IFERROR(__xludf.DUMMYFUNCTION("""COMPUTED_VALUE"""),"SM-F766BZKAXID")</f>
        <v>SM-F766BZKAXID</v>
      </c>
      <c r="H232" s="160" t="str">
        <f>IFERROR(__xludf.DUMMYFUNCTION("""COMPUTED_VALUE"""),"G-Z-FLIP7 256GB BLACK (2025)")</f>
        <v>G-Z-FLIP7 256GB BLACK (2025)</v>
      </c>
      <c r="I232" s="208">
        <f>IFERROR(__xludf.DUMMYFUNCTION("""COMPUTED_VALUE"""),46234.0)</f>
        <v>46234</v>
      </c>
      <c r="J232" s="158">
        <f>IFERROR(__xludf.DUMMYFUNCTION("""COMPUTED_VALUE"""),-153.0)</f>
        <v>-153</v>
      </c>
      <c r="K232" s="160"/>
      <c r="L232" s="158" t="str">
        <f>IFERROR(__xludf.DUMMYFUNCTION("""COMPUTED_VALUE"""),"Not Overdue")</f>
        <v>Not Overdue</v>
      </c>
      <c r="M232" s="158"/>
      <c r="N232" s="158"/>
      <c r="O232" s="158"/>
      <c r="P232" s="158" t="str">
        <f>IFERROR(IF(ISNUMBER(MATCH(F232,'Step 1 Data Bank'!E:E, 0)), "On Data Bank", "Not In Data Bank"),"")</f>
        <v>On Data Bank</v>
      </c>
      <c r="Q232" s="158" t="str">
        <f t="array" ref="Q232">XLOOKUP(F232,'Step 1 Data Bank'!E:E,'Step 1 Data Bank'!M:M,"",0)</f>
        <v>LOANED / ON KOL</v>
      </c>
      <c r="R232" s="160" t="str">
        <f t="array" ref="R232">XLOOKUP(F232,'Step 1 Data Bank'!E:E,'Step 1 Data Bank'!N:N,"",0)</f>
        <v>Zahral Antika</v>
      </c>
      <c r="S232" s="158" t="str">
        <f>IFERROR(IF(ISNUMBER(MATCH(F232,'OLD DATA'!H:H, 0)), "On OLD Data", "Not In Old Data"),"")</f>
        <v>Not In Old Data</v>
      </c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</row>
    <row r="233">
      <c r="A233" s="207">
        <f>IFERROR(__xludf.DUMMYFUNCTION("""COMPUTED_VALUE"""),46204.0)</f>
        <v>46204</v>
      </c>
      <c r="B233" s="158" t="str">
        <f>IFERROR(__xludf.DUMMYFUNCTION("""COMPUTED_VALUE"""),"GOAT")</f>
        <v>GOAT</v>
      </c>
      <c r="C233" s="158" t="str">
        <f>IFERROR(__xludf.DUMMYFUNCTION("""COMPUTED_VALUE"""),"Anggi Paramita Gianieri")</f>
        <v>Anggi Paramita Gianieri</v>
      </c>
      <c r="D233" s="158" t="str">
        <f>IFERROR(__xludf.DUMMYFUNCTION("""COMPUTED_VALUE"""),"Anggi")</f>
        <v>Anggi</v>
      </c>
      <c r="E233" s="160" t="str">
        <f>IFERROR(__xludf.DUMMYFUNCTION("""COMPUTED_VALUE"""),"KHALIDA SYARIFAH +62 878-7524-5551")</f>
        <v>KHALIDA SYARIFAH +62 878-7524-5551</v>
      </c>
      <c r="F233" s="158">
        <f>IFERROR(__xludf.DUMMYFUNCTION("""COMPUTED_VALUE"""),3.54312420030364E14)</f>
        <v>354312420030364</v>
      </c>
      <c r="G233" s="158" t="str">
        <f>IFERROR(__xludf.DUMMYFUNCTION("""COMPUTED_VALUE"""),"SM-F766BDBAXID")</f>
        <v>SM-F766BDBAXID</v>
      </c>
      <c r="H233" s="160" t="str">
        <f>IFERROR(__xludf.DUMMYFUNCTION("""COMPUTED_VALUE"""),"G-Z-FLIP7 256GB DARK BLUE (2025)")</f>
        <v>G-Z-FLIP7 256GB DARK BLUE (2025)</v>
      </c>
      <c r="I233" s="208">
        <f>IFERROR(__xludf.DUMMYFUNCTION("""COMPUTED_VALUE"""),46234.0)</f>
        <v>46234</v>
      </c>
      <c r="J233" s="158">
        <f>IFERROR(__xludf.DUMMYFUNCTION("""COMPUTED_VALUE"""),-153.0)</f>
        <v>-153</v>
      </c>
      <c r="K233" s="160"/>
      <c r="L233" s="158" t="str">
        <f>IFERROR(__xludf.DUMMYFUNCTION("""COMPUTED_VALUE"""),"Not Overdue")</f>
        <v>Not Overdue</v>
      </c>
      <c r="M233" s="158"/>
      <c r="N233" s="158"/>
      <c r="O233" s="158"/>
      <c r="P233" s="158" t="str">
        <f>IFERROR(IF(ISNUMBER(MATCH(F233,'Step 1 Data Bank'!E:E, 0)), "On Data Bank", "Not In Data Bank"),"")</f>
        <v>On Data Bank</v>
      </c>
      <c r="Q233" s="158" t="str">
        <f t="array" ref="Q233">XLOOKUP(F233,'Step 1 Data Bank'!E:E,'Step 1 Data Bank'!M:M,"",0)</f>
        <v>AVAILABLE</v>
      </c>
      <c r="R233" s="160" t="str">
        <f t="array" ref="R233">XLOOKUP(F233,'Step 1 Data Bank'!E:E,'Step 1 Data Bank'!N:N,"",0)</f>
        <v>-</v>
      </c>
      <c r="S233" s="158" t="str">
        <f>IFERROR(IF(ISNUMBER(MATCH(F233,'OLD DATA'!H:H, 0)), "On OLD Data", "Not In Old Data"),"")</f>
        <v>Not In Old Data</v>
      </c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</row>
    <row r="234">
      <c r="A234" s="207">
        <f>IFERROR(__xludf.DUMMYFUNCTION("""COMPUTED_VALUE"""),46204.0)</f>
        <v>46204</v>
      </c>
      <c r="B234" s="158" t="str">
        <f>IFERROR(__xludf.DUMMYFUNCTION("""COMPUTED_VALUE"""),"GOAT")</f>
        <v>GOAT</v>
      </c>
      <c r="C234" s="158" t="str">
        <f>IFERROR(__xludf.DUMMYFUNCTION("""COMPUTED_VALUE"""),"Anggi Paramita Gianieri")</f>
        <v>Anggi Paramita Gianieri</v>
      </c>
      <c r="D234" s="158" t="str">
        <f>IFERROR(__xludf.DUMMYFUNCTION("""COMPUTED_VALUE"""),"Anggi")</f>
        <v>Anggi</v>
      </c>
      <c r="E234" s="160" t="str">
        <f>IFERROR(__xludf.DUMMYFUNCTION("""COMPUTED_VALUE"""),"KHALIDA SYARIFAH +62 878-7524-5551")</f>
        <v>KHALIDA SYARIFAH +62 878-7524-5551</v>
      </c>
      <c r="F234" s="158">
        <f>IFERROR(__xludf.DUMMYFUNCTION("""COMPUTED_VALUE"""),3.54312420002314E14)</f>
        <v>354312420002314</v>
      </c>
      <c r="G234" s="158" t="str">
        <f>IFERROR(__xludf.DUMMYFUNCTION("""COMPUTED_VALUE"""),"SM-F766BLGAXID")</f>
        <v>SM-F766BLGAXID</v>
      </c>
      <c r="H234" s="160" t="str">
        <f>IFERROR(__xludf.DUMMYFUNCTION("""COMPUTED_VALUE"""),"G-Z-FLIP7 256GB LIGHT GREEN (2025)")</f>
        <v>G-Z-FLIP7 256GB LIGHT GREEN (2025)</v>
      </c>
      <c r="I234" s="208">
        <f>IFERROR(__xludf.DUMMYFUNCTION("""COMPUTED_VALUE"""),46234.0)</f>
        <v>46234</v>
      </c>
      <c r="J234" s="158">
        <f>IFERROR(__xludf.DUMMYFUNCTION("""COMPUTED_VALUE"""),-153.0)</f>
        <v>-153</v>
      </c>
      <c r="K234" s="160"/>
      <c r="L234" s="158" t="str">
        <f>IFERROR(__xludf.DUMMYFUNCTION("""COMPUTED_VALUE"""),"Not Overdue")</f>
        <v>Not Overdue</v>
      </c>
      <c r="M234" s="158"/>
      <c r="N234" s="158"/>
      <c r="O234" s="158"/>
      <c r="P234" s="158" t="str">
        <f>IFERROR(IF(ISNUMBER(MATCH(F234,'Step 1 Data Bank'!E:E, 0)), "On Data Bank", "Not In Data Bank"),"")</f>
        <v>On Data Bank</v>
      </c>
      <c r="Q234" s="158" t="str">
        <f t="array" ref="Q234">XLOOKUP(F234,'Step 1 Data Bank'!E:E,'Step 1 Data Bank'!M:M,"",0)</f>
        <v>LOANED / ON KOL</v>
      </c>
      <c r="R234" s="160" t="str">
        <f t="array" ref="R234">XLOOKUP(F234,'Step 1 Data Bank'!E:E,'Step 1 Data Bank'!N:N,"",0)</f>
        <v>Aliya</v>
      </c>
      <c r="S234" s="158" t="str">
        <f>IFERROR(IF(ISNUMBER(MATCH(F234,'OLD DATA'!H:H, 0)), "On OLD Data", "Not In Old Data"),"")</f>
        <v>Not In Old Data</v>
      </c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</row>
    <row r="235">
      <c r="A235" s="207">
        <f>IFERROR(__xludf.DUMMYFUNCTION("""COMPUTED_VALUE"""),46235.0)</f>
        <v>46235</v>
      </c>
      <c r="B235" s="158" t="str">
        <f>IFERROR(__xludf.DUMMYFUNCTION("""COMPUTED_VALUE"""),"GOAT")</f>
        <v>GOAT</v>
      </c>
      <c r="C235" s="158" t="str">
        <f>IFERROR(__xludf.DUMMYFUNCTION("""COMPUTED_VALUE"""),"Anggi Paramita Gianieri")</f>
        <v>Anggi Paramita Gianieri</v>
      </c>
      <c r="D235" s="158" t="str">
        <f>IFERROR(__xludf.DUMMYFUNCTION("""COMPUTED_VALUE"""),"Cindana")</f>
        <v>Cindana</v>
      </c>
      <c r="E235" s="160" t="str">
        <f>IFERROR(__xludf.DUMMYFUNCTION("""COMPUTED_VALUE"""),"ALIYA DWI RACHMADINA +62 813-8875-2830")</f>
        <v>ALIYA DWI RACHMADINA +62 813-8875-2830</v>
      </c>
      <c r="F235" s="158">
        <f>IFERROR(__xludf.DUMMYFUNCTION("""COMPUTED_VALUE"""),3.58780495000254E14)</f>
        <v>358780495000254</v>
      </c>
      <c r="G235" s="158" t="str">
        <f>IFERROR(__xludf.DUMMYFUNCTION("""COMPUTED_VALUE"""),"SM-S948BZDBXID")</f>
        <v>SM-S948BZDBXID</v>
      </c>
      <c r="H235" s="160" t="str">
        <f>IFERROR(__xludf.DUMMYFUNCTION("""COMPUTED_VALUE"""),"G-S26-ULTRA, 12/256GB, GOLD (2026)")</f>
        <v>G-S26-ULTRA, 12/256GB, GOLD (2026)</v>
      </c>
      <c r="I235" s="208">
        <f>IFERROR(__xludf.DUMMYFUNCTION("""COMPUTED_VALUE"""),46265.0)</f>
        <v>46265</v>
      </c>
      <c r="J235" s="158">
        <f>IFERROR(__xludf.DUMMYFUNCTION("""COMPUTED_VALUE"""),-184.0)</f>
        <v>-184</v>
      </c>
      <c r="K235" s="160"/>
      <c r="L235" s="158" t="str">
        <f>IFERROR(__xludf.DUMMYFUNCTION("""COMPUTED_VALUE"""),"Not Overdue")</f>
        <v>Not Overdue</v>
      </c>
      <c r="M235" s="158"/>
      <c r="N235" s="158"/>
      <c r="O235" s="158"/>
      <c r="P235" s="158" t="str">
        <f>IFERROR(IF(ISNUMBER(MATCH(F235,'Step 1 Data Bank'!E:E, 0)), "On Data Bank", "Not In Data Bank"),"")</f>
        <v>On Data Bank</v>
      </c>
      <c r="Q235" s="158" t="str">
        <f t="array" ref="Q235">XLOOKUP(F235,'Step 1 Data Bank'!E:E,'Step 1 Data Bank'!M:M,"",0)</f>
        <v>LOANED / ON KOL</v>
      </c>
      <c r="R235" s="160" t="str">
        <f t="array" ref="R235">XLOOKUP(F235,'Step 1 Data Bank'!E:E,'Step 1 Data Bank'!N:N,"",0)</f>
        <v>Pevent </v>
      </c>
      <c r="S235" s="158" t="str">
        <f>IFERROR(IF(ISNUMBER(MATCH(F235,'OLD DATA'!H:H, 0)), "On OLD Data", "Not In Old Data"),"")</f>
        <v>Not In Old Data</v>
      </c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</row>
    <row r="236">
      <c r="A236" s="207">
        <f>IFERROR(__xludf.DUMMYFUNCTION("""COMPUTED_VALUE"""),46235.0)</f>
        <v>46235</v>
      </c>
      <c r="B236" s="158" t="str">
        <f>IFERROR(__xludf.DUMMYFUNCTION("""COMPUTED_VALUE"""),"GOAT")</f>
        <v>GOAT</v>
      </c>
      <c r="C236" s="158" t="str">
        <f>IFERROR(__xludf.DUMMYFUNCTION("""COMPUTED_VALUE"""),"Anggi Paramita Gianieri")</f>
        <v>Anggi Paramita Gianieri</v>
      </c>
      <c r="D236" s="158" t="str">
        <f>IFERROR(__xludf.DUMMYFUNCTION("""COMPUTED_VALUE"""),"Cindana")</f>
        <v>Cindana</v>
      </c>
      <c r="E236" s="160" t="str">
        <f>IFERROR(__xludf.DUMMYFUNCTION("""COMPUTED_VALUE"""),"ALIYA DWI RACHMADINA +62 813-8875-2830")</f>
        <v>ALIYA DWI RACHMADINA +62 813-8875-2830</v>
      </c>
      <c r="F236" s="158">
        <f>IFERROR(__xludf.DUMMYFUNCTION("""COMPUTED_VALUE"""),3.52425615134999E14)</f>
        <v>352425615134999</v>
      </c>
      <c r="G236" s="158" t="str">
        <f>IFERROR(__xludf.DUMMYFUNCTION("""COMPUTED_VALUE"""),"SM-S948BZKCXID")</f>
        <v>SM-S948BZKCXID</v>
      </c>
      <c r="H236" s="160" t="str">
        <f>IFERROR(__xludf.DUMMYFUNCTION("""COMPUTED_VALUE"""),"G-S26-ULTRA, 12/512GB, BLACK (2026)")</f>
        <v>G-S26-ULTRA, 12/512GB, BLACK (2026)</v>
      </c>
      <c r="I236" s="208">
        <f>IFERROR(__xludf.DUMMYFUNCTION("""COMPUTED_VALUE"""),46265.0)</f>
        <v>46265</v>
      </c>
      <c r="J236" s="158">
        <f>IFERROR(__xludf.DUMMYFUNCTION("""COMPUTED_VALUE"""),-184.0)</f>
        <v>-184</v>
      </c>
      <c r="K236" s="160"/>
      <c r="L236" s="158" t="str">
        <f>IFERROR(__xludf.DUMMYFUNCTION("""COMPUTED_VALUE"""),"Not Overdue")</f>
        <v>Not Overdue</v>
      </c>
      <c r="M236" s="158"/>
      <c r="N236" s="158"/>
      <c r="O236" s="158"/>
      <c r="P236" s="158" t="str">
        <f>IFERROR(IF(ISNUMBER(MATCH(F236,'Step 1 Data Bank'!E:E, 0)), "On Data Bank", "Not In Data Bank"),"")</f>
        <v>On Data Bank</v>
      </c>
      <c r="Q236" s="158" t="str">
        <f t="array" ref="Q236">XLOOKUP(F236,'Step 1 Data Bank'!E:E,'Step 1 Data Bank'!M:M,"",0)</f>
        <v>AVAILABLE</v>
      </c>
      <c r="R236" s="160" t="str">
        <f t="array" ref="R236">XLOOKUP(F236,'Step 1 Data Bank'!E:E,'Step 1 Data Bank'!N:N,"",0)</f>
        <v>-</v>
      </c>
      <c r="S236" s="158" t="str">
        <f>IFERROR(IF(ISNUMBER(MATCH(F236,'OLD DATA'!H:H, 0)), "On OLD Data", "Not In Old Data"),"")</f>
        <v>Not In Old Data</v>
      </c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</row>
    <row r="237">
      <c r="A237" s="207">
        <f>IFERROR(__xludf.DUMMYFUNCTION("""COMPUTED_VALUE"""),46235.0)</f>
        <v>46235</v>
      </c>
      <c r="B237" s="158" t="str">
        <f>IFERROR(__xludf.DUMMYFUNCTION("""COMPUTED_VALUE"""),"GOAT")</f>
        <v>GOAT</v>
      </c>
      <c r="C237" s="158" t="str">
        <f>IFERROR(__xludf.DUMMYFUNCTION("""COMPUTED_VALUE"""),"Anggi Paramita Gianieri")</f>
        <v>Anggi Paramita Gianieri</v>
      </c>
      <c r="D237" s="158" t="str">
        <f>IFERROR(__xludf.DUMMYFUNCTION("""COMPUTED_VALUE"""),"Cindana")</f>
        <v>Cindana</v>
      </c>
      <c r="E237" s="160" t="str">
        <f>IFERROR(__xludf.DUMMYFUNCTION("""COMPUTED_VALUE"""),"ALIYA DWI RACHMADINA +62 813-8875-2830")</f>
        <v>ALIYA DWI RACHMADINA +62 813-8875-2830</v>
      </c>
      <c r="F237" s="158">
        <f>IFERROR(__xludf.DUMMYFUNCTION("""COMPUTED_VALUE"""),3.58780495000361E14)</f>
        <v>358780495000361</v>
      </c>
      <c r="G237" s="158" t="str">
        <f>IFERROR(__xludf.DUMMYFUNCTION("""COMPUTED_VALUE"""),"SM-S948BZSBXID")</f>
        <v>SM-S948BZSBXID</v>
      </c>
      <c r="H237" s="160" t="str">
        <f>IFERROR(__xludf.DUMMYFUNCTION("""COMPUTED_VALUE"""),"G-S26-ULTRA, 12/256GB, SILVER (2026)")</f>
        <v>G-S26-ULTRA, 12/256GB, SILVER (2026)</v>
      </c>
      <c r="I237" s="208">
        <f>IFERROR(__xludf.DUMMYFUNCTION("""COMPUTED_VALUE"""),46265.0)</f>
        <v>46265</v>
      </c>
      <c r="J237" s="158">
        <f>IFERROR(__xludf.DUMMYFUNCTION("""COMPUTED_VALUE"""),-184.0)</f>
        <v>-184</v>
      </c>
      <c r="K237" s="160"/>
      <c r="L237" s="158" t="str">
        <f>IFERROR(__xludf.DUMMYFUNCTION("""COMPUTED_VALUE"""),"Not Overdue")</f>
        <v>Not Overdue</v>
      </c>
      <c r="M237" s="158"/>
      <c r="N237" s="158"/>
      <c r="O237" s="158"/>
      <c r="P237" s="158" t="str">
        <f>IFERROR(IF(ISNUMBER(MATCH(F237,'Step 1 Data Bank'!E:E, 0)), "On Data Bank", "Not In Data Bank"),"")</f>
        <v>On Data Bank</v>
      </c>
      <c r="Q237" s="158" t="str">
        <f t="array" ref="Q237">XLOOKUP(F237,'Step 1 Data Bank'!E:E,'Step 1 Data Bank'!M:M,"",0)</f>
        <v>LOANED / ON KOL</v>
      </c>
      <c r="R237" s="160" t="str">
        <f t="array" ref="R237">XLOOKUP(F237,'Step 1 Data Bank'!E:E,'Step 1 Data Bank'!N:N,"",0)</f>
        <v>Dhyfa</v>
      </c>
      <c r="S237" s="158" t="str">
        <f>IFERROR(IF(ISNUMBER(MATCH(F237,'OLD DATA'!H:H, 0)), "On OLD Data", "Not In Old Data"),"")</f>
        <v>Not In Old Data</v>
      </c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</row>
    <row r="238">
      <c r="A238" s="207">
        <f>IFERROR(__xludf.DUMMYFUNCTION("""COMPUTED_VALUE"""),46235.0)</f>
        <v>46235</v>
      </c>
      <c r="B238" s="158" t="str">
        <f>IFERROR(__xludf.DUMMYFUNCTION("""COMPUTED_VALUE"""),"GOAT")</f>
        <v>GOAT</v>
      </c>
      <c r="C238" s="158" t="str">
        <f>IFERROR(__xludf.DUMMYFUNCTION("""COMPUTED_VALUE"""),"Anggi Paramita Gianieri")</f>
        <v>Anggi Paramita Gianieri</v>
      </c>
      <c r="D238" s="158" t="str">
        <f>IFERROR(__xludf.DUMMYFUNCTION("""COMPUTED_VALUE"""),"Cindana")</f>
        <v>Cindana</v>
      </c>
      <c r="E238" s="160" t="str">
        <f>IFERROR(__xludf.DUMMYFUNCTION("""COMPUTED_VALUE"""),"ALIYA DWI RACHMADINA +62 813-8875-2830")</f>
        <v>ALIYA DWI RACHMADINA +62 813-8875-2830</v>
      </c>
      <c r="F238" s="158">
        <f>IFERROR(__xludf.DUMMYFUNCTION("""COMPUTED_VALUE"""),3.58780495000767E14)</f>
        <v>358780495000767</v>
      </c>
      <c r="G238" s="158" t="str">
        <f>IFERROR(__xludf.DUMMYFUNCTION("""COMPUTED_VALUE"""),"SM-S948BZSBXID")</f>
        <v>SM-S948BZSBXID</v>
      </c>
      <c r="H238" s="160" t="str">
        <f>IFERROR(__xludf.DUMMYFUNCTION("""COMPUTED_VALUE"""),"G-S26-ULTRA, 12/256GB, SILVER (2026)")</f>
        <v>G-S26-ULTRA, 12/256GB, SILVER (2026)</v>
      </c>
      <c r="I238" s="208">
        <f>IFERROR(__xludf.DUMMYFUNCTION("""COMPUTED_VALUE"""),46265.0)</f>
        <v>46265</v>
      </c>
      <c r="J238" s="158">
        <f>IFERROR(__xludf.DUMMYFUNCTION("""COMPUTED_VALUE"""),-184.0)</f>
        <v>-184</v>
      </c>
      <c r="K238" s="160"/>
      <c r="L238" s="158" t="str">
        <f>IFERROR(__xludf.DUMMYFUNCTION("""COMPUTED_VALUE"""),"Not Overdue")</f>
        <v>Not Overdue</v>
      </c>
      <c r="M238" s="158"/>
      <c r="N238" s="158"/>
      <c r="O238" s="158"/>
      <c r="P238" s="158" t="str">
        <f>IFERROR(IF(ISNUMBER(MATCH(F238,'Step 1 Data Bank'!E:E, 0)), "On Data Bank", "Not In Data Bank"),"")</f>
        <v>On Data Bank</v>
      </c>
      <c r="Q238" s="158" t="str">
        <f t="array" ref="Q238">XLOOKUP(F238,'Step 1 Data Bank'!E:E,'Step 1 Data Bank'!M:M,"",0)</f>
        <v>LOANED / ON KOL</v>
      </c>
      <c r="R238" s="160" t="str">
        <f t="array" ref="R238">XLOOKUP(F238,'Step 1 Data Bank'!E:E,'Step 1 Data Bank'!N:N,"",0)</f>
        <v>Nona</v>
      </c>
      <c r="S238" s="158" t="str">
        <f>IFERROR(IF(ISNUMBER(MATCH(F238,'OLD DATA'!H:H, 0)), "On OLD Data", "Not In Old Data"),"")</f>
        <v>Not In Old Data</v>
      </c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</row>
    <row r="239">
      <c r="A239" s="207">
        <f>IFERROR(__xludf.DUMMYFUNCTION("""COMPUTED_VALUE"""),46235.0)</f>
        <v>46235</v>
      </c>
      <c r="B239" s="158" t="str">
        <f>IFERROR(__xludf.DUMMYFUNCTION("""COMPUTED_VALUE"""),"GOAT")</f>
        <v>GOAT</v>
      </c>
      <c r="C239" s="158" t="str">
        <f>IFERROR(__xludf.DUMMYFUNCTION("""COMPUTED_VALUE"""),"Anggi Paramita Gianieri")</f>
        <v>Anggi Paramita Gianieri</v>
      </c>
      <c r="D239" s="158" t="str">
        <f>IFERROR(__xludf.DUMMYFUNCTION("""COMPUTED_VALUE"""),"Cindana")</f>
        <v>Cindana</v>
      </c>
      <c r="E239" s="160" t="str">
        <f>IFERROR(__xludf.DUMMYFUNCTION("""COMPUTED_VALUE"""),"ALIYA DWI RACHMADINA +62 813-8875-2830")</f>
        <v>ALIYA DWI RACHMADINA +62 813-8875-2830</v>
      </c>
      <c r="F239" s="158">
        <f>IFERROR(__xludf.DUMMYFUNCTION("""COMPUTED_VALUE"""),3.58780495015658E14)</f>
        <v>358780495015658</v>
      </c>
      <c r="G239" s="158" t="str">
        <f>IFERROR(__xludf.DUMMYFUNCTION("""COMPUTED_VALUE"""),"SM-S948BZVBXID")</f>
        <v>SM-S948BZVBXID</v>
      </c>
      <c r="H239" s="160" t="str">
        <f>IFERROR(__xludf.DUMMYFUNCTION("""COMPUTED_VALUE"""),"G-S26-ULTRA, 12/256GB, VIOLET (2026)")</f>
        <v>G-S26-ULTRA, 12/256GB, VIOLET (2026)</v>
      </c>
      <c r="I239" s="208">
        <f>IFERROR(__xludf.DUMMYFUNCTION("""COMPUTED_VALUE"""),46265.0)</f>
        <v>46265</v>
      </c>
      <c r="J239" s="158">
        <f>IFERROR(__xludf.DUMMYFUNCTION("""COMPUTED_VALUE"""),-184.0)</f>
        <v>-184</v>
      </c>
      <c r="K239" s="160"/>
      <c r="L239" s="158" t="str">
        <f>IFERROR(__xludf.DUMMYFUNCTION("""COMPUTED_VALUE"""),"Not Overdue")</f>
        <v>Not Overdue</v>
      </c>
      <c r="M239" s="158"/>
      <c r="N239" s="158"/>
      <c r="O239" s="158"/>
      <c r="P239" s="158" t="str">
        <f>IFERROR(IF(ISNUMBER(MATCH(F239,'Step 1 Data Bank'!E:E, 0)), "On Data Bank", "Not In Data Bank"),"")</f>
        <v>On Data Bank</v>
      </c>
      <c r="Q239" s="158" t="str">
        <f t="array" ref="Q239">XLOOKUP(F239,'Step 1 Data Bank'!E:E,'Step 1 Data Bank'!M:M,"",0)</f>
        <v>LOANED / ON KOL</v>
      </c>
      <c r="R239" s="160" t="str">
        <f t="array" ref="R239">XLOOKUP(F239,'Step 1 Data Bank'!E:E,'Step 1 Data Bank'!N:N,"",0)</f>
        <v>Jeffry Reksa</v>
      </c>
      <c r="S239" s="158" t="str">
        <f>IFERROR(IF(ISNUMBER(MATCH(F239,'OLD DATA'!H:H, 0)), "On OLD Data", "Not In Old Data"),"")</f>
        <v>Not In Old Data</v>
      </c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</row>
    <row r="240">
      <c r="A240" s="207">
        <f>IFERROR(__xludf.DUMMYFUNCTION("""COMPUTED_VALUE"""),46235.0)</f>
        <v>46235</v>
      </c>
      <c r="B240" s="158" t="str">
        <f>IFERROR(__xludf.DUMMYFUNCTION("""COMPUTED_VALUE"""),"GOAT")</f>
        <v>GOAT</v>
      </c>
      <c r="C240" s="158" t="str">
        <f>IFERROR(__xludf.DUMMYFUNCTION("""COMPUTED_VALUE"""),"Anggi Paramita Gianieri")</f>
        <v>Anggi Paramita Gianieri</v>
      </c>
      <c r="D240" s="158" t="str">
        <f>IFERROR(__xludf.DUMMYFUNCTION("""COMPUTED_VALUE"""),"Cindana")</f>
        <v>Cindana</v>
      </c>
      <c r="E240" s="160" t="str">
        <f>IFERROR(__xludf.DUMMYFUNCTION("""COMPUTED_VALUE"""),"ALIYA DWI RACHMADINA +62 813-8875-2830")</f>
        <v>ALIYA DWI RACHMADINA +62 813-8875-2830</v>
      </c>
      <c r="F240" s="158">
        <f>IFERROR(__xludf.DUMMYFUNCTION("""COMPUTED_VALUE"""),3.5878049501381E14)</f>
        <v>358780495013810</v>
      </c>
      <c r="G240" s="158" t="str">
        <f>IFERROR(__xludf.DUMMYFUNCTION("""COMPUTED_VALUE"""),"SM-S948BZVBXID")</f>
        <v>SM-S948BZVBXID</v>
      </c>
      <c r="H240" s="160" t="str">
        <f>IFERROR(__xludf.DUMMYFUNCTION("""COMPUTED_VALUE"""),"G-S26-ULTRA, 12/256GB, VIOLET (2026)")</f>
        <v>G-S26-ULTRA, 12/256GB, VIOLET (2026)</v>
      </c>
      <c r="I240" s="208">
        <f>IFERROR(__xludf.DUMMYFUNCTION("""COMPUTED_VALUE"""),46265.0)</f>
        <v>46265</v>
      </c>
      <c r="J240" s="158">
        <f>IFERROR(__xludf.DUMMYFUNCTION("""COMPUTED_VALUE"""),-184.0)</f>
        <v>-184</v>
      </c>
      <c r="K240" s="160"/>
      <c r="L240" s="158" t="str">
        <f>IFERROR(__xludf.DUMMYFUNCTION("""COMPUTED_VALUE"""),"Not Overdue")</f>
        <v>Not Overdue</v>
      </c>
      <c r="M240" s="158"/>
      <c r="N240" s="158"/>
      <c r="O240" s="158"/>
      <c r="P240" s="158" t="str">
        <f>IFERROR(IF(ISNUMBER(MATCH(F240,'Step 1 Data Bank'!E:E, 0)), "On Data Bank", "Not In Data Bank"),"")</f>
        <v>On Data Bank</v>
      </c>
      <c r="Q240" s="158" t="str">
        <f t="array" ref="Q240">XLOOKUP(F240,'Step 1 Data Bank'!E:E,'Step 1 Data Bank'!M:M,"",0)</f>
        <v>AVAILABLE</v>
      </c>
      <c r="R240" s="160" t="str">
        <f t="array" ref="R240">XLOOKUP(F240,'Step 1 Data Bank'!E:E,'Step 1 Data Bank'!N:N,"",0)</f>
        <v>-</v>
      </c>
      <c r="S240" s="158" t="str">
        <f>IFERROR(IF(ISNUMBER(MATCH(F240,'OLD DATA'!H:H, 0)), "On OLD Data", "Not In Old Data"),"")</f>
        <v>Not In Old Data</v>
      </c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</row>
    <row r="241">
      <c r="A241" s="207">
        <f>IFERROR(__xludf.DUMMYFUNCTION("""COMPUTED_VALUE"""),46235.0)</f>
        <v>46235</v>
      </c>
      <c r="B241" s="158" t="str">
        <f>IFERROR(__xludf.DUMMYFUNCTION("""COMPUTED_VALUE"""),"GOAT")</f>
        <v>GOAT</v>
      </c>
      <c r="C241" s="158" t="str">
        <f>IFERROR(__xludf.DUMMYFUNCTION("""COMPUTED_VALUE"""),"Anggi Paramita Gianieri")</f>
        <v>Anggi Paramita Gianieri</v>
      </c>
      <c r="D241" s="158" t="str">
        <f>IFERROR(__xludf.DUMMYFUNCTION("""COMPUTED_VALUE"""),"Cindana")</f>
        <v>Cindana</v>
      </c>
      <c r="E241" s="160" t="str">
        <f>IFERROR(__xludf.DUMMYFUNCTION("""COMPUTED_VALUE"""),"ALIYA DWI RACHMADINA +62 813-8875-2830")</f>
        <v>ALIYA DWI RACHMADINA +62 813-8875-2830</v>
      </c>
      <c r="F241" s="158">
        <f>IFERROR(__xludf.DUMMYFUNCTION("""COMPUTED_VALUE"""),3.58780495014362E14)</f>
        <v>358780495014362</v>
      </c>
      <c r="G241" s="158" t="str">
        <f>IFERROR(__xludf.DUMMYFUNCTION("""COMPUTED_VALUE"""),"SM-S948BZVBXID")</f>
        <v>SM-S948BZVBXID</v>
      </c>
      <c r="H241" s="160" t="str">
        <f>IFERROR(__xludf.DUMMYFUNCTION("""COMPUTED_VALUE"""),"G-S26-ULTRA, 12/256GB, VIOLET (2026)")</f>
        <v>G-S26-ULTRA, 12/256GB, VIOLET (2026)</v>
      </c>
      <c r="I241" s="208">
        <f>IFERROR(__xludf.DUMMYFUNCTION("""COMPUTED_VALUE"""),46265.0)</f>
        <v>46265</v>
      </c>
      <c r="J241" s="158">
        <f>IFERROR(__xludf.DUMMYFUNCTION("""COMPUTED_VALUE"""),-184.0)</f>
        <v>-184</v>
      </c>
      <c r="K241" s="160"/>
      <c r="L241" s="158" t="str">
        <f>IFERROR(__xludf.DUMMYFUNCTION("""COMPUTED_VALUE"""),"Not Overdue")</f>
        <v>Not Overdue</v>
      </c>
      <c r="M241" s="158"/>
      <c r="N241" s="158"/>
      <c r="O241" s="158"/>
      <c r="P241" s="158" t="str">
        <f>IFERROR(IF(ISNUMBER(MATCH(F241,'Step 1 Data Bank'!E:E, 0)), "On Data Bank", "Not In Data Bank"),"")</f>
        <v>On Data Bank</v>
      </c>
      <c r="Q241" s="158" t="str">
        <f t="array" ref="Q241">XLOOKUP(F241,'Step 1 Data Bank'!E:E,'Step 1 Data Bank'!M:M,"",0)</f>
        <v>LOANED / ON KOL</v>
      </c>
      <c r="R241" s="160" t="str">
        <f t="array" ref="R241">XLOOKUP(F241,'Step 1 Data Bank'!E:E,'Step 1 Data Bank'!N:N,"",0)</f>
        <v>Reza Febs</v>
      </c>
      <c r="S241" s="158" t="str">
        <f>IFERROR(IF(ISNUMBER(MATCH(F241,'OLD DATA'!H:H, 0)), "On OLD Data", "Not In Old Data"),"")</f>
        <v>Not In Old Data</v>
      </c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</row>
    <row r="242">
      <c r="A242" s="207">
        <f>IFERROR(__xludf.DUMMYFUNCTION("""COMPUTED_VALUE"""),46235.0)</f>
        <v>46235</v>
      </c>
      <c r="B242" s="158" t="str">
        <f>IFERROR(__xludf.DUMMYFUNCTION("""COMPUTED_VALUE"""),"GOAT")</f>
        <v>GOAT</v>
      </c>
      <c r="C242" s="158" t="str">
        <f>IFERROR(__xludf.DUMMYFUNCTION("""COMPUTED_VALUE"""),"Anggi Paramita Gianieri")</f>
        <v>Anggi Paramita Gianieri</v>
      </c>
      <c r="D242" s="158" t="str">
        <f>IFERROR(__xludf.DUMMYFUNCTION("""COMPUTED_VALUE"""),"Cindana")</f>
        <v>Cindana</v>
      </c>
      <c r="E242" s="160" t="str">
        <f>IFERROR(__xludf.DUMMYFUNCTION("""COMPUTED_VALUE"""),"ALIYA DWI RACHMADINA +62 813-8875-2830")</f>
        <v>ALIYA DWI RACHMADINA +62 813-8875-2830</v>
      </c>
      <c r="F242" s="158">
        <f>IFERROR(__xludf.DUMMYFUNCTION("""COMPUTED_VALUE"""),3.58780495001591E14)</f>
        <v>358780495001591</v>
      </c>
      <c r="G242" s="158" t="str">
        <f>IFERROR(__xludf.DUMMYFUNCTION("""COMPUTED_VALUE"""),"SM-S948BZWBXID")</f>
        <v>SM-S948BZWBXID</v>
      </c>
      <c r="H242" s="160" t="str">
        <f>IFERROR(__xludf.DUMMYFUNCTION("""COMPUTED_VALUE"""),"G-S26-ULTRA, 12/256GB, WHITE (2026)")</f>
        <v>G-S26-ULTRA, 12/256GB, WHITE (2026)</v>
      </c>
      <c r="I242" s="208">
        <f>IFERROR(__xludf.DUMMYFUNCTION("""COMPUTED_VALUE"""),46265.0)</f>
        <v>46265</v>
      </c>
      <c r="J242" s="158">
        <f>IFERROR(__xludf.DUMMYFUNCTION("""COMPUTED_VALUE"""),-184.0)</f>
        <v>-184</v>
      </c>
      <c r="K242" s="160"/>
      <c r="L242" s="158" t="str">
        <f>IFERROR(__xludf.DUMMYFUNCTION("""COMPUTED_VALUE"""),"Not Overdue")</f>
        <v>Not Overdue</v>
      </c>
      <c r="M242" s="158"/>
      <c r="N242" s="158"/>
      <c r="O242" s="158"/>
      <c r="P242" s="158" t="str">
        <f>IFERROR(IF(ISNUMBER(MATCH(F242,'Step 1 Data Bank'!E:E, 0)), "On Data Bank", "Not In Data Bank"),"")</f>
        <v>On Data Bank</v>
      </c>
      <c r="Q242" s="158" t="str">
        <f t="array" ref="Q242">XLOOKUP(F242,'Step 1 Data Bank'!E:E,'Step 1 Data Bank'!M:M,"",0)</f>
        <v>LOANED / ON KOL</v>
      </c>
      <c r="R242" s="160" t="str">
        <f t="array" ref="R242">XLOOKUP(F242,'Step 1 Data Bank'!E:E,'Step 1 Data Bank'!N:N,"",0)</f>
        <v>Jordy</v>
      </c>
      <c r="S242" s="158" t="str">
        <f>IFERROR(IF(ISNUMBER(MATCH(F242,'OLD DATA'!H:H, 0)), "On OLD Data", "Not In Old Data"),"")</f>
        <v>Not In Old Data</v>
      </c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</row>
    <row r="243">
      <c r="A243" s="207">
        <f>IFERROR(__xludf.DUMMYFUNCTION("""COMPUTED_VALUE"""),46235.0)</f>
        <v>46235</v>
      </c>
      <c r="B243" s="158" t="str">
        <f>IFERROR(__xludf.DUMMYFUNCTION("""COMPUTED_VALUE"""),"GOAT")</f>
        <v>GOAT</v>
      </c>
      <c r="C243" s="158" t="str">
        <f>IFERROR(__xludf.DUMMYFUNCTION("""COMPUTED_VALUE"""),"Anggi Paramita Gianieri")</f>
        <v>Anggi Paramita Gianieri</v>
      </c>
      <c r="D243" s="158" t="str">
        <f>IFERROR(__xludf.DUMMYFUNCTION("""COMPUTED_VALUE"""),"Cindana")</f>
        <v>Cindana</v>
      </c>
      <c r="E243" s="160" t="str">
        <f>IFERROR(__xludf.DUMMYFUNCTION("""COMPUTED_VALUE"""),"ALIYA DWI RACHMADINA +62 813-8875-2830")</f>
        <v>ALIYA DWI RACHMADINA +62 813-8875-2830</v>
      </c>
      <c r="F243" s="158">
        <f>IFERROR(__xludf.DUMMYFUNCTION("""COMPUTED_VALUE"""),3.51690530029134E14)</f>
        <v>351690530029134</v>
      </c>
      <c r="G243" s="158" t="str">
        <f>IFERROR(__xludf.DUMMYFUNCTION("""COMPUTED_VALUE"""),"SM-S942BLBCXID")</f>
        <v>SM-S942BLBCXID</v>
      </c>
      <c r="H243" s="160" t="str">
        <f>IFERROR(__xludf.DUMMYFUNCTION("""COMPUTED_VALUE"""),"G-S26, 12/256GB, LIGHT BLUE (2026)")</f>
        <v>G-S26, 12/256GB, LIGHT BLUE (2026)</v>
      </c>
      <c r="I243" s="208">
        <f>IFERROR(__xludf.DUMMYFUNCTION("""COMPUTED_VALUE"""),46265.0)</f>
        <v>46265</v>
      </c>
      <c r="J243" s="158">
        <f>IFERROR(__xludf.DUMMYFUNCTION("""COMPUTED_VALUE"""),-184.0)</f>
        <v>-184</v>
      </c>
      <c r="K243" s="160"/>
      <c r="L243" s="158" t="str">
        <f>IFERROR(__xludf.DUMMYFUNCTION("""COMPUTED_VALUE"""),"Not Overdue")</f>
        <v>Not Overdue</v>
      </c>
      <c r="M243" s="158"/>
      <c r="N243" s="158"/>
      <c r="O243" s="158"/>
      <c r="P243" s="158" t="str">
        <f>IFERROR(IF(ISNUMBER(MATCH(F243,'Step 1 Data Bank'!E:E, 0)), "On Data Bank", "Not In Data Bank"),"")</f>
        <v>On Data Bank</v>
      </c>
      <c r="Q243" s="158" t="str">
        <f t="array" ref="Q243">XLOOKUP(F243,'Step 1 Data Bank'!E:E,'Step 1 Data Bank'!M:M,"",0)</f>
        <v>AVAILABLE</v>
      </c>
      <c r="R243" s="160" t="str">
        <f t="array" ref="R243">XLOOKUP(F243,'Step 1 Data Bank'!E:E,'Step 1 Data Bank'!N:N,"",0)</f>
        <v>-</v>
      </c>
      <c r="S243" s="158" t="str">
        <f>IFERROR(IF(ISNUMBER(MATCH(F243,'OLD DATA'!H:H, 0)), "On OLD Data", "Not In Old Data"),"")</f>
        <v>Not In Old Data</v>
      </c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</row>
    <row r="244">
      <c r="A244" s="207">
        <f>IFERROR(__xludf.DUMMYFUNCTION("""COMPUTED_VALUE"""),46235.0)</f>
        <v>46235</v>
      </c>
      <c r="B244" s="158" t="str">
        <f>IFERROR(__xludf.DUMMYFUNCTION("""COMPUTED_VALUE"""),"GOAT")</f>
        <v>GOAT</v>
      </c>
      <c r="C244" s="158" t="str">
        <f>IFERROR(__xludf.DUMMYFUNCTION("""COMPUTED_VALUE"""),"Anggi Paramita Gianieri")</f>
        <v>Anggi Paramita Gianieri</v>
      </c>
      <c r="D244" s="158" t="str">
        <f>IFERROR(__xludf.DUMMYFUNCTION("""COMPUTED_VALUE"""),"Cindana")</f>
        <v>Cindana</v>
      </c>
      <c r="E244" s="160" t="str">
        <f>IFERROR(__xludf.DUMMYFUNCTION("""COMPUTED_VALUE"""),"ALIYA DWI RACHMADINA +62 813-8875-2830")</f>
        <v>ALIYA DWI RACHMADINA +62 813-8875-2830</v>
      </c>
      <c r="F244" s="158">
        <f>IFERROR(__xludf.DUMMYFUNCTION("""COMPUTED_VALUE"""),3.51690530004319E14)</f>
        <v>351690530004319</v>
      </c>
      <c r="G244" s="158" t="str">
        <f>IFERROR(__xludf.DUMMYFUNCTION("""COMPUTED_VALUE"""),"SM-S942BZKCXID")</f>
        <v>SM-S942BZKCXID</v>
      </c>
      <c r="H244" s="160" t="str">
        <f>IFERROR(__xludf.DUMMYFUNCTION("""COMPUTED_VALUE"""),"G-S26, 12/256GB, BLACK (2026)")</f>
        <v>G-S26, 12/256GB, BLACK (2026)</v>
      </c>
      <c r="I244" s="208">
        <f>IFERROR(__xludf.DUMMYFUNCTION("""COMPUTED_VALUE"""),46265.0)</f>
        <v>46265</v>
      </c>
      <c r="J244" s="158">
        <f>IFERROR(__xludf.DUMMYFUNCTION("""COMPUTED_VALUE"""),-184.0)</f>
        <v>-184</v>
      </c>
      <c r="K244" s="160"/>
      <c r="L244" s="158" t="str">
        <f>IFERROR(__xludf.DUMMYFUNCTION("""COMPUTED_VALUE"""),"Not Overdue")</f>
        <v>Not Overdue</v>
      </c>
      <c r="M244" s="158"/>
      <c r="N244" s="158"/>
      <c r="O244" s="158"/>
      <c r="P244" s="158" t="str">
        <f>IFERROR(IF(ISNUMBER(MATCH(F244,'Step 1 Data Bank'!E:E, 0)), "On Data Bank", "Not In Data Bank"),"")</f>
        <v>Not In Data Bank</v>
      </c>
      <c r="Q244" s="158" t="str">
        <f t="array" ref="Q244">XLOOKUP(F244,'Step 1 Data Bank'!E:E,'Step 1 Data Bank'!M:M,"",0)</f>
        <v/>
      </c>
      <c r="R244" s="160" t="str">
        <f t="array" ref="R244">XLOOKUP(F244,'Step 1 Data Bank'!E:E,'Step 1 Data Bank'!N:N,"",0)</f>
        <v/>
      </c>
      <c r="S244" s="158" t="str">
        <f>IFERROR(IF(ISNUMBER(MATCH(F244,'OLD DATA'!H:H, 0)), "On OLD Data", "Not In Old Data"),"")</f>
        <v>Not In Old Data</v>
      </c>
      <c r="T244" s="158"/>
      <c r="U244" s="158"/>
      <c r="V244" s="158"/>
      <c r="W244" s="158"/>
      <c r="X244" s="158"/>
      <c r="Y244" s="158"/>
      <c r="Z244" s="158"/>
      <c r="AA244" s="158"/>
      <c r="AB244" s="158"/>
      <c r="AC244" s="158"/>
      <c r="AD244" s="158"/>
      <c r="AE244" s="158"/>
    </row>
    <row r="245">
      <c r="A245" s="158"/>
      <c r="B245" s="158"/>
      <c r="C245" s="158"/>
      <c r="D245" s="158"/>
      <c r="E245" s="160"/>
      <c r="F245" s="158"/>
      <c r="G245" s="158"/>
      <c r="H245" s="160"/>
      <c r="I245" s="158"/>
      <c r="J245" s="158"/>
      <c r="K245" s="160"/>
      <c r="L245" s="158"/>
      <c r="M245" s="158"/>
      <c r="N245" s="158"/>
      <c r="O245" s="158"/>
      <c r="P245" s="158"/>
      <c r="Q245" s="158"/>
      <c r="R245" s="160"/>
      <c r="S245" s="158"/>
      <c r="T245" s="158"/>
      <c r="U245" s="158"/>
      <c r="V245" s="158"/>
      <c r="W245" s="158"/>
      <c r="X245" s="158"/>
      <c r="Y245" s="158"/>
      <c r="Z245" s="158"/>
      <c r="AA245" s="158"/>
      <c r="AB245" s="158"/>
      <c r="AC245" s="158"/>
      <c r="AD245" s="158"/>
      <c r="AE245" s="158"/>
    </row>
    <row r="246">
      <c r="A246" s="158"/>
      <c r="B246" s="158"/>
      <c r="C246" s="158"/>
      <c r="D246" s="158"/>
      <c r="E246" s="160"/>
      <c r="F246" s="158"/>
      <c r="G246" s="158"/>
      <c r="H246" s="160"/>
      <c r="I246" s="158"/>
      <c r="J246" s="158"/>
      <c r="K246" s="160"/>
      <c r="L246" s="158"/>
      <c r="M246" s="158"/>
      <c r="N246" s="158"/>
      <c r="O246" s="158"/>
      <c r="P246" s="158"/>
      <c r="Q246" s="158"/>
      <c r="R246" s="160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</row>
    <row r="247">
      <c r="A247" s="158"/>
      <c r="B247" s="158"/>
      <c r="C247" s="158"/>
      <c r="D247" s="158"/>
      <c r="E247" s="160"/>
      <c r="F247" s="158"/>
      <c r="G247" s="158"/>
      <c r="H247" s="160"/>
      <c r="I247" s="158"/>
      <c r="J247" s="158"/>
      <c r="K247" s="160"/>
      <c r="L247" s="158"/>
      <c r="M247" s="158"/>
      <c r="N247" s="158"/>
      <c r="O247" s="158"/>
      <c r="P247" s="158"/>
      <c r="Q247" s="158"/>
      <c r="R247" s="160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</row>
    <row r="248">
      <c r="A248" s="158"/>
      <c r="B248" s="158"/>
      <c r="C248" s="158"/>
      <c r="D248" s="158"/>
      <c r="E248" s="160"/>
      <c r="F248" s="158"/>
      <c r="G248" s="158"/>
      <c r="H248" s="160"/>
      <c r="I248" s="158"/>
      <c r="J248" s="158"/>
      <c r="K248" s="160"/>
      <c r="L248" s="158"/>
      <c r="M248" s="158"/>
      <c r="N248" s="158"/>
      <c r="O248" s="158"/>
      <c r="P248" s="158"/>
      <c r="Q248" s="158"/>
      <c r="R248" s="160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</row>
    <row r="249">
      <c r="A249" s="158"/>
      <c r="B249" s="158"/>
      <c r="C249" s="158"/>
      <c r="D249" s="158"/>
      <c r="E249" s="160"/>
      <c r="F249" s="158"/>
      <c r="G249" s="158"/>
      <c r="H249" s="160"/>
      <c r="I249" s="158"/>
      <c r="J249" s="158"/>
      <c r="K249" s="160"/>
      <c r="L249" s="158"/>
      <c r="M249" s="158"/>
      <c r="N249" s="158"/>
      <c r="O249" s="158"/>
      <c r="P249" s="158"/>
      <c r="Q249" s="158"/>
      <c r="R249" s="160"/>
      <c r="S249" s="158"/>
      <c r="T249" s="158"/>
      <c r="U249" s="158"/>
      <c r="V249" s="158"/>
      <c r="W249" s="158"/>
      <c r="X249" s="158"/>
      <c r="Y249" s="158"/>
      <c r="Z249" s="158"/>
      <c r="AA249" s="158"/>
      <c r="AB249" s="158"/>
      <c r="AC249" s="158"/>
      <c r="AD249" s="158"/>
      <c r="AE249" s="158"/>
    </row>
    <row r="250">
      <c r="A250" s="158"/>
      <c r="B250" s="158"/>
      <c r="C250" s="158"/>
      <c r="D250" s="158"/>
      <c r="E250" s="160"/>
      <c r="F250" s="158"/>
      <c r="G250" s="158"/>
      <c r="H250" s="160"/>
      <c r="I250" s="158"/>
      <c r="J250" s="158"/>
      <c r="K250" s="160"/>
      <c r="L250" s="158"/>
      <c r="M250" s="158"/>
      <c r="N250" s="158"/>
      <c r="O250" s="158"/>
      <c r="P250" s="158"/>
      <c r="Q250" s="158"/>
      <c r="R250" s="160"/>
      <c r="S250" s="158"/>
      <c r="T250" s="158"/>
      <c r="U250" s="158"/>
      <c r="V250" s="158"/>
      <c r="W250" s="158"/>
      <c r="X250" s="158"/>
      <c r="Y250" s="158"/>
      <c r="Z250" s="158"/>
      <c r="AA250" s="158"/>
      <c r="AB250" s="158"/>
      <c r="AC250" s="158"/>
      <c r="AD250" s="158"/>
      <c r="AE250" s="158"/>
    </row>
    <row r="251">
      <c r="A251" s="158"/>
      <c r="B251" s="158"/>
      <c r="C251" s="158"/>
      <c r="D251" s="158"/>
      <c r="E251" s="160"/>
      <c r="F251" s="158"/>
      <c r="G251" s="158"/>
      <c r="H251" s="160"/>
      <c r="I251" s="158"/>
      <c r="J251" s="158"/>
      <c r="K251" s="160"/>
      <c r="L251" s="158"/>
      <c r="M251" s="158"/>
      <c r="N251" s="158"/>
      <c r="O251" s="158"/>
      <c r="P251" s="158"/>
      <c r="Q251" s="158"/>
      <c r="R251" s="160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</row>
    <row r="252">
      <c r="A252" s="158"/>
      <c r="B252" s="158"/>
      <c r="C252" s="158"/>
      <c r="D252" s="158"/>
      <c r="E252" s="160"/>
      <c r="F252" s="158"/>
      <c r="G252" s="158"/>
      <c r="H252" s="160"/>
      <c r="I252" s="158"/>
      <c r="J252" s="158"/>
      <c r="K252" s="160"/>
      <c r="L252" s="158"/>
      <c r="M252" s="158"/>
      <c r="N252" s="158"/>
      <c r="O252" s="158"/>
      <c r="P252" s="158"/>
      <c r="Q252" s="158"/>
      <c r="R252" s="160"/>
      <c r="S252" s="158"/>
      <c r="T252" s="158"/>
      <c r="U252" s="158"/>
      <c r="V252" s="158"/>
      <c r="W252" s="158"/>
      <c r="X252" s="158"/>
      <c r="Y252" s="158"/>
      <c r="Z252" s="158"/>
      <c r="AA252" s="158"/>
      <c r="AB252" s="158"/>
      <c r="AC252" s="158"/>
      <c r="AD252" s="158"/>
      <c r="AE252" s="158"/>
    </row>
    <row r="253">
      <c r="A253" s="158"/>
      <c r="B253" s="158"/>
      <c r="C253" s="158"/>
      <c r="D253" s="158"/>
      <c r="E253" s="160"/>
      <c r="F253" s="158"/>
      <c r="G253" s="158"/>
      <c r="H253" s="160"/>
      <c r="I253" s="158"/>
      <c r="J253" s="158"/>
      <c r="K253" s="160"/>
      <c r="L253" s="158"/>
      <c r="M253" s="158"/>
      <c r="N253" s="158"/>
      <c r="O253" s="158"/>
      <c r="P253" s="158"/>
      <c r="Q253" s="158"/>
      <c r="R253" s="160"/>
      <c r="S253" s="158"/>
      <c r="T253" s="158"/>
      <c r="U253" s="158"/>
      <c r="V253" s="158"/>
      <c r="W253" s="158"/>
      <c r="X253" s="158"/>
      <c r="Y253" s="158"/>
      <c r="Z253" s="158"/>
      <c r="AA253" s="158"/>
      <c r="AB253" s="158"/>
      <c r="AC253" s="158"/>
      <c r="AD253" s="158"/>
      <c r="AE253" s="158"/>
    </row>
    <row r="254">
      <c r="A254" s="158"/>
      <c r="B254" s="158"/>
      <c r="C254" s="158"/>
      <c r="D254" s="158"/>
      <c r="E254" s="160"/>
      <c r="F254" s="158"/>
      <c r="G254" s="158"/>
      <c r="H254" s="160"/>
      <c r="I254" s="158"/>
      <c r="J254" s="158"/>
      <c r="K254" s="160"/>
      <c r="L254" s="158"/>
      <c r="M254" s="158"/>
      <c r="N254" s="158"/>
      <c r="O254" s="158"/>
      <c r="P254" s="158"/>
      <c r="Q254" s="158"/>
      <c r="R254" s="160"/>
      <c r="S254" s="158"/>
      <c r="T254" s="158"/>
      <c r="U254" s="158"/>
      <c r="V254" s="158"/>
      <c r="W254" s="158"/>
      <c r="X254" s="158"/>
      <c r="Y254" s="158"/>
      <c r="Z254" s="158"/>
      <c r="AA254" s="158"/>
      <c r="AB254" s="158"/>
      <c r="AC254" s="158"/>
      <c r="AD254" s="158"/>
      <c r="AE254" s="158"/>
    </row>
    <row r="255">
      <c r="A255" s="158"/>
      <c r="B255" s="158"/>
      <c r="C255" s="158"/>
      <c r="D255" s="158"/>
      <c r="E255" s="160"/>
      <c r="F255" s="158"/>
      <c r="G255" s="158"/>
      <c r="H255" s="160"/>
      <c r="I255" s="158"/>
      <c r="J255" s="158"/>
      <c r="K255" s="160"/>
      <c r="L255" s="158"/>
      <c r="M255" s="158"/>
      <c r="N255" s="158"/>
      <c r="O255" s="158"/>
      <c r="P255" s="158"/>
      <c r="Q255" s="158"/>
      <c r="R255" s="160"/>
      <c r="S255" s="158"/>
      <c r="T255" s="158"/>
      <c r="U255" s="158"/>
      <c r="V255" s="158"/>
      <c r="W255" s="158"/>
      <c r="X255" s="158"/>
      <c r="Y255" s="158"/>
      <c r="Z255" s="158"/>
      <c r="AA255" s="158"/>
      <c r="AB255" s="158"/>
      <c r="AC255" s="158"/>
      <c r="AD255" s="158"/>
      <c r="AE255" s="158"/>
    </row>
    <row r="256">
      <c r="A256" s="158"/>
      <c r="B256" s="158"/>
      <c r="C256" s="158"/>
      <c r="D256" s="158"/>
      <c r="E256" s="160"/>
      <c r="F256" s="158"/>
      <c r="G256" s="158"/>
      <c r="H256" s="160"/>
      <c r="I256" s="158"/>
      <c r="J256" s="158"/>
      <c r="K256" s="160"/>
      <c r="L256" s="158"/>
      <c r="M256" s="158"/>
      <c r="N256" s="158"/>
      <c r="O256" s="158"/>
      <c r="P256" s="158"/>
      <c r="Q256" s="158"/>
      <c r="R256" s="160"/>
      <c r="S256" s="158"/>
      <c r="T256" s="158"/>
      <c r="U256" s="158"/>
      <c r="V256" s="158"/>
      <c r="W256" s="158"/>
      <c r="X256" s="158"/>
      <c r="Y256" s="158"/>
      <c r="Z256" s="158"/>
      <c r="AA256" s="158"/>
      <c r="AB256" s="158"/>
      <c r="AC256" s="158"/>
      <c r="AD256" s="158"/>
      <c r="AE256" s="158"/>
    </row>
    <row r="257">
      <c r="A257" s="158"/>
      <c r="B257" s="158"/>
      <c r="C257" s="158"/>
      <c r="D257" s="158"/>
      <c r="E257" s="160"/>
      <c r="F257" s="158"/>
      <c r="G257" s="158"/>
      <c r="H257" s="160"/>
      <c r="I257" s="158"/>
      <c r="J257" s="158"/>
      <c r="K257" s="160"/>
      <c r="L257" s="158"/>
      <c r="M257" s="158"/>
      <c r="N257" s="158"/>
      <c r="O257" s="158"/>
      <c r="P257" s="158"/>
      <c r="Q257" s="158"/>
      <c r="R257" s="160"/>
      <c r="S257" s="158"/>
      <c r="T257" s="158"/>
      <c r="U257" s="158"/>
      <c r="V257" s="158"/>
      <c r="W257" s="158"/>
      <c r="X257" s="158"/>
      <c r="Y257" s="158"/>
      <c r="Z257" s="158"/>
      <c r="AA257" s="158"/>
      <c r="AB257" s="158"/>
      <c r="AC257" s="158"/>
      <c r="AD257" s="158"/>
      <c r="AE257" s="158"/>
    </row>
    <row r="258">
      <c r="A258" s="158"/>
      <c r="B258" s="158"/>
      <c r="C258" s="158"/>
      <c r="D258" s="158"/>
      <c r="E258" s="160"/>
      <c r="F258" s="158"/>
      <c r="G258" s="158"/>
      <c r="H258" s="160"/>
      <c r="I258" s="158"/>
      <c r="J258" s="158"/>
      <c r="K258" s="160"/>
      <c r="L258" s="158"/>
      <c r="M258" s="158"/>
      <c r="N258" s="158"/>
      <c r="O258" s="158"/>
      <c r="P258" s="158"/>
      <c r="Q258" s="158"/>
      <c r="R258" s="160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</row>
    <row r="259">
      <c r="A259" s="158"/>
      <c r="B259" s="158"/>
      <c r="C259" s="158"/>
      <c r="D259" s="158"/>
      <c r="E259" s="160"/>
      <c r="F259" s="158"/>
      <c r="G259" s="158"/>
      <c r="H259" s="160"/>
      <c r="I259" s="158"/>
      <c r="J259" s="158"/>
      <c r="K259" s="160"/>
      <c r="L259" s="158"/>
      <c r="M259" s="158"/>
      <c r="N259" s="158"/>
      <c r="O259" s="158"/>
      <c r="P259" s="158"/>
      <c r="Q259" s="158"/>
      <c r="R259" s="160"/>
      <c r="S259" s="158"/>
      <c r="T259" s="158"/>
      <c r="U259" s="158"/>
      <c r="V259" s="158"/>
      <c r="W259" s="158"/>
      <c r="X259" s="158"/>
      <c r="Y259" s="158"/>
      <c r="Z259" s="158"/>
      <c r="AA259" s="158"/>
      <c r="AB259" s="158"/>
      <c r="AC259" s="158"/>
      <c r="AD259" s="158"/>
      <c r="AE259" s="158"/>
    </row>
    <row r="260">
      <c r="A260" s="158"/>
      <c r="B260" s="158"/>
      <c r="C260" s="158"/>
      <c r="D260" s="158"/>
      <c r="E260" s="160"/>
      <c r="F260" s="158"/>
      <c r="G260" s="158"/>
      <c r="H260" s="160"/>
      <c r="I260" s="158"/>
      <c r="J260" s="158"/>
      <c r="K260" s="160"/>
      <c r="L260" s="158"/>
      <c r="M260" s="158"/>
      <c r="N260" s="158"/>
      <c r="O260" s="158"/>
      <c r="P260" s="158"/>
      <c r="Q260" s="158"/>
      <c r="R260" s="160"/>
      <c r="S260" s="158"/>
      <c r="T260" s="158"/>
      <c r="U260" s="158"/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58"/>
    </row>
    <row r="261">
      <c r="A261" s="158"/>
      <c r="B261" s="158"/>
      <c r="C261" s="158"/>
      <c r="D261" s="158"/>
      <c r="E261" s="160"/>
      <c r="F261" s="158"/>
      <c r="G261" s="158"/>
      <c r="H261" s="160"/>
      <c r="I261" s="158"/>
      <c r="J261" s="158"/>
      <c r="K261" s="160"/>
      <c r="L261" s="158"/>
      <c r="M261" s="158"/>
      <c r="N261" s="158"/>
      <c r="O261" s="158"/>
      <c r="P261" s="158"/>
      <c r="Q261" s="158"/>
      <c r="R261" s="160"/>
      <c r="S261" s="158"/>
      <c r="T261" s="158"/>
      <c r="U261" s="158"/>
      <c r="V261" s="158"/>
      <c r="W261" s="158"/>
      <c r="X261" s="158"/>
      <c r="Y261" s="158"/>
      <c r="Z261" s="158"/>
      <c r="AA261" s="158"/>
      <c r="AB261" s="158"/>
      <c r="AC261" s="158"/>
      <c r="AD261" s="158"/>
      <c r="AE261" s="158"/>
    </row>
    <row r="262">
      <c r="A262" s="158"/>
      <c r="B262" s="158"/>
      <c r="C262" s="158"/>
      <c r="D262" s="158"/>
      <c r="E262" s="160"/>
      <c r="F262" s="158"/>
      <c r="G262" s="158"/>
      <c r="H262" s="160"/>
      <c r="I262" s="158"/>
      <c r="J262" s="158"/>
      <c r="K262" s="160"/>
      <c r="L262" s="158"/>
      <c r="M262" s="158"/>
      <c r="N262" s="158"/>
      <c r="O262" s="158"/>
      <c r="P262" s="158"/>
      <c r="Q262" s="158"/>
      <c r="R262" s="160"/>
      <c r="S262" s="158"/>
      <c r="T262" s="158"/>
      <c r="U262" s="158"/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</row>
    <row r="263">
      <c r="A263" s="158"/>
      <c r="B263" s="158"/>
      <c r="C263" s="158"/>
      <c r="D263" s="158"/>
      <c r="E263" s="160"/>
      <c r="F263" s="158"/>
      <c r="G263" s="158"/>
      <c r="H263" s="160"/>
      <c r="I263" s="158"/>
      <c r="J263" s="158"/>
      <c r="K263" s="160"/>
      <c r="L263" s="158"/>
      <c r="M263" s="158"/>
      <c r="N263" s="158"/>
      <c r="O263" s="158"/>
      <c r="P263" s="158"/>
      <c r="Q263" s="158"/>
      <c r="R263" s="160"/>
      <c r="S263" s="158"/>
      <c r="T263" s="158"/>
      <c r="U263" s="158"/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</row>
    <row r="264">
      <c r="A264" s="158"/>
      <c r="B264" s="158"/>
      <c r="C264" s="158"/>
      <c r="D264" s="158"/>
      <c r="E264" s="160"/>
      <c r="F264" s="158"/>
      <c r="G264" s="158"/>
      <c r="H264" s="160"/>
      <c r="I264" s="158"/>
      <c r="J264" s="158"/>
      <c r="K264" s="160"/>
      <c r="L264" s="158"/>
      <c r="M264" s="158"/>
      <c r="N264" s="158"/>
      <c r="O264" s="158"/>
      <c r="P264" s="158"/>
      <c r="Q264" s="158"/>
      <c r="R264" s="160"/>
      <c r="S264" s="158"/>
      <c r="T264" s="158"/>
      <c r="U264" s="158"/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</row>
    <row r="265">
      <c r="A265" s="158"/>
      <c r="B265" s="158"/>
      <c r="C265" s="158"/>
      <c r="D265" s="158"/>
      <c r="E265" s="160"/>
      <c r="F265" s="158"/>
      <c r="G265" s="158"/>
      <c r="H265" s="160"/>
      <c r="I265" s="158"/>
      <c r="J265" s="158"/>
      <c r="K265" s="160"/>
      <c r="L265" s="158"/>
      <c r="M265" s="158"/>
      <c r="N265" s="158"/>
      <c r="O265" s="158"/>
      <c r="P265" s="158"/>
      <c r="Q265" s="158"/>
      <c r="R265" s="160"/>
      <c r="S265" s="158"/>
      <c r="T265" s="158"/>
      <c r="U265" s="158"/>
      <c r="V265" s="158"/>
      <c r="W265" s="158"/>
      <c r="X265" s="158"/>
      <c r="Y265" s="158"/>
      <c r="Z265" s="158"/>
      <c r="AA265" s="158"/>
      <c r="AB265" s="158"/>
      <c r="AC265" s="158"/>
      <c r="AD265" s="158"/>
      <c r="AE265" s="158"/>
    </row>
    <row r="266">
      <c r="A266" s="158"/>
      <c r="B266" s="158"/>
      <c r="C266" s="158"/>
      <c r="D266" s="158"/>
      <c r="E266" s="160"/>
      <c r="F266" s="158"/>
      <c r="G266" s="158"/>
      <c r="H266" s="160"/>
      <c r="I266" s="158"/>
      <c r="J266" s="158"/>
      <c r="K266" s="160"/>
      <c r="L266" s="158"/>
      <c r="M266" s="158"/>
      <c r="N266" s="158"/>
      <c r="O266" s="158"/>
      <c r="P266" s="158"/>
      <c r="Q266" s="158"/>
      <c r="R266" s="160"/>
      <c r="S266" s="158"/>
      <c r="T266" s="158"/>
      <c r="U266" s="158"/>
      <c r="V266" s="158"/>
      <c r="W266" s="158"/>
      <c r="X266" s="158"/>
      <c r="Y266" s="158"/>
      <c r="Z266" s="158"/>
      <c r="AA266" s="158"/>
      <c r="AB266" s="158"/>
      <c r="AC266" s="158"/>
      <c r="AD266" s="158"/>
      <c r="AE266" s="158"/>
    </row>
    <row r="267">
      <c r="A267" s="158"/>
      <c r="B267" s="158"/>
      <c r="C267" s="158"/>
      <c r="D267" s="158"/>
      <c r="E267" s="160"/>
      <c r="F267" s="158"/>
      <c r="G267" s="158"/>
      <c r="H267" s="160"/>
      <c r="I267" s="158"/>
      <c r="J267" s="158"/>
      <c r="K267" s="160"/>
      <c r="L267" s="158"/>
      <c r="M267" s="158"/>
      <c r="N267" s="158"/>
      <c r="O267" s="158"/>
      <c r="P267" s="158"/>
      <c r="Q267" s="158"/>
      <c r="R267" s="160"/>
      <c r="S267" s="158"/>
      <c r="T267" s="158"/>
      <c r="U267" s="158"/>
      <c r="V267" s="158"/>
      <c r="W267" s="158"/>
      <c r="X267" s="158"/>
      <c r="Y267" s="158"/>
      <c r="Z267" s="158"/>
      <c r="AA267" s="158"/>
      <c r="AB267" s="158"/>
      <c r="AC267" s="158"/>
      <c r="AD267" s="158"/>
      <c r="AE267" s="158"/>
    </row>
    <row r="268">
      <c r="A268" s="158"/>
      <c r="B268" s="158"/>
      <c r="C268" s="158"/>
      <c r="D268" s="158"/>
      <c r="E268" s="160"/>
      <c r="F268" s="158"/>
      <c r="G268" s="158"/>
      <c r="H268" s="160"/>
      <c r="I268" s="158"/>
      <c r="J268" s="158"/>
      <c r="K268" s="160"/>
      <c r="L268" s="158"/>
      <c r="M268" s="158"/>
      <c r="N268" s="158"/>
      <c r="O268" s="158"/>
      <c r="P268" s="158"/>
      <c r="Q268" s="158"/>
      <c r="R268" s="160"/>
      <c r="S268" s="158"/>
      <c r="T268" s="158"/>
      <c r="U268" s="158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</row>
    <row r="269">
      <c r="A269" s="158"/>
      <c r="B269" s="158"/>
      <c r="C269" s="158"/>
      <c r="D269" s="158"/>
      <c r="E269" s="160"/>
      <c r="F269" s="158"/>
      <c r="G269" s="158"/>
      <c r="H269" s="160"/>
      <c r="I269" s="158"/>
      <c r="J269" s="158"/>
      <c r="K269" s="160"/>
      <c r="L269" s="158"/>
      <c r="M269" s="158"/>
      <c r="N269" s="158"/>
      <c r="O269" s="158"/>
      <c r="P269" s="158"/>
      <c r="Q269" s="158"/>
      <c r="R269" s="160"/>
      <c r="S269" s="158"/>
      <c r="T269" s="158"/>
      <c r="U269" s="158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</row>
    <row r="270">
      <c r="A270" s="158"/>
      <c r="B270" s="158"/>
      <c r="C270" s="158"/>
      <c r="D270" s="158"/>
      <c r="E270" s="160"/>
      <c r="F270" s="158"/>
      <c r="G270" s="158"/>
      <c r="H270" s="160"/>
      <c r="I270" s="158"/>
      <c r="J270" s="158"/>
      <c r="K270" s="160"/>
      <c r="L270" s="158"/>
      <c r="M270" s="158"/>
      <c r="N270" s="158"/>
      <c r="O270" s="158"/>
      <c r="P270" s="158"/>
      <c r="Q270" s="158"/>
      <c r="R270" s="160"/>
      <c r="S270" s="158"/>
      <c r="T270" s="158"/>
      <c r="U270" s="158"/>
      <c r="V270" s="158"/>
      <c r="W270" s="158"/>
      <c r="X270" s="158"/>
      <c r="Y270" s="158"/>
      <c r="Z270" s="158"/>
      <c r="AA270" s="158"/>
      <c r="AB270" s="158"/>
      <c r="AC270" s="158"/>
      <c r="AD270" s="158"/>
      <c r="AE270" s="158"/>
    </row>
    <row r="271">
      <c r="A271" s="158"/>
      <c r="B271" s="158"/>
      <c r="C271" s="158"/>
      <c r="D271" s="158"/>
      <c r="E271" s="160"/>
      <c r="F271" s="158"/>
      <c r="G271" s="158"/>
      <c r="H271" s="160"/>
      <c r="I271" s="158"/>
      <c r="J271" s="158"/>
      <c r="K271" s="160"/>
      <c r="L271" s="158"/>
      <c r="M271" s="158"/>
      <c r="N271" s="158"/>
      <c r="O271" s="158"/>
      <c r="P271" s="158"/>
      <c r="Q271" s="158"/>
      <c r="R271" s="160"/>
      <c r="S271" s="158"/>
      <c r="T271" s="158"/>
      <c r="U271" s="158"/>
      <c r="V271" s="158"/>
      <c r="W271" s="158"/>
      <c r="X271" s="158"/>
      <c r="Y271" s="158"/>
      <c r="Z271" s="158"/>
      <c r="AA271" s="158"/>
      <c r="AB271" s="158"/>
      <c r="AC271" s="158"/>
      <c r="AD271" s="158"/>
      <c r="AE271" s="158"/>
    </row>
    <row r="272">
      <c r="A272" s="158"/>
      <c r="B272" s="158"/>
      <c r="C272" s="158"/>
      <c r="D272" s="158"/>
      <c r="E272" s="160"/>
      <c r="F272" s="158"/>
      <c r="G272" s="158"/>
      <c r="H272" s="160"/>
      <c r="I272" s="158"/>
      <c r="J272" s="158"/>
      <c r="K272" s="160"/>
      <c r="L272" s="158"/>
      <c r="M272" s="158"/>
      <c r="N272" s="158"/>
      <c r="O272" s="158"/>
      <c r="P272" s="158"/>
      <c r="Q272" s="158"/>
      <c r="R272" s="160"/>
      <c r="S272" s="158"/>
      <c r="T272" s="158"/>
      <c r="U272" s="158"/>
      <c r="V272" s="158"/>
      <c r="W272" s="158"/>
      <c r="X272" s="158"/>
      <c r="Y272" s="158"/>
      <c r="Z272" s="158"/>
      <c r="AA272" s="158"/>
      <c r="AB272" s="158"/>
      <c r="AC272" s="158"/>
      <c r="AD272" s="158"/>
      <c r="AE272" s="158"/>
    </row>
    <row r="273">
      <c r="A273" s="158"/>
      <c r="B273" s="158"/>
      <c r="C273" s="158"/>
      <c r="D273" s="158"/>
      <c r="E273" s="160"/>
      <c r="F273" s="158"/>
      <c r="G273" s="158"/>
      <c r="H273" s="160"/>
      <c r="I273" s="158"/>
      <c r="J273" s="158"/>
      <c r="K273" s="160"/>
      <c r="L273" s="158"/>
      <c r="M273" s="158"/>
      <c r="N273" s="158"/>
      <c r="O273" s="158"/>
      <c r="P273" s="158"/>
      <c r="Q273" s="158"/>
      <c r="R273" s="160"/>
      <c r="S273" s="158"/>
      <c r="T273" s="158"/>
      <c r="U273" s="158"/>
      <c r="V273" s="158"/>
      <c r="W273" s="158"/>
      <c r="X273" s="158"/>
      <c r="Y273" s="158"/>
      <c r="Z273" s="158"/>
      <c r="AA273" s="158"/>
      <c r="AB273" s="158"/>
      <c r="AC273" s="158"/>
      <c r="AD273" s="158"/>
      <c r="AE273" s="158"/>
    </row>
    <row r="274">
      <c r="A274" s="158"/>
      <c r="B274" s="158"/>
      <c r="C274" s="158"/>
      <c r="D274" s="158"/>
      <c r="E274" s="160"/>
      <c r="F274" s="158"/>
      <c r="G274" s="158"/>
      <c r="H274" s="160"/>
      <c r="I274" s="158"/>
      <c r="J274" s="158"/>
      <c r="K274" s="160"/>
      <c r="L274" s="158"/>
      <c r="M274" s="158"/>
      <c r="N274" s="158"/>
      <c r="O274" s="158"/>
      <c r="P274" s="158"/>
      <c r="Q274" s="158"/>
      <c r="R274" s="160"/>
      <c r="S274" s="158"/>
      <c r="T274" s="158"/>
      <c r="U274" s="158"/>
      <c r="V274" s="158"/>
      <c r="W274" s="158"/>
      <c r="X274" s="158"/>
      <c r="Y274" s="158"/>
      <c r="Z274" s="158"/>
      <c r="AA274" s="158"/>
      <c r="AB274" s="158"/>
      <c r="AC274" s="158"/>
      <c r="AD274" s="158"/>
      <c r="AE274" s="158"/>
    </row>
    <row r="275">
      <c r="A275" s="158"/>
      <c r="B275" s="158"/>
      <c r="C275" s="158"/>
      <c r="D275" s="158"/>
      <c r="E275" s="160"/>
      <c r="F275" s="158"/>
      <c r="G275" s="158"/>
      <c r="H275" s="160"/>
      <c r="I275" s="158"/>
      <c r="J275" s="158"/>
      <c r="K275" s="160"/>
      <c r="L275" s="158"/>
      <c r="M275" s="158"/>
      <c r="N275" s="158"/>
      <c r="O275" s="158"/>
      <c r="P275" s="158"/>
      <c r="Q275" s="158"/>
      <c r="R275" s="160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</row>
    <row r="276">
      <c r="A276" s="158"/>
      <c r="B276" s="158"/>
      <c r="C276" s="158"/>
      <c r="D276" s="158"/>
      <c r="E276" s="160"/>
      <c r="F276" s="158"/>
      <c r="G276" s="158"/>
      <c r="H276" s="160"/>
      <c r="I276" s="158"/>
      <c r="J276" s="158"/>
      <c r="K276" s="160"/>
      <c r="L276" s="158"/>
      <c r="M276" s="158"/>
      <c r="N276" s="158"/>
      <c r="O276" s="158"/>
      <c r="P276" s="158"/>
      <c r="Q276" s="158"/>
      <c r="R276" s="160"/>
      <c r="S276" s="158"/>
      <c r="T276" s="158"/>
      <c r="U276" s="158"/>
      <c r="V276" s="158"/>
      <c r="W276" s="158"/>
      <c r="X276" s="158"/>
      <c r="Y276" s="158"/>
      <c r="Z276" s="158"/>
      <c r="AA276" s="158"/>
      <c r="AB276" s="158"/>
      <c r="AC276" s="158"/>
      <c r="AD276" s="158"/>
      <c r="AE276" s="158"/>
    </row>
    <row r="277">
      <c r="A277" s="158"/>
      <c r="B277" s="158"/>
      <c r="C277" s="158"/>
      <c r="D277" s="158"/>
      <c r="E277" s="160"/>
      <c r="F277" s="158"/>
      <c r="G277" s="158"/>
      <c r="H277" s="160"/>
      <c r="I277" s="158"/>
      <c r="J277" s="158"/>
      <c r="K277" s="160"/>
      <c r="L277" s="158"/>
      <c r="M277" s="158"/>
      <c r="N277" s="158"/>
      <c r="O277" s="158"/>
      <c r="P277" s="158"/>
      <c r="Q277" s="158"/>
      <c r="R277" s="160"/>
      <c r="S277" s="158"/>
      <c r="T277" s="158"/>
      <c r="U277" s="158"/>
      <c r="V277" s="158"/>
      <c r="W277" s="158"/>
      <c r="X277" s="158"/>
      <c r="Y277" s="158"/>
      <c r="Z277" s="158"/>
      <c r="AA277" s="158"/>
      <c r="AB277" s="158"/>
      <c r="AC277" s="158"/>
      <c r="AD277" s="158"/>
      <c r="AE277" s="158"/>
    </row>
    <row r="278">
      <c r="A278" s="158"/>
      <c r="B278" s="158"/>
      <c r="C278" s="158"/>
      <c r="D278" s="158"/>
      <c r="E278" s="160"/>
      <c r="F278" s="158"/>
      <c r="G278" s="158"/>
      <c r="H278" s="160"/>
      <c r="I278" s="158"/>
      <c r="J278" s="158"/>
      <c r="K278" s="160"/>
      <c r="L278" s="158"/>
      <c r="M278" s="158"/>
      <c r="N278" s="158"/>
      <c r="O278" s="158"/>
      <c r="P278" s="158"/>
      <c r="Q278" s="158"/>
      <c r="R278" s="160"/>
      <c r="S278" s="158"/>
      <c r="T278" s="158"/>
      <c r="U278" s="158"/>
      <c r="V278" s="158"/>
      <c r="W278" s="158"/>
      <c r="X278" s="158"/>
      <c r="Y278" s="158"/>
      <c r="Z278" s="158"/>
      <c r="AA278" s="158"/>
      <c r="AB278" s="158"/>
      <c r="AC278" s="158"/>
      <c r="AD278" s="158"/>
      <c r="AE278" s="158"/>
    </row>
    <row r="279">
      <c r="A279" s="158"/>
      <c r="B279" s="158"/>
      <c r="C279" s="158"/>
      <c r="D279" s="158"/>
      <c r="E279" s="160"/>
      <c r="F279" s="158"/>
      <c r="G279" s="158"/>
      <c r="H279" s="160"/>
      <c r="I279" s="158"/>
      <c r="J279" s="158"/>
      <c r="K279" s="160"/>
      <c r="L279" s="158"/>
      <c r="M279" s="158"/>
      <c r="N279" s="158"/>
      <c r="O279" s="158"/>
      <c r="P279" s="158"/>
      <c r="Q279" s="158"/>
      <c r="R279" s="160"/>
      <c r="S279" s="158"/>
      <c r="T279" s="158"/>
      <c r="U279" s="158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</row>
    <row r="280">
      <c r="A280" s="158"/>
      <c r="B280" s="158"/>
      <c r="C280" s="158"/>
      <c r="D280" s="158"/>
      <c r="E280" s="160"/>
      <c r="F280" s="158"/>
      <c r="G280" s="158"/>
      <c r="H280" s="160"/>
      <c r="I280" s="158"/>
      <c r="J280" s="158"/>
      <c r="K280" s="160"/>
      <c r="L280" s="158"/>
      <c r="M280" s="158"/>
      <c r="N280" s="158"/>
      <c r="O280" s="158"/>
      <c r="P280" s="158"/>
      <c r="Q280" s="158"/>
      <c r="R280" s="160"/>
      <c r="S280" s="158"/>
      <c r="T280" s="158"/>
      <c r="U280" s="158"/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</row>
    <row r="281">
      <c r="A281" s="158"/>
      <c r="B281" s="158"/>
      <c r="C281" s="158"/>
      <c r="D281" s="158"/>
      <c r="E281" s="160"/>
      <c r="F281" s="158"/>
      <c r="G281" s="158"/>
      <c r="H281" s="160"/>
      <c r="I281" s="158"/>
      <c r="J281" s="158"/>
      <c r="K281" s="160"/>
      <c r="L281" s="158"/>
      <c r="M281" s="158"/>
      <c r="N281" s="158"/>
      <c r="O281" s="158"/>
      <c r="P281" s="158"/>
      <c r="Q281" s="158"/>
      <c r="R281" s="160"/>
      <c r="S281" s="158"/>
      <c r="T281" s="158"/>
      <c r="U281" s="158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</row>
    <row r="282">
      <c r="A282" s="158"/>
      <c r="B282" s="158"/>
      <c r="C282" s="158"/>
      <c r="D282" s="158"/>
      <c r="E282" s="160"/>
      <c r="F282" s="158"/>
      <c r="G282" s="158"/>
      <c r="H282" s="160"/>
      <c r="I282" s="158"/>
      <c r="J282" s="158"/>
      <c r="K282" s="160"/>
      <c r="L282" s="158"/>
      <c r="M282" s="158"/>
      <c r="N282" s="158"/>
      <c r="O282" s="158"/>
      <c r="P282" s="158"/>
      <c r="Q282" s="158"/>
      <c r="R282" s="160"/>
      <c r="S282" s="158"/>
      <c r="T282" s="158"/>
      <c r="U282" s="158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</row>
    <row r="283">
      <c r="A283" s="158"/>
      <c r="B283" s="158"/>
      <c r="C283" s="158"/>
      <c r="D283" s="158"/>
      <c r="E283" s="160"/>
      <c r="F283" s="158"/>
      <c r="G283" s="158"/>
      <c r="H283" s="160"/>
      <c r="I283" s="158"/>
      <c r="J283" s="158"/>
      <c r="K283" s="160"/>
      <c r="L283" s="158"/>
      <c r="M283" s="158"/>
      <c r="N283" s="158"/>
      <c r="O283" s="158"/>
      <c r="P283" s="158"/>
      <c r="Q283" s="158"/>
      <c r="R283" s="160"/>
      <c r="S283" s="158"/>
      <c r="T283" s="158"/>
      <c r="U283" s="158"/>
      <c r="V283" s="158"/>
      <c r="W283" s="158"/>
      <c r="X283" s="158"/>
      <c r="Y283" s="158"/>
      <c r="Z283" s="158"/>
      <c r="AA283" s="158"/>
      <c r="AB283" s="158"/>
      <c r="AC283" s="158"/>
      <c r="AD283" s="158"/>
      <c r="AE283" s="158"/>
    </row>
    <row r="284">
      <c r="A284" s="158"/>
      <c r="B284" s="158"/>
      <c r="C284" s="158"/>
      <c r="D284" s="158"/>
      <c r="E284" s="160"/>
      <c r="F284" s="158"/>
      <c r="G284" s="158"/>
      <c r="H284" s="160"/>
      <c r="I284" s="158"/>
      <c r="J284" s="158"/>
      <c r="K284" s="160"/>
      <c r="L284" s="158"/>
      <c r="M284" s="158"/>
      <c r="N284" s="158"/>
      <c r="O284" s="158"/>
      <c r="P284" s="158"/>
      <c r="Q284" s="158"/>
      <c r="R284" s="160"/>
      <c r="S284" s="158"/>
      <c r="T284" s="158"/>
      <c r="U284" s="158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</row>
    <row r="285">
      <c r="A285" s="158"/>
      <c r="B285" s="158"/>
      <c r="C285" s="158"/>
      <c r="D285" s="158"/>
      <c r="E285" s="160"/>
      <c r="F285" s="158"/>
      <c r="G285" s="158"/>
      <c r="H285" s="160"/>
      <c r="I285" s="158"/>
      <c r="J285" s="158"/>
      <c r="K285" s="160"/>
      <c r="L285" s="158"/>
      <c r="M285" s="158"/>
      <c r="N285" s="158"/>
      <c r="O285" s="158"/>
      <c r="P285" s="158"/>
      <c r="Q285" s="158"/>
      <c r="R285" s="160"/>
      <c r="S285" s="158"/>
      <c r="T285" s="158"/>
      <c r="U285" s="158"/>
      <c r="V285" s="158"/>
      <c r="W285" s="158"/>
      <c r="X285" s="158"/>
      <c r="Y285" s="158"/>
      <c r="Z285" s="158"/>
      <c r="AA285" s="158"/>
      <c r="AB285" s="158"/>
      <c r="AC285" s="158"/>
      <c r="AD285" s="158"/>
      <c r="AE285" s="158"/>
    </row>
    <row r="286">
      <c r="A286" s="158"/>
      <c r="B286" s="158"/>
      <c r="C286" s="158"/>
      <c r="D286" s="158"/>
      <c r="E286" s="160"/>
      <c r="F286" s="158"/>
      <c r="G286" s="158"/>
      <c r="H286" s="160"/>
      <c r="I286" s="158"/>
      <c r="J286" s="158"/>
      <c r="K286" s="160"/>
      <c r="L286" s="158"/>
      <c r="M286" s="158"/>
      <c r="N286" s="158"/>
      <c r="O286" s="158"/>
      <c r="P286" s="158"/>
      <c r="Q286" s="158"/>
      <c r="R286" s="160"/>
      <c r="S286" s="158"/>
      <c r="T286" s="158"/>
      <c r="U286" s="158"/>
      <c r="V286" s="158"/>
      <c r="W286" s="158"/>
      <c r="X286" s="158"/>
      <c r="Y286" s="158"/>
      <c r="Z286" s="158"/>
      <c r="AA286" s="158"/>
      <c r="AB286" s="158"/>
      <c r="AC286" s="158"/>
      <c r="AD286" s="158"/>
      <c r="AE286" s="158"/>
    </row>
    <row r="287">
      <c r="A287" s="158"/>
      <c r="B287" s="158"/>
      <c r="C287" s="158"/>
      <c r="D287" s="158"/>
      <c r="E287" s="160"/>
      <c r="F287" s="158"/>
      <c r="G287" s="158"/>
      <c r="H287" s="160"/>
      <c r="I287" s="158"/>
      <c r="J287" s="158"/>
      <c r="K287" s="160"/>
      <c r="L287" s="158"/>
      <c r="M287" s="158"/>
      <c r="N287" s="158"/>
      <c r="O287" s="158"/>
      <c r="P287" s="158"/>
      <c r="Q287" s="158"/>
      <c r="R287" s="160"/>
      <c r="S287" s="158"/>
      <c r="T287" s="158"/>
      <c r="U287" s="158"/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</row>
    <row r="288">
      <c r="A288" s="158"/>
      <c r="B288" s="158"/>
      <c r="C288" s="158"/>
      <c r="D288" s="158"/>
      <c r="E288" s="160"/>
      <c r="F288" s="158"/>
      <c r="G288" s="158"/>
      <c r="H288" s="160"/>
      <c r="I288" s="158"/>
      <c r="J288" s="158"/>
      <c r="K288" s="160"/>
      <c r="L288" s="158"/>
      <c r="M288" s="158"/>
      <c r="N288" s="158"/>
      <c r="O288" s="158"/>
      <c r="P288" s="158"/>
      <c r="Q288" s="158"/>
      <c r="R288" s="160"/>
      <c r="S288" s="158"/>
      <c r="T288" s="158"/>
      <c r="U288" s="158"/>
      <c r="V288" s="158"/>
      <c r="W288" s="158"/>
      <c r="X288" s="158"/>
      <c r="Y288" s="158"/>
      <c r="Z288" s="158"/>
      <c r="AA288" s="158"/>
      <c r="AB288" s="158"/>
      <c r="AC288" s="158"/>
      <c r="AD288" s="158"/>
      <c r="AE288" s="158"/>
    </row>
    <row r="289">
      <c r="A289" s="158"/>
      <c r="B289" s="158"/>
      <c r="C289" s="158"/>
      <c r="D289" s="158"/>
      <c r="E289" s="160"/>
      <c r="F289" s="158"/>
      <c r="G289" s="158"/>
      <c r="H289" s="160"/>
      <c r="I289" s="158"/>
      <c r="J289" s="158"/>
      <c r="K289" s="160"/>
      <c r="L289" s="158"/>
      <c r="M289" s="158"/>
      <c r="N289" s="158"/>
      <c r="O289" s="158"/>
      <c r="P289" s="158"/>
      <c r="Q289" s="158"/>
      <c r="R289" s="160"/>
      <c r="S289" s="158"/>
      <c r="T289" s="158"/>
      <c r="U289" s="158"/>
      <c r="V289" s="158"/>
      <c r="W289" s="158"/>
      <c r="X289" s="158"/>
      <c r="Y289" s="158"/>
      <c r="Z289" s="158"/>
      <c r="AA289" s="158"/>
      <c r="AB289" s="158"/>
      <c r="AC289" s="158"/>
      <c r="AD289" s="158"/>
      <c r="AE289" s="158"/>
    </row>
    <row r="290">
      <c r="A290" s="158"/>
      <c r="B290" s="158"/>
      <c r="C290" s="158"/>
      <c r="D290" s="158"/>
      <c r="E290" s="160"/>
      <c r="F290" s="158"/>
      <c r="G290" s="158"/>
      <c r="H290" s="160"/>
      <c r="I290" s="158"/>
      <c r="J290" s="158"/>
      <c r="K290" s="160"/>
      <c r="L290" s="158"/>
      <c r="M290" s="158"/>
      <c r="N290" s="158"/>
      <c r="O290" s="158"/>
      <c r="P290" s="158"/>
      <c r="Q290" s="158"/>
      <c r="R290" s="160"/>
      <c r="S290" s="158"/>
      <c r="T290" s="158"/>
      <c r="U290" s="158"/>
      <c r="V290" s="158"/>
      <c r="W290" s="158"/>
      <c r="X290" s="158"/>
      <c r="Y290" s="158"/>
      <c r="Z290" s="158"/>
      <c r="AA290" s="158"/>
      <c r="AB290" s="158"/>
      <c r="AC290" s="158"/>
      <c r="AD290" s="158"/>
      <c r="AE290" s="158"/>
    </row>
    <row r="291">
      <c r="A291" s="158"/>
      <c r="B291" s="158"/>
      <c r="C291" s="158"/>
      <c r="D291" s="158"/>
      <c r="E291" s="160"/>
      <c r="F291" s="158"/>
      <c r="G291" s="158"/>
      <c r="H291" s="160"/>
      <c r="I291" s="158"/>
      <c r="J291" s="158"/>
      <c r="K291" s="160"/>
      <c r="L291" s="158"/>
      <c r="M291" s="158"/>
      <c r="N291" s="158"/>
      <c r="O291" s="158"/>
      <c r="P291" s="158"/>
      <c r="Q291" s="158"/>
      <c r="R291" s="160"/>
      <c r="S291" s="158"/>
      <c r="T291" s="158"/>
      <c r="U291" s="158"/>
      <c r="V291" s="158"/>
      <c r="W291" s="158"/>
      <c r="X291" s="158"/>
      <c r="Y291" s="158"/>
      <c r="Z291" s="158"/>
      <c r="AA291" s="158"/>
      <c r="AB291" s="158"/>
      <c r="AC291" s="158"/>
      <c r="AD291" s="158"/>
      <c r="AE291" s="158"/>
    </row>
    <row r="292">
      <c r="A292" s="158"/>
      <c r="B292" s="158"/>
      <c r="C292" s="158"/>
      <c r="D292" s="158"/>
      <c r="E292" s="160"/>
      <c r="F292" s="158"/>
      <c r="G292" s="158"/>
      <c r="H292" s="160"/>
      <c r="I292" s="158"/>
      <c r="J292" s="158"/>
      <c r="K292" s="160"/>
      <c r="L292" s="158"/>
      <c r="M292" s="158"/>
      <c r="N292" s="158"/>
      <c r="O292" s="158"/>
      <c r="P292" s="158"/>
      <c r="Q292" s="158"/>
      <c r="R292" s="160"/>
      <c r="S292" s="158"/>
      <c r="T292" s="158"/>
      <c r="U292" s="158"/>
      <c r="V292" s="158"/>
      <c r="W292" s="158"/>
      <c r="X292" s="158"/>
      <c r="Y292" s="158"/>
      <c r="Z292" s="158"/>
      <c r="AA292" s="158"/>
      <c r="AB292" s="158"/>
      <c r="AC292" s="158"/>
      <c r="AD292" s="158"/>
      <c r="AE292" s="158"/>
    </row>
    <row r="293">
      <c r="A293" s="158"/>
      <c r="B293" s="158"/>
      <c r="C293" s="158"/>
      <c r="D293" s="158"/>
      <c r="E293" s="160"/>
      <c r="F293" s="158"/>
      <c r="G293" s="158"/>
      <c r="H293" s="160"/>
      <c r="I293" s="158"/>
      <c r="J293" s="158"/>
      <c r="K293" s="160"/>
      <c r="L293" s="158"/>
      <c r="M293" s="158"/>
      <c r="N293" s="158"/>
      <c r="O293" s="158"/>
      <c r="P293" s="158"/>
      <c r="Q293" s="158"/>
      <c r="R293" s="160"/>
      <c r="S293" s="158"/>
      <c r="T293" s="158"/>
      <c r="U293" s="158"/>
      <c r="V293" s="158"/>
      <c r="W293" s="158"/>
      <c r="X293" s="158"/>
      <c r="Y293" s="158"/>
      <c r="Z293" s="158"/>
      <c r="AA293" s="158"/>
      <c r="AB293" s="158"/>
      <c r="AC293" s="158"/>
      <c r="AD293" s="158"/>
      <c r="AE293" s="158"/>
    </row>
    <row r="294">
      <c r="A294" s="158"/>
      <c r="B294" s="158"/>
      <c r="C294" s="158"/>
      <c r="D294" s="158"/>
      <c r="E294" s="160"/>
      <c r="F294" s="158"/>
      <c r="G294" s="158"/>
      <c r="H294" s="160"/>
      <c r="I294" s="158"/>
      <c r="J294" s="158"/>
      <c r="K294" s="160"/>
      <c r="L294" s="158"/>
      <c r="M294" s="158"/>
      <c r="N294" s="158"/>
      <c r="O294" s="158"/>
      <c r="P294" s="158"/>
      <c r="Q294" s="158"/>
      <c r="R294" s="160"/>
      <c r="S294" s="158"/>
      <c r="T294" s="158"/>
      <c r="U294" s="158"/>
      <c r="V294" s="158"/>
      <c r="W294" s="158"/>
      <c r="X294" s="158"/>
      <c r="Y294" s="158"/>
      <c r="Z294" s="158"/>
      <c r="AA294" s="158"/>
      <c r="AB294" s="158"/>
      <c r="AC294" s="158"/>
      <c r="AD294" s="158"/>
      <c r="AE294" s="158"/>
    </row>
    <row r="295">
      <c r="A295" s="158"/>
      <c r="B295" s="158"/>
      <c r="C295" s="158"/>
      <c r="D295" s="158"/>
      <c r="E295" s="160"/>
      <c r="F295" s="158"/>
      <c r="G295" s="158"/>
      <c r="H295" s="160"/>
      <c r="I295" s="158"/>
      <c r="J295" s="158"/>
      <c r="K295" s="160"/>
      <c r="L295" s="158"/>
      <c r="M295" s="158"/>
      <c r="N295" s="158"/>
      <c r="O295" s="158"/>
      <c r="P295" s="158"/>
      <c r="Q295" s="158"/>
      <c r="R295" s="160"/>
      <c r="S295" s="158"/>
      <c r="T295" s="158"/>
      <c r="U295" s="158"/>
      <c r="V295" s="158"/>
      <c r="W295" s="158"/>
      <c r="X295" s="158"/>
      <c r="Y295" s="158"/>
      <c r="Z295" s="158"/>
      <c r="AA295" s="158"/>
      <c r="AB295" s="158"/>
      <c r="AC295" s="158"/>
      <c r="AD295" s="158"/>
      <c r="AE295" s="158"/>
    </row>
    <row r="296">
      <c r="A296" s="158"/>
      <c r="B296" s="158"/>
      <c r="C296" s="158"/>
      <c r="D296" s="158"/>
      <c r="E296" s="160"/>
      <c r="F296" s="158"/>
      <c r="G296" s="158"/>
      <c r="H296" s="160"/>
      <c r="I296" s="158"/>
      <c r="J296" s="158"/>
      <c r="K296" s="160"/>
      <c r="L296" s="158"/>
      <c r="M296" s="158"/>
      <c r="N296" s="158"/>
      <c r="O296" s="158"/>
      <c r="P296" s="158"/>
      <c r="Q296" s="158"/>
      <c r="R296" s="160"/>
      <c r="S296" s="158"/>
      <c r="T296" s="158"/>
      <c r="U296" s="158"/>
      <c r="V296" s="158"/>
      <c r="W296" s="158"/>
      <c r="X296" s="158"/>
      <c r="Y296" s="158"/>
      <c r="Z296" s="158"/>
      <c r="AA296" s="158"/>
      <c r="AB296" s="158"/>
      <c r="AC296" s="158"/>
      <c r="AD296" s="158"/>
      <c r="AE296" s="158"/>
    </row>
    <row r="297">
      <c r="A297" s="158"/>
      <c r="B297" s="158"/>
      <c r="C297" s="158"/>
      <c r="D297" s="158"/>
      <c r="E297" s="160"/>
      <c r="F297" s="158"/>
      <c r="G297" s="158"/>
      <c r="H297" s="160"/>
      <c r="I297" s="158"/>
      <c r="J297" s="158"/>
      <c r="K297" s="160"/>
      <c r="L297" s="158"/>
      <c r="M297" s="158"/>
      <c r="N297" s="158"/>
      <c r="O297" s="158"/>
      <c r="P297" s="158"/>
      <c r="Q297" s="158"/>
      <c r="R297" s="160"/>
      <c r="S297" s="158"/>
      <c r="T297" s="158"/>
      <c r="U297" s="158"/>
      <c r="V297" s="158"/>
      <c r="W297" s="158"/>
      <c r="X297" s="158"/>
      <c r="Y297" s="158"/>
      <c r="Z297" s="158"/>
      <c r="AA297" s="158"/>
      <c r="AB297" s="158"/>
      <c r="AC297" s="158"/>
      <c r="AD297" s="158"/>
      <c r="AE297" s="158"/>
    </row>
    <row r="298">
      <c r="A298" s="158"/>
      <c r="B298" s="158"/>
      <c r="C298" s="158"/>
      <c r="D298" s="158"/>
      <c r="E298" s="160"/>
      <c r="F298" s="158"/>
      <c r="G298" s="158"/>
      <c r="H298" s="160"/>
      <c r="I298" s="158"/>
      <c r="J298" s="158"/>
      <c r="K298" s="160"/>
      <c r="L298" s="158"/>
      <c r="M298" s="158"/>
      <c r="N298" s="158"/>
      <c r="O298" s="158"/>
      <c r="P298" s="158"/>
      <c r="Q298" s="158"/>
      <c r="R298" s="160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</row>
    <row r="299">
      <c r="A299" s="158"/>
      <c r="B299" s="158"/>
      <c r="C299" s="158"/>
      <c r="D299" s="158"/>
      <c r="E299" s="160"/>
      <c r="F299" s="158"/>
      <c r="G299" s="158"/>
      <c r="H299" s="160"/>
      <c r="I299" s="158"/>
      <c r="J299" s="158"/>
      <c r="K299" s="160"/>
      <c r="L299" s="158"/>
      <c r="M299" s="158"/>
      <c r="N299" s="158"/>
      <c r="O299" s="158"/>
      <c r="P299" s="158"/>
      <c r="Q299" s="158"/>
      <c r="R299" s="160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</row>
    <row r="300">
      <c r="A300" s="158"/>
      <c r="B300" s="158"/>
      <c r="C300" s="158"/>
      <c r="D300" s="158"/>
      <c r="E300" s="160"/>
      <c r="F300" s="158"/>
      <c r="G300" s="158"/>
      <c r="H300" s="160"/>
      <c r="I300" s="158"/>
      <c r="J300" s="158"/>
      <c r="K300" s="160"/>
      <c r="L300" s="158"/>
      <c r="M300" s="158"/>
      <c r="N300" s="158"/>
      <c r="O300" s="158"/>
      <c r="P300" s="158"/>
      <c r="Q300" s="158"/>
      <c r="R300" s="160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</row>
    <row r="301">
      <c r="A301" s="158"/>
      <c r="B301" s="158"/>
      <c r="C301" s="158"/>
      <c r="D301" s="158"/>
      <c r="E301" s="160"/>
      <c r="F301" s="158"/>
      <c r="G301" s="158"/>
      <c r="H301" s="160"/>
      <c r="I301" s="158"/>
      <c r="J301" s="158"/>
      <c r="K301" s="160"/>
      <c r="L301" s="158"/>
      <c r="M301" s="158"/>
      <c r="N301" s="158"/>
      <c r="O301" s="158"/>
      <c r="P301" s="158"/>
      <c r="Q301" s="158"/>
      <c r="R301" s="160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</row>
    <row r="302">
      <c r="A302" s="158"/>
      <c r="B302" s="158"/>
      <c r="C302" s="158"/>
      <c r="D302" s="158"/>
      <c r="E302" s="160"/>
      <c r="F302" s="158"/>
      <c r="G302" s="158"/>
      <c r="H302" s="160"/>
      <c r="I302" s="158"/>
      <c r="J302" s="158"/>
      <c r="K302" s="160"/>
      <c r="L302" s="158"/>
      <c r="M302" s="158"/>
      <c r="N302" s="158"/>
      <c r="O302" s="158"/>
      <c r="P302" s="158"/>
      <c r="Q302" s="158"/>
      <c r="R302" s="160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</row>
    <row r="303">
      <c r="A303" s="158"/>
      <c r="B303" s="158"/>
      <c r="C303" s="158"/>
      <c r="D303" s="158"/>
      <c r="E303" s="160"/>
      <c r="F303" s="158"/>
      <c r="G303" s="158"/>
      <c r="H303" s="160"/>
      <c r="I303" s="158"/>
      <c r="J303" s="158"/>
      <c r="K303" s="160"/>
      <c r="L303" s="158"/>
      <c r="M303" s="158"/>
      <c r="N303" s="158"/>
      <c r="O303" s="158"/>
      <c r="P303" s="158"/>
      <c r="Q303" s="158"/>
      <c r="R303" s="160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</row>
    <row r="304">
      <c r="A304" s="158"/>
      <c r="B304" s="158"/>
      <c r="C304" s="158"/>
      <c r="D304" s="158"/>
      <c r="E304" s="160"/>
      <c r="F304" s="158"/>
      <c r="G304" s="158"/>
      <c r="H304" s="160"/>
      <c r="I304" s="158"/>
      <c r="J304" s="158"/>
      <c r="K304" s="160"/>
      <c r="L304" s="158"/>
      <c r="M304" s="158"/>
      <c r="N304" s="158"/>
      <c r="O304" s="158"/>
      <c r="P304" s="158"/>
      <c r="Q304" s="158"/>
      <c r="R304" s="160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</row>
    <row r="305">
      <c r="A305" s="158"/>
      <c r="B305" s="158"/>
      <c r="C305" s="158"/>
      <c r="D305" s="158"/>
      <c r="E305" s="160"/>
      <c r="F305" s="158"/>
      <c r="G305" s="158"/>
      <c r="H305" s="160"/>
      <c r="I305" s="158"/>
      <c r="J305" s="158"/>
      <c r="K305" s="160"/>
      <c r="L305" s="158"/>
      <c r="M305" s="158"/>
      <c r="N305" s="158"/>
      <c r="O305" s="158"/>
      <c r="P305" s="158"/>
      <c r="Q305" s="158"/>
      <c r="R305" s="160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</row>
    <row r="306">
      <c r="A306" s="158"/>
      <c r="B306" s="158"/>
      <c r="C306" s="158"/>
      <c r="D306" s="158"/>
      <c r="E306" s="160"/>
      <c r="F306" s="158"/>
      <c r="G306" s="158"/>
      <c r="H306" s="160"/>
      <c r="I306" s="158"/>
      <c r="J306" s="158"/>
      <c r="K306" s="160"/>
      <c r="L306" s="158"/>
      <c r="M306" s="158"/>
      <c r="N306" s="158"/>
      <c r="O306" s="158"/>
      <c r="P306" s="158"/>
      <c r="Q306" s="158"/>
      <c r="R306" s="160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</row>
    <row r="307">
      <c r="A307" s="158"/>
      <c r="B307" s="158"/>
      <c r="C307" s="158"/>
      <c r="D307" s="158"/>
      <c r="E307" s="160"/>
      <c r="F307" s="158"/>
      <c r="G307" s="158"/>
      <c r="H307" s="160"/>
      <c r="I307" s="158"/>
      <c r="J307" s="158"/>
      <c r="K307" s="160"/>
      <c r="L307" s="158"/>
      <c r="M307" s="158"/>
      <c r="N307" s="158"/>
      <c r="O307" s="158"/>
      <c r="P307" s="158"/>
      <c r="Q307" s="158"/>
      <c r="R307" s="160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</row>
    <row r="308">
      <c r="A308" s="158"/>
      <c r="B308" s="158"/>
      <c r="C308" s="158"/>
      <c r="D308" s="158"/>
      <c r="E308" s="160"/>
      <c r="F308" s="158"/>
      <c r="G308" s="158"/>
      <c r="H308" s="160"/>
      <c r="I308" s="158"/>
      <c r="J308" s="158"/>
      <c r="K308" s="160"/>
      <c r="L308" s="158"/>
      <c r="M308" s="158"/>
      <c r="N308" s="158"/>
      <c r="O308" s="158"/>
      <c r="P308" s="158"/>
      <c r="Q308" s="158"/>
      <c r="R308" s="160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</row>
    <row r="309">
      <c r="A309" s="158"/>
      <c r="B309" s="158"/>
      <c r="C309" s="158"/>
      <c r="D309" s="158"/>
      <c r="E309" s="160"/>
      <c r="F309" s="158"/>
      <c r="G309" s="158"/>
      <c r="H309" s="160"/>
      <c r="I309" s="158"/>
      <c r="J309" s="158"/>
      <c r="K309" s="160"/>
      <c r="L309" s="158"/>
      <c r="M309" s="158"/>
      <c r="N309" s="158"/>
      <c r="O309" s="158"/>
      <c r="P309" s="158"/>
      <c r="Q309" s="158"/>
      <c r="R309" s="160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</row>
    <row r="310">
      <c r="A310" s="158"/>
      <c r="B310" s="158"/>
      <c r="C310" s="158"/>
      <c r="D310" s="158"/>
      <c r="E310" s="160"/>
      <c r="F310" s="158"/>
      <c r="G310" s="158"/>
      <c r="H310" s="160"/>
      <c r="I310" s="158"/>
      <c r="J310" s="158"/>
      <c r="K310" s="160"/>
      <c r="L310" s="158"/>
      <c r="M310" s="158"/>
      <c r="N310" s="158"/>
      <c r="O310" s="158"/>
      <c r="P310" s="158"/>
      <c r="Q310" s="158"/>
      <c r="R310" s="160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</row>
    <row r="311">
      <c r="A311" s="158"/>
      <c r="B311" s="158"/>
      <c r="C311" s="158"/>
      <c r="D311" s="158"/>
      <c r="E311" s="160"/>
      <c r="F311" s="158"/>
      <c r="G311" s="158"/>
      <c r="H311" s="160"/>
      <c r="I311" s="158"/>
      <c r="J311" s="158"/>
      <c r="K311" s="160"/>
      <c r="L311" s="158"/>
      <c r="M311" s="158"/>
      <c r="N311" s="158"/>
      <c r="O311" s="158"/>
      <c r="P311" s="158"/>
      <c r="Q311" s="158"/>
      <c r="R311" s="160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</row>
    <row r="312">
      <c r="A312" s="158"/>
      <c r="B312" s="158"/>
      <c r="C312" s="158"/>
      <c r="D312" s="158"/>
      <c r="E312" s="160"/>
      <c r="F312" s="158"/>
      <c r="G312" s="158"/>
      <c r="H312" s="160"/>
      <c r="I312" s="158"/>
      <c r="J312" s="158"/>
      <c r="K312" s="160"/>
      <c r="L312" s="158"/>
      <c r="M312" s="158"/>
      <c r="N312" s="158"/>
      <c r="O312" s="158"/>
      <c r="P312" s="158"/>
      <c r="Q312" s="158"/>
      <c r="R312" s="160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</row>
    <row r="313">
      <c r="A313" s="158"/>
      <c r="B313" s="158"/>
      <c r="C313" s="158"/>
      <c r="D313" s="158"/>
      <c r="E313" s="160"/>
      <c r="F313" s="158"/>
      <c r="G313" s="158"/>
      <c r="H313" s="160"/>
      <c r="I313" s="158"/>
      <c r="J313" s="158"/>
      <c r="K313" s="160"/>
      <c r="L313" s="158"/>
      <c r="M313" s="158"/>
      <c r="N313" s="158"/>
      <c r="O313" s="158"/>
      <c r="P313" s="158"/>
      <c r="Q313" s="158"/>
      <c r="R313" s="160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</row>
    <row r="314">
      <c r="A314" s="158"/>
      <c r="B314" s="158"/>
      <c r="C314" s="158"/>
      <c r="D314" s="158"/>
      <c r="E314" s="160"/>
      <c r="F314" s="158"/>
      <c r="G314" s="158"/>
      <c r="H314" s="160"/>
      <c r="I314" s="158"/>
      <c r="J314" s="158"/>
      <c r="K314" s="160"/>
      <c r="L314" s="158"/>
      <c r="M314" s="158"/>
      <c r="N314" s="158"/>
      <c r="O314" s="158"/>
      <c r="P314" s="158"/>
      <c r="Q314" s="158"/>
      <c r="R314" s="160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</row>
    <row r="315">
      <c r="A315" s="158"/>
      <c r="B315" s="158"/>
      <c r="C315" s="158"/>
      <c r="D315" s="158"/>
      <c r="E315" s="160"/>
      <c r="F315" s="158"/>
      <c r="G315" s="158"/>
      <c r="H315" s="160"/>
      <c r="I315" s="158"/>
      <c r="J315" s="158"/>
      <c r="K315" s="160"/>
      <c r="L315" s="158"/>
      <c r="M315" s="158"/>
      <c r="N315" s="158"/>
      <c r="O315" s="158"/>
      <c r="P315" s="158"/>
      <c r="Q315" s="158"/>
      <c r="R315" s="160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</row>
    <row r="316">
      <c r="A316" s="158"/>
      <c r="B316" s="158"/>
      <c r="C316" s="158"/>
      <c r="D316" s="158"/>
      <c r="E316" s="160"/>
      <c r="F316" s="158"/>
      <c r="G316" s="158"/>
      <c r="H316" s="160"/>
      <c r="I316" s="158"/>
      <c r="J316" s="158"/>
      <c r="K316" s="160"/>
      <c r="L316" s="158"/>
      <c r="M316" s="158"/>
      <c r="N316" s="158"/>
      <c r="O316" s="158"/>
      <c r="P316" s="158"/>
      <c r="Q316" s="158"/>
      <c r="R316" s="160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</row>
    <row r="317">
      <c r="A317" s="158"/>
      <c r="B317" s="158"/>
      <c r="C317" s="158"/>
      <c r="D317" s="158"/>
      <c r="E317" s="160"/>
      <c r="F317" s="158"/>
      <c r="G317" s="158"/>
      <c r="H317" s="160"/>
      <c r="I317" s="158"/>
      <c r="J317" s="158"/>
      <c r="K317" s="160"/>
      <c r="L317" s="158"/>
      <c r="M317" s="158"/>
      <c r="N317" s="158"/>
      <c r="O317" s="158"/>
      <c r="P317" s="158"/>
      <c r="Q317" s="158"/>
      <c r="R317" s="160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</row>
    <row r="318">
      <c r="A318" s="158"/>
      <c r="B318" s="158"/>
      <c r="C318" s="158"/>
      <c r="D318" s="158"/>
      <c r="E318" s="160"/>
      <c r="F318" s="158"/>
      <c r="G318" s="158"/>
      <c r="H318" s="160"/>
      <c r="I318" s="158"/>
      <c r="J318" s="158"/>
      <c r="K318" s="160"/>
      <c r="L318" s="158"/>
      <c r="M318" s="158"/>
      <c r="N318" s="158"/>
      <c r="O318" s="158"/>
      <c r="P318" s="158"/>
      <c r="Q318" s="158"/>
      <c r="R318" s="160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</row>
    <row r="319">
      <c r="A319" s="158"/>
      <c r="B319" s="158"/>
      <c r="C319" s="158"/>
      <c r="D319" s="158"/>
      <c r="E319" s="160"/>
      <c r="F319" s="158"/>
      <c r="G319" s="158"/>
      <c r="H319" s="160"/>
      <c r="I319" s="158"/>
      <c r="J319" s="158"/>
      <c r="K319" s="160"/>
      <c r="L319" s="158"/>
      <c r="M319" s="158"/>
      <c r="N319" s="158"/>
      <c r="O319" s="158"/>
      <c r="P319" s="158"/>
      <c r="Q319" s="158"/>
      <c r="R319" s="160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</row>
    <row r="320">
      <c r="A320" s="158"/>
      <c r="B320" s="158"/>
      <c r="C320" s="158"/>
      <c r="D320" s="158"/>
      <c r="E320" s="160"/>
      <c r="F320" s="158"/>
      <c r="G320" s="158"/>
      <c r="H320" s="160"/>
      <c r="I320" s="158"/>
      <c r="J320" s="158"/>
      <c r="K320" s="160"/>
      <c r="L320" s="158"/>
      <c r="M320" s="158"/>
      <c r="N320" s="158"/>
      <c r="O320" s="158"/>
      <c r="P320" s="158"/>
      <c r="Q320" s="158"/>
      <c r="R320" s="160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</row>
    <row r="321">
      <c r="A321" s="158"/>
      <c r="B321" s="158"/>
      <c r="C321" s="158"/>
      <c r="D321" s="158"/>
      <c r="E321" s="160"/>
      <c r="F321" s="158"/>
      <c r="G321" s="158"/>
      <c r="H321" s="160"/>
      <c r="I321" s="158"/>
      <c r="J321" s="158"/>
      <c r="K321" s="160"/>
      <c r="L321" s="158"/>
      <c r="M321" s="158"/>
      <c r="N321" s="158"/>
      <c r="O321" s="158"/>
      <c r="P321" s="158"/>
      <c r="Q321" s="158"/>
      <c r="R321" s="160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</row>
    <row r="322">
      <c r="A322" s="158"/>
      <c r="B322" s="158"/>
      <c r="C322" s="158"/>
      <c r="D322" s="158"/>
      <c r="E322" s="160"/>
      <c r="F322" s="158"/>
      <c r="G322" s="158"/>
      <c r="H322" s="160"/>
      <c r="I322" s="158"/>
      <c r="J322" s="158"/>
      <c r="K322" s="160"/>
      <c r="L322" s="158"/>
      <c r="M322" s="158"/>
      <c r="N322" s="158"/>
      <c r="O322" s="158"/>
      <c r="P322" s="158"/>
      <c r="Q322" s="158"/>
      <c r="R322" s="160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</row>
    <row r="323">
      <c r="A323" s="158"/>
      <c r="B323" s="158"/>
      <c r="C323" s="158"/>
      <c r="D323" s="158"/>
      <c r="E323" s="160"/>
      <c r="F323" s="158"/>
      <c r="G323" s="158"/>
      <c r="H323" s="160"/>
      <c r="I323" s="158"/>
      <c r="J323" s="158"/>
      <c r="K323" s="160"/>
      <c r="L323" s="158"/>
      <c r="M323" s="158"/>
      <c r="N323" s="158"/>
      <c r="O323" s="158"/>
      <c r="P323" s="158"/>
      <c r="Q323" s="158"/>
      <c r="R323" s="160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</row>
    <row r="324">
      <c r="A324" s="158"/>
      <c r="B324" s="158"/>
      <c r="C324" s="158"/>
      <c r="D324" s="158"/>
      <c r="E324" s="160"/>
      <c r="F324" s="158"/>
      <c r="G324" s="158"/>
      <c r="H324" s="160"/>
      <c r="I324" s="158"/>
      <c r="J324" s="158"/>
      <c r="K324" s="160"/>
      <c r="L324" s="158"/>
      <c r="M324" s="158"/>
      <c r="N324" s="158"/>
      <c r="O324" s="158"/>
      <c r="P324" s="158"/>
      <c r="Q324" s="158"/>
      <c r="R324" s="160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</row>
    <row r="325">
      <c r="A325" s="158"/>
      <c r="B325" s="158"/>
      <c r="C325" s="158"/>
      <c r="D325" s="158"/>
      <c r="E325" s="160"/>
      <c r="F325" s="158"/>
      <c r="G325" s="158"/>
      <c r="H325" s="160"/>
      <c r="I325" s="158"/>
      <c r="J325" s="158"/>
      <c r="K325" s="160"/>
      <c r="L325" s="158"/>
      <c r="M325" s="158"/>
      <c r="N325" s="158"/>
      <c r="O325" s="158"/>
      <c r="P325" s="158"/>
      <c r="Q325" s="158"/>
      <c r="R325" s="160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</row>
    <row r="326">
      <c r="A326" s="158"/>
      <c r="B326" s="158"/>
      <c r="C326" s="158"/>
      <c r="D326" s="158"/>
      <c r="E326" s="160"/>
      <c r="F326" s="158"/>
      <c r="G326" s="158"/>
      <c r="H326" s="160"/>
      <c r="I326" s="158"/>
      <c r="J326" s="158"/>
      <c r="K326" s="160"/>
      <c r="L326" s="158"/>
      <c r="M326" s="158"/>
      <c r="N326" s="158"/>
      <c r="O326" s="158"/>
      <c r="P326" s="158"/>
      <c r="Q326" s="158"/>
      <c r="R326" s="160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</row>
    <row r="327">
      <c r="A327" s="158"/>
      <c r="B327" s="158"/>
      <c r="C327" s="158"/>
      <c r="D327" s="158"/>
      <c r="E327" s="160"/>
      <c r="F327" s="158"/>
      <c r="G327" s="158"/>
      <c r="H327" s="160"/>
      <c r="I327" s="158"/>
      <c r="J327" s="158"/>
      <c r="K327" s="160"/>
      <c r="L327" s="158"/>
      <c r="M327" s="158"/>
      <c r="N327" s="158"/>
      <c r="O327" s="158"/>
      <c r="P327" s="158"/>
      <c r="Q327" s="158"/>
      <c r="R327" s="160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</row>
    <row r="328">
      <c r="A328" s="158"/>
      <c r="B328" s="158"/>
      <c r="C328" s="158"/>
      <c r="D328" s="158"/>
      <c r="E328" s="160"/>
      <c r="F328" s="158"/>
      <c r="G328" s="158"/>
      <c r="H328" s="160"/>
      <c r="I328" s="158"/>
      <c r="J328" s="158"/>
      <c r="K328" s="160"/>
      <c r="L328" s="158"/>
      <c r="M328" s="158"/>
      <c r="N328" s="158"/>
      <c r="O328" s="158"/>
      <c r="P328" s="158"/>
      <c r="Q328" s="158"/>
      <c r="R328" s="160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</row>
    <row r="329">
      <c r="A329" s="158"/>
      <c r="B329" s="158"/>
      <c r="C329" s="158"/>
      <c r="D329" s="158"/>
      <c r="E329" s="160"/>
      <c r="F329" s="158"/>
      <c r="G329" s="158"/>
      <c r="H329" s="160"/>
      <c r="I329" s="158"/>
      <c r="J329" s="158"/>
      <c r="K329" s="160"/>
      <c r="L329" s="158"/>
      <c r="M329" s="158"/>
      <c r="N329" s="158"/>
      <c r="O329" s="158"/>
      <c r="P329" s="158"/>
      <c r="Q329" s="158"/>
      <c r="R329" s="160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</row>
    <row r="330">
      <c r="A330" s="158"/>
      <c r="B330" s="158"/>
      <c r="C330" s="158"/>
      <c r="D330" s="158"/>
      <c r="E330" s="160"/>
      <c r="F330" s="158"/>
      <c r="G330" s="158"/>
      <c r="H330" s="160"/>
      <c r="I330" s="158"/>
      <c r="J330" s="158"/>
      <c r="K330" s="160"/>
      <c r="L330" s="158"/>
      <c r="M330" s="158"/>
      <c r="N330" s="158"/>
      <c r="O330" s="158"/>
      <c r="P330" s="158"/>
      <c r="Q330" s="158"/>
      <c r="R330" s="160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</row>
    <row r="331">
      <c r="A331" s="158"/>
      <c r="B331" s="158"/>
      <c r="C331" s="158"/>
      <c r="D331" s="158"/>
      <c r="E331" s="160"/>
      <c r="F331" s="158"/>
      <c r="G331" s="158"/>
      <c r="H331" s="160"/>
      <c r="I331" s="158"/>
      <c r="J331" s="158"/>
      <c r="K331" s="160"/>
      <c r="L331" s="158"/>
      <c r="M331" s="158"/>
      <c r="N331" s="158"/>
      <c r="O331" s="158"/>
      <c r="P331" s="158"/>
      <c r="Q331" s="158"/>
      <c r="R331" s="160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</row>
    <row r="332">
      <c r="A332" s="158"/>
      <c r="B332" s="158"/>
      <c r="C332" s="158"/>
      <c r="D332" s="158"/>
      <c r="E332" s="160"/>
      <c r="F332" s="158"/>
      <c r="G332" s="158"/>
      <c r="H332" s="160"/>
      <c r="I332" s="158"/>
      <c r="J332" s="158"/>
      <c r="K332" s="160"/>
      <c r="L332" s="158"/>
      <c r="M332" s="158"/>
      <c r="N332" s="158"/>
      <c r="O332" s="158"/>
      <c r="P332" s="158"/>
      <c r="Q332" s="158"/>
      <c r="R332" s="160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</row>
    <row r="333">
      <c r="A333" s="158"/>
      <c r="B333" s="158"/>
      <c r="C333" s="158"/>
      <c r="D333" s="158"/>
      <c r="E333" s="160"/>
      <c r="F333" s="158"/>
      <c r="G333" s="158"/>
      <c r="H333" s="160"/>
      <c r="I333" s="158"/>
      <c r="J333" s="158"/>
      <c r="K333" s="160"/>
      <c r="L333" s="158"/>
      <c r="M333" s="158"/>
      <c r="N333" s="158"/>
      <c r="O333" s="158"/>
      <c r="P333" s="158"/>
      <c r="Q333" s="158"/>
      <c r="R333" s="160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</row>
    <row r="334">
      <c r="A334" s="158"/>
      <c r="B334" s="158"/>
      <c r="C334" s="158"/>
      <c r="D334" s="158"/>
      <c r="E334" s="160"/>
      <c r="F334" s="158"/>
      <c r="G334" s="158"/>
      <c r="H334" s="160"/>
      <c r="I334" s="158"/>
      <c r="J334" s="158"/>
      <c r="K334" s="160"/>
      <c r="L334" s="158"/>
      <c r="M334" s="158"/>
      <c r="N334" s="158"/>
      <c r="O334" s="158"/>
      <c r="P334" s="158"/>
      <c r="Q334" s="158"/>
      <c r="R334" s="160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</row>
    <row r="335">
      <c r="A335" s="158"/>
      <c r="B335" s="158"/>
      <c r="C335" s="158"/>
      <c r="D335" s="158"/>
      <c r="E335" s="160"/>
      <c r="F335" s="158"/>
      <c r="G335" s="158"/>
      <c r="H335" s="160"/>
      <c r="I335" s="158"/>
      <c r="J335" s="158"/>
      <c r="K335" s="160"/>
      <c r="L335" s="158"/>
      <c r="M335" s="158"/>
      <c r="N335" s="158"/>
      <c r="O335" s="158"/>
      <c r="P335" s="158"/>
      <c r="Q335" s="158"/>
      <c r="R335" s="160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</row>
    <row r="336">
      <c r="A336" s="158"/>
      <c r="B336" s="158"/>
      <c r="C336" s="158"/>
      <c r="D336" s="158"/>
      <c r="E336" s="160"/>
      <c r="F336" s="158"/>
      <c r="G336" s="158"/>
      <c r="H336" s="160"/>
      <c r="I336" s="158"/>
      <c r="J336" s="158"/>
      <c r="K336" s="160"/>
      <c r="L336" s="158"/>
      <c r="M336" s="158"/>
      <c r="N336" s="158"/>
      <c r="O336" s="158"/>
      <c r="P336" s="158"/>
      <c r="Q336" s="158"/>
      <c r="R336" s="160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</row>
    <row r="337">
      <c r="A337" s="158"/>
      <c r="B337" s="158"/>
      <c r="C337" s="158"/>
      <c r="D337" s="158"/>
      <c r="E337" s="160"/>
      <c r="F337" s="158"/>
      <c r="G337" s="158"/>
      <c r="H337" s="160"/>
      <c r="I337" s="158"/>
      <c r="J337" s="158"/>
      <c r="K337" s="160"/>
      <c r="L337" s="158"/>
      <c r="M337" s="158"/>
      <c r="N337" s="158"/>
      <c r="O337" s="158"/>
      <c r="P337" s="158"/>
      <c r="Q337" s="158"/>
      <c r="R337" s="160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</row>
    <row r="338">
      <c r="A338" s="158"/>
      <c r="B338" s="158"/>
      <c r="C338" s="158"/>
      <c r="D338" s="158"/>
      <c r="E338" s="160"/>
      <c r="F338" s="158"/>
      <c r="G338" s="158"/>
      <c r="H338" s="160"/>
      <c r="I338" s="158"/>
      <c r="J338" s="158"/>
      <c r="K338" s="160"/>
      <c r="L338" s="158"/>
      <c r="M338" s="158"/>
      <c r="N338" s="158"/>
      <c r="O338" s="158"/>
      <c r="P338" s="158"/>
      <c r="Q338" s="158"/>
      <c r="R338" s="160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</row>
    <row r="339">
      <c r="A339" s="158"/>
      <c r="B339" s="158"/>
      <c r="C339" s="158"/>
      <c r="D339" s="158"/>
      <c r="E339" s="160"/>
      <c r="F339" s="158"/>
      <c r="G339" s="158"/>
      <c r="H339" s="160"/>
      <c r="I339" s="158"/>
      <c r="J339" s="158"/>
      <c r="K339" s="160"/>
      <c r="L339" s="158"/>
      <c r="M339" s="158"/>
      <c r="N339" s="158"/>
      <c r="O339" s="158"/>
      <c r="P339" s="158"/>
      <c r="Q339" s="158"/>
      <c r="R339" s="160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</row>
    <row r="340">
      <c r="A340" s="158"/>
      <c r="B340" s="158"/>
      <c r="C340" s="158"/>
      <c r="D340" s="158"/>
      <c r="E340" s="160"/>
      <c r="F340" s="158"/>
      <c r="G340" s="158"/>
      <c r="H340" s="160"/>
      <c r="I340" s="158"/>
      <c r="J340" s="158"/>
      <c r="K340" s="160"/>
      <c r="L340" s="158"/>
      <c r="M340" s="158"/>
      <c r="N340" s="158"/>
      <c r="O340" s="158"/>
      <c r="P340" s="158"/>
      <c r="Q340" s="158"/>
      <c r="R340" s="160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</row>
    <row r="341">
      <c r="A341" s="158"/>
      <c r="B341" s="158"/>
      <c r="C341" s="158"/>
      <c r="D341" s="158"/>
      <c r="E341" s="160"/>
      <c r="F341" s="158"/>
      <c r="G341" s="158"/>
      <c r="H341" s="160"/>
      <c r="I341" s="158"/>
      <c r="J341" s="158"/>
      <c r="K341" s="160"/>
      <c r="L341" s="158"/>
      <c r="M341" s="158"/>
      <c r="N341" s="158"/>
      <c r="O341" s="158"/>
      <c r="P341" s="158"/>
      <c r="Q341" s="158"/>
      <c r="R341" s="160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</row>
    <row r="342">
      <c r="A342" s="158"/>
      <c r="B342" s="158"/>
      <c r="C342" s="158"/>
      <c r="D342" s="158"/>
      <c r="E342" s="160"/>
      <c r="F342" s="158"/>
      <c r="G342" s="158"/>
      <c r="H342" s="160"/>
      <c r="I342" s="158"/>
      <c r="J342" s="158"/>
      <c r="K342" s="160"/>
      <c r="L342" s="158"/>
      <c r="M342" s="158"/>
      <c r="N342" s="158"/>
      <c r="O342" s="158"/>
      <c r="P342" s="158"/>
      <c r="Q342" s="158"/>
      <c r="R342" s="160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</row>
    <row r="343">
      <c r="A343" s="158"/>
      <c r="B343" s="158"/>
      <c r="C343" s="158"/>
      <c r="D343" s="158"/>
      <c r="E343" s="160"/>
      <c r="F343" s="158"/>
      <c r="G343" s="158"/>
      <c r="H343" s="160"/>
      <c r="I343" s="158"/>
      <c r="J343" s="158"/>
      <c r="K343" s="160"/>
      <c r="L343" s="158"/>
      <c r="M343" s="158"/>
      <c r="N343" s="158"/>
      <c r="O343" s="158"/>
      <c r="P343" s="158"/>
      <c r="Q343" s="158"/>
      <c r="R343" s="160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</row>
    <row r="344">
      <c r="A344" s="158"/>
      <c r="B344" s="158"/>
      <c r="C344" s="158"/>
      <c r="D344" s="158"/>
      <c r="E344" s="160"/>
      <c r="F344" s="158"/>
      <c r="G344" s="158"/>
      <c r="H344" s="160"/>
      <c r="I344" s="158"/>
      <c r="J344" s="158"/>
      <c r="K344" s="160"/>
      <c r="L344" s="158"/>
      <c r="M344" s="158"/>
      <c r="N344" s="158"/>
      <c r="O344" s="158"/>
      <c r="P344" s="158"/>
      <c r="Q344" s="158"/>
      <c r="R344" s="160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</row>
    <row r="345">
      <c r="A345" s="158"/>
      <c r="B345" s="158"/>
      <c r="C345" s="158"/>
      <c r="D345" s="158"/>
      <c r="E345" s="160"/>
      <c r="F345" s="158"/>
      <c r="G345" s="158"/>
      <c r="H345" s="160"/>
      <c r="I345" s="158"/>
      <c r="J345" s="158"/>
      <c r="K345" s="160"/>
      <c r="L345" s="158"/>
      <c r="M345" s="158"/>
      <c r="N345" s="158"/>
      <c r="O345" s="158"/>
      <c r="P345" s="158"/>
      <c r="Q345" s="158"/>
      <c r="R345" s="160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</row>
    <row r="346">
      <c r="A346" s="158"/>
      <c r="B346" s="158"/>
      <c r="C346" s="158"/>
      <c r="D346" s="158"/>
      <c r="E346" s="160"/>
      <c r="F346" s="158"/>
      <c r="G346" s="158"/>
      <c r="H346" s="160"/>
      <c r="I346" s="158"/>
      <c r="J346" s="158"/>
      <c r="K346" s="160"/>
      <c r="L346" s="158"/>
      <c r="M346" s="158"/>
      <c r="N346" s="158"/>
      <c r="O346" s="158"/>
      <c r="P346" s="158"/>
      <c r="Q346" s="158"/>
      <c r="R346" s="160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</row>
    <row r="347">
      <c r="A347" s="158"/>
      <c r="B347" s="158"/>
      <c r="C347" s="158"/>
      <c r="D347" s="158"/>
      <c r="E347" s="160"/>
      <c r="F347" s="158"/>
      <c r="G347" s="158"/>
      <c r="H347" s="160"/>
      <c r="I347" s="158"/>
      <c r="J347" s="158"/>
      <c r="K347" s="160"/>
      <c r="L347" s="158"/>
      <c r="M347" s="158"/>
      <c r="N347" s="158"/>
      <c r="O347" s="158"/>
      <c r="P347" s="158"/>
      <c r="Q347" s="158"/>
      <c r="R347" s="160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</row>
    <row r="348">
      <c r="A348" s="158"/>
      <c r="B348" s="158"/>
      <c r="C348" s="158"/>
      <c r="D348" s="158"/>
      <c r="E348" s="160"/>
      <c r="F348" s="158"/>
      <c r="G348" s="158"/>
      <c r="H348" s="160"/>
      <c r="I348" s="158"/>
      <c r="J348" s="158"/>
      <c r="K348" s="160"/>
      <c r="L348" s="158"/>
      <c r="M348" s="158"/>
      <c r="N348" s="158"/>
      <c r="O348" s="158"/>
      <c r="P348" s="158"/>
      <c r="Q348" s="158"/>
      <c r="R348" s="160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</row>
    <row r="349">
      <c r="A349" s="158"/>
      <c r="B349" s="158"/>
      <c r="C349" s="158"/>
      <c r="D349" s="158"/>
      <c r="E349" s="160"/>
      <c r="F349" s="158"/>
      <c r="G349" s="158"/>
      <c r="H349" s="160"/>
      <c r="I349" s="158"/>
      <c r="J349" s="158"/>
      <c r="K349" s="160"/>
      <c r="L349" s="158"/>
      <c r="M349" s="158"/>
      <c r="N349" s="158"/>
      <c r="O349" s="158"/>
      <c r="P349" s="158"/>
      <c r="Q349" s="158"/>
      <c r="R349" s="160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</row>
    <row r="350">
      <c r="A350" s="158"/>
      <c r="B350" s="158"/>
      <c r="C350" s="158"/>
      <c r="D350" s="158"/>
      <c r="E350" s="160"/>
      <c r="F350" s="158"/>
      <c r="G350" s="158"/>
      <c r="H350" s="160"/>
      <c r="I350" s="158"/>
      <c r="J350" s="158"/>
      <c r="K350" s="160"/>
      <c r="L350" s="158"/>
      <c r="M350" s="158"/>
      <c r="N350" s="158"/>
      <c r="O350" s="158"/>
      <c r="P350" s="158"/>
      <c r="Q350" s="158"/>
      <c r="R350" s="160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</row>
    <row r="351">
      <c r="A351" s="158"/>
      <c r="B351" s="158"/>
      <c r="C351" s="158"/>
      <c r="D351" s="158"/>
      <c r="E351" s="160"/>
      <c r="F351" s="158"/>
      <c r="G351" s="158"/>
      <c r="H351" s="160"/>
      <c r="I351" s="158"/>
      <c r="J351" s="158"/>
      <c r="K351" s="160"/>
      <c r="L351" s="158"/>
      <c r="M351" s="158"/>
      <c r="N351" s="158"/>
      <c r="O351" s="158"/>
      <c r="P351" s="158"/>
      <c r="Q351" s="158"/>
      <c r="R351" s="160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</row>
    <row r="352">
      <c r="A352" s="158"/>
      <c r="B352" s="158"/>
      <c r="C352" s="158"/>
      <c r="D352" s="158"/>
      <c r="E352" s="160"/>
      <c r="F352" s="158"/>
      <c r="G352" s="158"/>
      <c r="H352" s="160"/>
      <c r="I352" s="158"/>
      <c r="J352" s="158"/>
      <c r="K352" s="160"/>
      <c r="L352" s="158"/>
      <c r="M352" s="158"/>
      <c r="N352" s="158"/>
      <c r="O352" s="158"/>
      <c r="P352" s="158"/>
      <c r="Q352" s="158"/>
      <c r="R352" s="160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</row>
    <row r="353">
      <c r="A353" s="158"/>
      <c r="B353" s="158"/>
      <c r="C353" s="158"/>
      <c r="D353" s="158"/>
      <c r="E353" s="160"/>
      <c r="F353" s="158"/>
      <c r="G353" s="158"/>
      <c r="H353" s="160"/>
      <c r="I353" s="158"/>
      <c r="J353" s="158"/>
      <c r="K353" s="160"/>
      <c r="L353" s="158"/>
      <c r="M353" s="158"/>
      <c r="N353" s="158"/>
      <c r="O353" s="158"/>
      <c r="P353" s="158"/>
      <c r="Q353" s="158"/>
      <c r="R353" s="160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</row>
    <row r="354">
      <c r="A354" s="158"/>
      <c r="B354" s="158"/>
      <c r="C354" s="158"/>
      <c r="D354" s="158"/>
      <c r="E354" s="160"/>
      <c r="F354" s="158"/>
      <c r="G354" s="158"/>
      <c r="H354" s="160"/>
      <c r="I354" s="158"/>
      <c r="J354" s="158"/>
      <c r="K354" s="160"/>
      <c r="L354" s="158"/>
      <c r="M354" s="158"/>
      <c r="N354" s="158"/>
      <c r="O354" s="158"/>
      <c r="P354" s="158"/>
      <c r="Q354" s="158"/>
      <c r="R354" s="160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</row>
    <row r="355">
      <c r="A355" s="158"/>
      <c r="B355" s="158"/>
      <c r="C355" s="158"/>
      <c r="D355" s="158"/>
      <c r="E355" s="160"/>
      <c r="F355" s="158"/>
      <c r="G355" s="158"/>
      <c r="H355" s="160"/>
      <c r="I355" s="158"/>
      <c r="J355" s="158"/>
      <c r="K355" s="160"/>
      <c r="L355" s="158"/>
      <c r="M355" s="158"/>
      <c r="N355" s="158"/>
      <c r="O355" s="158"/>
      <c r="P355" s="158"/>
      <c r="Q355" s="158"/>
      <c r="R355" s="160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</row>
    <row r="356">
      <c r="A356" s="158"/>
      <c r="B356" s="158"/>
      <c r="C356" s="158"/>
      <c r="D356" s="158"/>
      <c r="E356" s="160"/>
      <c r="F356" s="158"/>
      <c r="G356" s="158"/>
      <c r="H356" s="160"/>
      <c r="I356" s="158"/>
      <c r="J356" s="158"/>
      <c r="K356" s="160"/>
      <c r="L356" s="158"/>
      <c r="M356" s="158"/>
      <c r="N356" s="158"/>
      <c r="O356" s="158"/>
      <c r="P356" s="158"/>
      <c r="Q356" s="158"/>
      <c r="R356" s="160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</row>
    <row r="357">
      <c r="A357" s="158"/>
      <c r="B357" s="158"/>
      <c r="C357" s="158"/>
      <c r="D357" s="158"/>
      <c r="E357" s="160"/>
      <c r="F357" s="158"/>
      <c r="G357" s="158"/>
      <c r="H357" s="160"/>
      <c r="I357" s="158"/>
      <c r="J357" s="158"/>
      <c r="K357" s="160"/>
      <c r="L357" s="158"/>
      <c r="M357" s="158"/>
      <c r="N357" s="158"/>
      <c r="O357" s="158"/>
      <c r="P357" s="158"/>
      <c r="Q357" s="158"/>
      <c r="R357" s="160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</row>
    <row r="358">
      <c r="A358" s="158"/>
      <c r="B358" s="158"/>
      <c r="C358" s="158"/>
      <c r="D358" s="158"/>
      <c r="E358" s="160"/>
      <c r="F358" s="158"/>
      <c r="G358" s="158"/>
      <c r="H358" s="160"/>
      <c r="I358" s="158"/>
      <c r="J358" s="158"/>
      <c r="K358" s="160"/>
      <c r="L358" s="158"/>
      <c r="M358" s="158"/>
      <c r="N358" s="158"/>
      <c r="O358" s="158"/>
      <c r="P358" s="158"/>
      <c r="Q358" s="158"/>
      <c r="R358" s="160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</row>
    <row r="359">
      <c r="A359" s="158"/>
      <c r="B359" s="158"/>
      <c r="C359" s="158"/>
      <c r="D359" s="158"/>
      <c r="E359" s="160"/>
      <c r="F359" s="158"/>
      <c r="G359" s="158"/>
      <c r="H359" s="160"/>
      <c r="I359" s="158"/>
      <c r="J359" s="158"/>
      <c r="K359" s="160"/>
      <c r="L359" s="158"/>
      <c r="M359" s="158"/>
      <c r="N359" s="158"/>
      <c r="O359" s="158"/>
      <c r="P359" s="158"/>
      <c r="Q359" s="158"/>
      <c r="R359" s="160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</row>
    <row r="360">
      <c r="A360" s="158"/>
      <c r="B360" s="158"/>
      <c r="C360" s="158"/>
      <c r="D360" s="158"/>
      <c r="E360" s="160"/>
      <c r="F360" s="158"/>
      <c r="G360" s="158"/>
      <c r="H360" s="160"/>
      <c r="I360" s="158"/>
      <c r="J360" s="158"/>
      <c r="K360" s="160"/>
      <c r="L360" s="158"/>
      <c r="M360" s="158"/>
      <c r="N360" s="158"/>
      <c r="O360" s="158"/>
      <c r="P360" s="158"/>
      <c r="Q360" s="158"/>
      <c r="R360" s="160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</row>
    <row r="361">
      <c r="A361" s="158"/>
      <c r="B361" s="158"/>
      <c r="C361" s="158"/>
      <c r="D361" s="158"/>
      <c r="E361" s="160"/>
      <c r="F361" s="158"/>
      <c r="G361" s="158"/>
      <c r="H361" s="160"/>
      <c r="I361" s="158"/>
      <c r="J361" s="158"/>
      <c r="K361" s="160"/>
      <c r="L361" s="158"/>
      <c r="M361" s="158"/>
      <c r="N361" s="158"/>
      <c r="O361" s="158"/>
      <c r="P361" s="158"/>
      <c r="Q361" s="158"/>
      <c r="R361" s="160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</row>
    <row r="362">
      <c r="A362" s="158"/>
      <c r="B362" s="158"/>
      <c r="C362" s="158"/>
      <c r="D362" s="158"/>
      <c r="E362" s="160"/>
      <c r="F362" s="158"/>
      <c r="G362" s="158"/>
      <c r="H362" s="160"/>
      <c r="I362" s="158"/>
      <c r="J362" s="158"/>
      <c r="K362" s="160"/>
      <c r="L362" s="158"/>
      <c r="M362" s="158"/>
      <c r="N362" s="158"/>
      <c r="O362" s="158"/>
      <c r="P362" s="158"/>
      <c r="Q362" s="158"/>
      <c r="R362" s="160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</row>
    <row r="363">
      <c r="A363" s="158"/>
      <c r="B363" s="158"/>
      <c r="C363" s="158"/>
      <c r="D363" s="158"/>
      <c r="E363" s="160"/>
      <c r="F363" s="158"/>
      <c r="G363" s="158"/>
      <c r="H363" s="160"/>
      <c r="I363" s="158"/>
      <c r="J363" s="158"/>
      <c r="K363" s="160"/>
      <c r="L363" s="158"/>
      <c r="M363" s="158"/>
      <c r="N363" s="158"/>
      <c r="O363" s="158"/>
      <c r="P363" s="158"/>
      <c r="Q363" s="158"/>
      <c r="R363" s="160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</row>
    <row r="364">
      <c r="A364" s="158"/>
      <c r="B364" s="158"/>
      <c r="C364" s="158"/>
      <c r="D364" s="158"/>
      <c r="E364" s="160"/>
      <c r="F364" s="158"/>
      <c r="G364" s="158"/>
      <c r="H364" s="160"/>
      <c r="I364" s="158"/>
      <c r="J364" s="158"/>
      <c r="K364" s="160"/>
      <c r="L364" s="158"/>
      <c r="M364" s="158"/>
      <c r="N364" s="158"/>
      <c r="O364" s="158"/>
      <c r="P364" s="158"/>
      <c r="Q364" s="158"/>
      <c r="R364" s="160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</row>
    <row r="365">
      <c r="A365" s="158"/>
      <c r="B365" s="158"/>
      <c r="C365" s="158"/>
      <c r="D365" s="158"/>
      <c r="E365" s="160"/>
      <c r="F365" s="158"/>
      <c r="G365" s="158"/>
      <c r="H365" s="160"/>
      <c r="I365" s="158"/>
      <c r="J365" s="158"/>
      <c r="K365" s="160"/>
      <c r="L365" s="158"/>
      <c r="M365" s="158"/>
      <c r="N365" s="158"/>
      <c r="O365" s="158"/>
      <c r="P365" s="158"/>
      <c r="Q365" s="158"/>
      <c r="R365" s="160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</row>
    <row r="366">
      <c r="A366" s="158"/>
      <c r="B366" s="158"/>
      <c r="C366" s="158"/>
      <c r="D366" s="158"/>
      <c r="E366" s="160"/>
      <c r="F366" s="158"/>
      <c r="G366" s="158"/>
      <c r="H366" s="160"/>
      <c r="I366" s="158"/>
      <c r="J366" s="158"/>
      <c r="K366" s="160"/>
      <c r="L366" s="158"/>
      <c r="M366" s="158"/>
      <c r="N366" s="158"/>
      <c r="O366" s="158"/>
      <c r="P366" s="158"/>
      <c r="Q366" s="158"/>
      <c r="R366" s="160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</row>
    <row r="367">
      <c r="A367" s="158"/>
      <c r="B367" s="158"/>
      <c r="C367" s="158"/>
      <c r="D367" s="158"/>
      <c r="E367" s="160"/>
      <c r="F367" s="158"/>
      <c r="G367" s="158"/>
      <c r="H367" s="160"/>
      <c r="I367" s="158"/>
      <c r="J367" s="158"/>
      <c r="K367" s="160"/>
      <c r="L367" s="158"/>
      <c r="M367" s="158"/>
      <c r="N367" s="158"/>
      <c r="O367" s="158"/>
      <c r="P367" s="158"/>
      <c r="Q367" s="158"/>
      <c r="R367" s="160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</row>
    <row r="368">
      <c r="A368" s="158"/>
      <c r="B368" s="158"/>
      <c r="C368" s="158"/>
      <c r="D368" s="158"/>
      <c r="E368" s="160"/>
      <c r="F368" s="158"/>
      <c r="G368" s="158"/>
      <c r="H368" s="160"/>
      <c r="I368" s="158"/>
      <c r="J368" s="158"/>
      <c r="K368" s="160"/>
      <c r="L368" s="158"/>
      <c r="M368" s="158"/>
      <c r="N368" s="158"/>
      <c r="O368" s="158"/>
      <c r="P368" s="158"/>
      <c r="Q368" s="158"/>
      <c r="R368" s="160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</row>
    <row r="369">
      <c r="A369" s="158"/>
      <c r="B369" s="158"/>
      <c r="C369" s="158"/>
      <c r="D369" s="158"/>
      <c r="E369" s="160"/>
      <c r="F369" s="158"/>
      <c r="G369" s="158"/>
      <c r="H369" s="160"/>
      <c r="I369" s="158"/>
      <c r="J369" s="158"/>
      <c r="K369" s="160"/>
      <c r="L369" s="158"/>
      <c r="M369" s="158"/>
      <c r="N369" s="158"/>
      <c r="O369" s="158"/>
      <c r="P369" s="158"/>
      <c r="Q369" s="158"/>
      <c r="R369" s="160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</row>
    <row r="370">
      <c r="A370" s="158"/>
      <c r="B370" s="158"/>
      <c r="C370" s="158"/>
      <c r="D370" s="158"/>
      <c r="E370" s="160"/>
      <c r="F370" s="158"/>
      <c r="G370" s="158"/>
      <c r="H370" s="160"/>
      <c r="I370" s="158"/>
      <c r="J370" s="158"/>
      <c r="K370" s="160"/>
      <c r="L370" s="158"/>
      <c r="M370" s="158"/>
      <c r="N370" s="158"/>
      <c r="O370" s="158"/>
      <c r="P370" s="158"/>
      <c r="Q370" s="158"/>
      <c r="R370" s="160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</row>
    <row r="371">
      <c r="A371" s="158"/>
      <c r="B371" s="158"/>
      <c r="C371" s="158"/>
      <c r="D371" s="158"/>
      <c r="E371" s="160"/>
      <c r="F371" s="158"/>
      <c r="G371" s="158"/>
      <c r="H371" s="160"/>
      <c r="I371" s="158"/>
      <c r="J371" s="158"/>
      <c r="K371" s="160"/>
      <c r="L371" s="158"/>
      <c r="M371" s="158"/>
      <c r="N371" s="158"/>
      <c r="O371" s="158"/>
      <c r="P371" s="158"/>
      <c r="Q371" s="158"/>
      <c r="R371" s="160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</row>
    <row r="372">
      <c r="A372" s="158"/>
      <c r="B372" s="158"/>
      <c r="C372" s="158"/>
      <c r="D372" s="158"/>
      <c r="E372" s="160"/>
      <c r="F372" s="158"/>
      <c r="G372" s="158"/>
      <c r="H372" s="160"/>
      <c r="I372" s="158"/>
      <c r="J372" s="158"/>
      <c r="K372" s="160"/>
      <c r="L372" s="158"/>
      <c r="M372" s="158"/>
      <c r="N372" s="158"/>
      <c r="O372" s="158"/>
      <c r="P372" s="158"/>
      <c r="Q372" s="158"/>
      <c r="R372" s="160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</row>
    <row r="373">
      <c r="A373" s="158"/>
      <c r="B373" s="158"/>
      <c r="C373" s="158"/>
      <c r="D373" s="158"/>
      <c r="E373" s="160"/>
      <c r="F373" s="158"/>
      <c r="G373" s="158"/>
      <c r="H373" s="160"/>
      <c r="I373" s="158"/>
      <c r="J373" s="158"/>
      <c r="K373" s="160"/>
      <c r="L373" s="158"/>
      <c r="M373" s="158"/>
      <c r="N373" s="158"/>
      <c r="O373" s="158"/>
      <c r="P373" s="158"/>
      <c r="Q373" s="158"/>
      <c r="R373" s="160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</row>
    <row r="374">
      <c r="A374" s="158"/>
      <c r="B374" s="158"/>
      <c r="C374" s="158"/>
      <c r="D374" s="158"/>
      <c r="E374" s="160"/>
      <c r="F374" s="158"/>
      <c r="G374" s="158"/>
      <c r="H374" s="160"/>
      <c r="I374" s="158"/>
      <c r="J374" s="158"/>
      <c r="K374" s="160"/>
      <c r="L374" s="158"/>
      <c r="M374" s="158"/>
      <c r="N374" s="158"/>
      <c r="O374" s="158"/>
      <c r="P374" s="158"/>
      <c r="Q374" s="158"/>
      <c r="R374" s="160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</row>
    <row r="375">
      <c r="A375" s="158"/>
      <c r="B375" s="158"/>
      <c r="C375" s="158"/>
      <c r="D375" s="158"/>
      <c r="E375" s="160"/>
      <c r="F375" s="158"/>
      <c r="G375" s="158"/>
      <c r="H375" s="160"/>
      <c r="I375" s="158"/>
      <c r="J375" s="158"/>
      <c r="K375" s="160"/>
      <c r="L375" s="158"/>
      <c r="M375" s="158"/>
      <c r="N375" s="158"/>
      <c r="O375" s="158"/>
      <c r="P375" s="158"/>
      <c r="Q375" s="158"/>
      <c r="R375" s="160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</row>
    <row r="376">
      <c r="A376" s="158"/>
      <c r="B376" s="158"/>
      <c r="C376" s="158"/>
      <c r="D376" s="158"/>
      <c r="E376" s="160"/>
      <c r="F376" s="158"/>
      <c r="G376" s="158"/>
      <c r="H376" s="160"/>
      <c r="I376" s="158"/>
      <c r="J376" s="158"/>
      <c r="K376" s="160"/>
      <c r="L376" s="158"/>
      <c r="M376" s="158"/>
      <c r="N376" s="158"/>
      <c r="O376" s="158"/>
      <c r="P376" s="158"/>
      <c r="Q376" s="158"/>
      <c r="R376" s="160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</row>
    <row r="377">
      <c r="A377" s="158"/>
      <c r="B377" s="158"/>
      <c r="C377" s="158"/>
      <c r="D377" s="158"/>
      <c r="E377" s="160"/>
      <c r="F377" s="158"/>
      <c r="G377" s="158"/>
      <c r="H377" s="160"/>
      <c r="I377" s="158"/>
      <c r="J377" s="158"/>
      <c r="K377" s="160"/>
      <c r="L377" s="158"/>
      <c r="M377" s="158"/>
      <c r="N377" s="158"/>
      <c r="O377" s="158"/>
      <c r="P377" s="158"/>
      <c r="Q377" s="158"/>
      <c r="R377" s="160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</row>
    <row r="378">
      <c r="A378" s="158"/>
      <c r="B378" s="158"/>
      <c r="C378" s="158"/>
      <c r="D378" s="158"/>
      <c r="E378" s="160"/>
      <c r="F378" s="158"/>
      <c r="G378" s="158"/>
      <c r="H378" s="160"/>
      <c r="I378" s="158"/>
      <c r="J378" s="158"/>
      <c r="K378" s="160"/>
      <c r="L378" s="158"/>
      <c r="M378" s="158"/>
      <c r="N378" s="158"/>
      <c r="O378" s="158"/>
      <c r="P378" s="158"/>
      <c r="Q378" s="158"/>
      <c r="R378" s="160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</row>
    <row r="379">
      <c r="A379" s="158"/>
      <c r="B379" s="158"/>
      <c r="C379" s="158"/>
      <c r="D379" s="158"/>
      <c r="E379" s="160"/>
      <c r="F379" s="158"/>
      <c r="G379" s="158"/>
      <c r="H379" s="160"/>
      <c r="I379" s="158"/>
      <c r="J379" s="158"/>
      <c r="K379" s="160"/>
      <c r="L379" s="158"/>
      <c r="M379" s="158"/>
      <c r="N379" s="158"/>
      <c r="O379" s="158"/>
      <c r="P379" s="158"/>
      <c r="Q379" s="158"/>
      <c r="R379" s="160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</row>
    <row r="380">
      <c r="A380" s="158"/>
      <c r="B380" s="158"/>
      <c r="C380" s="158"/>
      <c r="D380" s="158"/>
      <c r="E380" s="160"/>
      <c r="F380" s="158"/>
      <c r="G380" s="158"/>
      <c r="H380" s="160"/>
      <c r="I380" s="158"/>
      <c r="J380" s="158"/>
      <c r="K380" s="160"/>
      <c r="L380" s="158"/>
      <c r="M380" s="158"/>
      <c r="N380" s="158"/>
      <c r="O380" s="158"/>
      <c r="P380" s="158"/>
      <c r="Q380" s="158"/>
      <c r="R380" s="160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</row>
    <row r="381">
      <c r="A381" s="158"/>
      <c r="B381" s="158"/>
      <c r="C381" s="158"/>
      <c r="D381" s="158"/>
      <c r="E381" s="160"/>
      <c r="F381" s="158"/>
      <c r="G381" s="158"/>
      <c r="H381" s="160"/>
      <c r="I381" s="158"/>
      <c r="J381" s="158"/>
      <c r="K381" s="160"/>
      <c r="L381" s="158"/>
      <c r="M381" s="158"/>
      <c r="N381" s="158"/>
      <c r="O381" s="158"/>
      <c r="P381" s="158"/>
      <c r="Q381" s="158"/>
      <c r="R381" s="160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</row>
    <row r="382">
      <c r="A382" s="158"/>
      <c r="B382" s="158"/>
      <c r="C382" s="158"/>
      <c r="D382" s="158"/>
      <c r="E382" s="160"/>
      <c r="F382" s="158"/>
      <c r="G382" s="158"/>
      <c r="H382" s="160"/>
      <c r="I382" s="158"/>
      <c r="J382" s="158"/>
      <c r="K382" s="160"/>
      <c r="L382" s="158"/>
      <c r="M382" s="158"/>
      <c r="N382" s="158"/>
      <c r="O382" s="158"/>
      <c r="P382" s="158"/>
      <c r="Q382" s="158"/>
      <c r="R382" s="160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</row>
    <row r="383">
      <c r="A383" s="158"/>
      <c r="B383" s="158"/>
      <c r="C383" s="158"/>
      <c r="D383" s="158"/>
      <c r="E383" s="160"/>
      <c r="F383" s="158"/>
      <c r="G383" s="158"/>
      <c r="H383" s="160"/>
      <c r="I383" s="158"/>
      <c r="J383" s="158"/>
      <c r="K383" s="160"/>
      <c r="L383" s="158"/>
      <c r="M383" s="158"/>
      <c r="N383" s="158"/>
      <c r="O383" s="158"/>
      <c r="P383" s="158"/>
      <c r="Q383" s="158"/>
      <c r="R383" s="160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</row>
    <row r="384">
      <c r="A384" s="158"/>
      <c r="B384" s="158"/>
      <c r="C384" s="158"/>
      <c r="D384" s="158"/>
      <c r="E384" s="160"/>
      <c r="F384" s="158"/>
      <c r="G384" s="158"/>
      <c r="H384" s="160"/>
      <c r="I384" s="158"/>
      <c r="J384" s="158"/>
      <c r="K384" s="160"/>
      <c r="L384" s="158"/>
      <c r="M384" s="158"/>
      <c r="N384" s="158"/>
      <c r="O384" s="158"/>
      <c r="P384" s="158"/>
      <c r="Q384" s="158"/>
      <c r="R384" s="160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</row>
    <row r="385">
      <c r="A385" s="158"/>
      <c r="B385" s="158"/>
      <c r="C385" s="158"/>
      <c r="D385" s="158"/>
      <c r="E385" s="160"/>
      <c r="F385" s="158"/>
      <c r="G385" s="158"/>
      <c r="H385" s="160"/>
      <c r="I385" s="158"/>
      <c r="J385" s="158"/>
      <c r="K385" s="160"/>
      <c r="L385" s="158"/>
      <c r="M385" s="158"/>
      <c r="N385" s="158"/>
      <c r="O385" s="158"/>
      <c r="P385" s="158"/>
      <c r="Q385" s="158"/>
      <c r="R385" s="160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</row>
    <row r="386">
      <c r="A386" s="158"/>
      <c r="B386" s="158"/>
      <c r="C386" s="158"/>
      <c r="D386" s="158"/>
      <c r="E386" s="160"/>
      <c r="F386" s="158"/>
      <c r="G386" s="158"/>
      <c r="H386" s="160"/>
      <c r="I386" s="158"/>
      <c r="J386" s="158"/>
      <c r="K386" s="160"/>
      <c r="L386" s="158"/>
      <c r="M386" s="158"/>
      <c r="N386" s="158"/>
      <c r="O386" s="158"/>
      <c r="P386" s="158"/>
      <c r="Q386" s="158"/>
      <c r="R386" s="160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</row>
    <row r="387">
      <c r="A387" s="158"/>
      <c r="B387" s="158"/>
      <c r="C387" s="158"/>
      <c r="D387" s="158"/>
      <c r="E387" s="160"/>
      <c r="F387" s="158"/>
      <c r="G387" s="158"/>
      <c r="H387" s="160"/>
      <c r="I387" s="158"/>
      <c r="J387" s="158"/>
      <c r="K387" s="160"/>
      <c r="L387" s="158"/>
      <c r="M387" s="158"/>
      <c r="N387" s="158"/>
      <c r="O387" s="158"/>
      <c r="P387" s="158"/>
      <c r="Q387" s="158"/>
      <c r="R387" s="160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</row>
    <row r="388">
      <c r="A388" s="158"/>
      <c r="B388" s="158"/>
      <c r="C388" s="158"/>
      <c r="D388" s="158"/>
      <c r="E388" s="160"/>
      <c r="F388" s="158"/>
      <c r="G388" s="158"/>
      <c r="H388" s="160"/>
      <c r="I388" s="158"/>
      <c r="J388" s="158"/>
      <c r="K388" s="160"/>
      <c r="L388" s="158"/>
      <c r="M388" s="158"/>
      <c r="N388" s="158"/>
      <c r="O388" s="158"/>
      <c r="P388" s="158"/>
      <c r="Q388" s="158"/>
      <c r="R388" s="160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</row>
    <row r="389">
      <c r="A389" s="158"/>
      <c r="B389" s="158"/>
      <c r="C389" s="158"/>
      <c r="D389" s="158"/>
      <c r="E389" s="160"/>
      <c r="F389" s="158"/>
      <c r="G389" s="158"/>
      <c r="H389" s="160"/>
      <c r="I389" s="158"/>
      <c r="J389" s="158"/>
      <c r="K389" s="160"/>
      <c r="L389" s="158"/>
      <c r="M389" s="158"/>
      <c r="N389" s="158"/>
      <c r="O389" s="158"/>
      <c r="P389" s="158"/>
      <c r="Q389" s="158"/>
      <c r="R389" s="160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</row>
    <row r="390">
      <c r="A390" s="158"/>
      <c r="B390" s="158"/>
      <c r="C390" s="158"/>
      <c r="D390" s="158"/>
      <c r="E390" s="160"/>
      <c r="F390" s="158"/>
      <c r="G390" s="158"/>
      <c r="H390" s="160"/>
      <c r="I390" s="158"/>
      <c r="J390" s="158"/>
      <c r="K390" s="160"/>
      <c r="L390" s="158"/>
      <c r="M390" s="158"/>
      <c r="N390" s="158"/>
      <c r="O390" s="158"/>
      <c r="P390" s="158"/>
      <c r="Q390" s="158"/>
      <c r="R390" s="160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</row>
    <row r="391">
      <c r="A391" s="158"/>
      <c r="B391" s="158"/>
      <c r="C391" s="158"/>
      <c r="D391" s="158"/>
      <c r="E391" s="160"/>
      <c r="F391" s="158"/>
      <c r="G391" s="158"/>
      <c r="H391" s="160"/>
      <c r="I391" s="158"/>
      <c r="J391" s="158"/>
      <c r="K391" s="160"/>
      <c r="L391" s="158"/>
      <c r="M391" s="158"/>
      <c r="N391" s="158"/>
      <c r="O391" s="158"/>
      <c r="P391" s="158"/>
      <c r="Q391" s="158"/>
      <c r="R391" s="160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</row>
    <row r="392">
      <c r="A392" s="158"/>
      <c r="B392" s="158"/>
      <c r="C392" s="158"/>
      <c r="D392" s="158"/>
      <c r="E392" s="160"/>
      <c r="F392" s="158"/>
      <c r="G392" s="158"/>
      <c r="H392" s="160"/>
      <c r="I392" s="158"/>
      <c r="J392" s="158"/>
      <c r="K392" s="160"/>
      <c r="L392" s="158"/>
      <c r="M392" s="158"/>
      <c r="N392" s="158"/>
      <c r="O392" s="158"/>
      <c r="P392" s="158"/>
      <c r="Q392" s="158"/>
      <c r="R392" s="160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</row>
    <row r="393">
      <c r="A393" s="158"/>
      <c r="B393" s="158"/>
      <c r="C393" s="158"/>
      <c r="D393" s="158"/>
      <c r="E393" s="160"/>
      <c r="F393" s="158"/>
      <c r="G393" s="158"/>
      <c r="H393" s="160"/>
      <c r="I393" s="158"/>
      <c r="J393" s="158"/>
      <c r="K393" s="160"/>
      <c r="L393" s="158"/>
      <c r="M393" s="158"/>
      <c r="N393" s="158"/>
      <c r="O393" s="158"/>
      <c r="P393" s="158"/>
      <c r="Q393" s="158"/>
      <c r="R393" s="160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</row>
    <row r="394">
      <c r="A394" s="158"/>
      <c r="B394" s="158"/>
      <c r="C394" s="158"/>
      <c r="D394" s="158"/>
      <c r="E394" s="160"/>
      <c r="F394" s="158"/>
      <c r="G394" s="158"/>
      <c r="H394" s="160"/>
      <c r="I394" s="158"/>
      <c r="J394" s="158"/>
      <c r="K394" s="160"/>
      <c r="L394" s="158"/>
      <c r="M394" s="158"/>
      <c r="N394" s="158"/>
      <c r="O394" s="158"/>
      <c r="P394" s="158"/>
      <c r="Q394" s="158"/>
      <c r="R394" s="160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</row>
    <row r="395">
      <c r="A395" s="158"/>
      <c r="B395" s="158"/>
      <c r="C395" s="158"/>
      <c r="D395" s="158"/>
      <c r="E395" s="160"/>
      <c r="F395" s="158"/>
      <c r="G395" s="158"/>
      <c r="H395" s="160"/>
      <c r="I395" s="158"/>
      <c r="J395" s="158"/>
      <c r="K395" s="160"/>
      <c r="L395" s="158"/>
      <c r="M395" s="158"/>
      <c r="N395" s="158"/>
      <c r="O395" s="158"/>
      <c r="P395" s="158"/>
      <c r="Q395" s="158"/>
      <c r="R395" s="160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</row>
    <row r="396">
      <c r="A396" s="158"/>
      <c r="B396" s="158"/>
      <c r="C396" s="158"/>
      <c r="D396" s="158"/>
      <c r="E396" s="160"/>
      <c r="F396" s="158"/>
      <c r="G396" s="158"/>
      <c r="H396" s="160"/>
      <c r="I396" s="158"/>
      <c r="J396" s="158"/>
      <c r="K396" s="160"/>
      <c r="L396" s="158"/>
      <c r="M396" s="158"/>
      <c r="N396" s="158"/>
      <c r="O396" s="158"/>
      <c r="P396" s="158"/>
      <c r="Q396" s="158"/>
      <c r="R396" s="160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</row>
    <row r="397">
      <c r="A397" s="158"/>
      <c r="B397" s="158"/>
      <c r="C397" s="158"/>
      <c r="D397" s="158"/>
      <c r="E397" s="160"/>
      <c r="F397" s="158"/>
      <c r="G397" s="158"/>
      <c r="H397" s="160"/>
      <c r="I397" s="158"/>
      <c r="J397" s="158"/>
      <c r="K397" s="160"/>
      <c r="L397" s="158"/>
      <c r="M397" s="158"/>
      <c r="N397" s="158"/>
      <c r="O397" s="158"/>
      <c r="P397" s="158"/>
      <c r="Q397" s="158"/>
      <c r="R397" s="160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</row>
    <row r="398">
      <c r="A398" s="158"/>
      <c r="B398" s="158"/>
      <c r="C398" s="158"/>
      <c r="D398" s="158"/>
      <c r="E398" s="160"/>
      <c r="F398" s="158"/>
      <c r="G398" s="158"/>
      <c r="H398" s="160"/>
      <c r="I398" s="158"/>
      <c r="J398" s="158"/>
      <c r="K398" s="160"/>
      <c r="L398" s="158"/>
      <c r="M398" s="158"/>
      <c r="N398" s="158"/>
      <c r="O398" s="158"/>
      <c r="P398" s="158"/>
      <c r="Q398" s="158"/>
      <c r="R398" s="160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</row>
    <row r="399">
      <c r="A399" s="158"/>
      <c r="B399" s="158"/>
      <c r="C399" s="158"/>
      <c r="D399" s="158"/>
      <c r="E399" s="160"/>
      <c r="F399" s="158"/>
      <c r="G399" s="158"/>
      <c r="H399" s="160"/>
      <c r="I399" s="158"/>
      <c r="J399" s="158"/>
      <c r="K399" s="160"/>
      <c r="L399" s="158"/>
      <c r="M399" s="158"/>
      <c r="N399" s="158"/>
      <c r="O399" s="158"/>
      <c r="P399" s="158"/>
      <c r="Q399" s="158"/>
      <c r="R399" s="160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</row>
    <row r="400">
      <c r="A400" s="158"/>
      <c r="B400" s="158"/>
      <c r="C400" s="158"/>
      <c r="D400" s="158"/>
      <c r="E400" s="160"/>
      <c r="F400" s="158"/>
      <c r="G400" s="158"/>
      <c r="H400" s="160"/>
      <c r="I400" s="158"/>
      <c r="J400" s="158"/>
      <c r="K400" s="160"/>
      <c r="L400" s="158"/>
      <c r="M400" s="158"/>
      <c r="N400" s="158"/>
      <c r="O400" s="158"/>
      <c r="P400" s="158"/>
      <c r="Q400" s="158"/>
      <c r="R400" s="160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</row>
    <row r="401">
      <c r="A401" s="158"/>
      <c r="B401" s="158"/>
      <c r="C401" s="158"/>
      <c r="D401" s="158"/>
      <c r="E401" s="160"/>
      <c r="F401" s="158"/>
      <c r="G401" s="158"/>
      <c r="H401" s="160"/>
      <c r="I401" s="158"/>
      <c r="J401" s="158"/>
      <c r="K401" s="160"/>
      <c r="L401" s="158"/>
      <c r="M401" s="158"/>
      <c r="N401" s="158"/>
      <c r="O401" s="158"/>
      <c r="P401" s="158"/>
      <c r="Q401" s="158"/>
      <c r="R401" s="160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</row>
    <row r="402">
      <c r="A402" s="158"/>
      <c r="B402" s="158"/>
      <c r="C402" s="158"/>
      <c r="D402" s="158"/>
      <c r="E402" s="160"/>
      <c r="F402" s="158"/>
      <c r="G402" s="158"/>
      <c r="H402" s="160"/>
      <c r="I402" s="158"/>
      <c r="J402" s="158"/>
      <c r="K402" s="160"/>
      <c r="L402" s="158"/>
      <c r="M402" s="158"/>
      <c r="N402" s="158"/>
      <c r="O402" s="158"/>
      <c r="P402" s="158"/>
      <c r="Q402" s="158"/>
      <c r="R402" s="160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</row>
    <row r="403">
      <c r="A403" s="158"/>
      <c r="B403" s="158"/>
      <c r="C403" s="158"/>
      <c r="D403" s="158"/>
      <c r="E403" s="160"/>
      <c r="F403" s="158"/>
      <c r="G403" s="158"/>
      <c r="H403" s="160"/>
      <c r="I403" s="158"/>
      <c r="J403" s="158"/>
      <c r="K403" s="160"/>
      <c r="L403" s="158"/>
      <c r="M403" s="158"/>
      <c r="N403" s="158"/>
      <c r="O403" s="158"/>
      <c r="P403" s="158"/>
      <c r="Q403" s="158"/>
      <c r="R403" s="160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</row>
    <row r="404">
      <c r="A404" s="158"/>
      <c r="B404" s="158"/>
      <c r="C404" s="158"/>
      <c r="D404" s="158"/>
      <c r="E404" s="160"/>
      <c r="F404" s="158"/>
      <c r="G404" s="158"/>
      <c r="H404" s="160"/>
      <c r="I404" s="158"/>
      <c r="J404" s="158"/>
      <c r="K404" s="160"/>
      <c r="L404" s="158"/>
      <c r="M404" s="158"/>
      <c r="N404" s="158"/>
      <c r="O404" s="158"/>
      <c r="P404" s="158"/>
      <c r="Q404" s="158"/>
      <c r="R404" s="160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</row>
    <row r="405">
      <c r="A405" s="158"/>
      <c r="B405" s="158"/>
      <c r="C405" s="158"/>
      <c r="D405" s="158"/>
      <c r="E405" s="160"/>
      <c r="F405" s="158"/>
      <c r="G405" s="158"/>
      <c r="H405" s="160"/>
      <c r="I405" s="158"/>
      <c r="J405" s="158"/>
      <c r="K405" s="160"/>
      <c r="L405" s="158"/>
      <c r="M405" s="158"/>
      <c r="N405" s="158"/>
      <c r="O405" s="158"/>
      <c r="P405" s="158"/>
      <c r="Q405" s="158"/>
      <c r="R405" s="160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</row>
    <row r="406">
      <c r="A406" s="158"/>
      <c r="B406" s="158"/>
      <c r="C406" s="158"/>
      <c r="D406" s="158"/>
      <c r="E406" s="160"/>
      <c r="F406" s="158"/>
      <c r="G406" s="158"/>
      <c r="H406" s="160"/>
      <c r="I406" s="158"/>
      <c r="J406" s="158"/>
      <c r="K406" s="160"/>
      <c r="L406" s="158"/>
      <c r="M406" s="158"/>
      <c r="N406" s="158"/>
      <c r="O406" s="158"/>
      <c r="P406" s="158"/>
      <c r="Q406" s="158"/>
      <c r="R406" s="160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</row>
    <row r="407">
      <c r="A407" s="158"/>
      <c r="B407" s="158"/>
      <c r="C407" s="158"/>
      <c r="D407" s="158"/>
      <c r="E407" s="160"/>
      <c r="F407" s="158"/>
      <c r="G407" s="158"/>
      <c r="H407" s="160"/>
      <c r="I407" s="158"/>
      <c r="J407" s="158"/>
      <c r="K407" s="160"/>
      <c r="L407" s="158"/>
      <c r="M407" s="158"/>
      <c r="N407" s="158"/>
      <c r="O407" s="158"/>
      <c r="P407" s="158"/>
      <c r="Q407" s="158"/>
      <c r="R407" s="160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</row>
    <row r="408">
      <c r="A408" s="158"/>
      <c r="B408" s="158"/>
      <c r="C408" s="158"/>
      <c r="D408" s="158"/>
      <c r="E408" s="160"/>
      <c r="F408" s="158"/>
      <c r="G408" s="158"/>
      <c r="H408" s="160"/>
      <c r="I408" s="158"/>
      <c r="J408" s="158"/>
      <c r="K408" s="160"/>
      <c r="L408" s="158"/>
      <c r="M408" s="158"/>
      <c r="N408" s="158"/>
      <c r="O408" s="158"/>
      <c r="P408" s="158"/>
      <c r="Q408" s="158"/>
      <c r="R408" s="160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</row>
    <row r="409">
      <c r="A409" s="158"/>
      <c r="B409" s="158"/>
      <c r="C409" s="158"/>
      <c r="D409" s="158"/>
      <c r="E409" s="160"/>
      <c r="F409" s="158"/>
      <c r="G409" s="158"/>
      <c r="H409" s="160"/>
      <c r="I409" s="158"/>
      <c r="J409" s="158"/>
      <c r="K409" s="160"/>
      <c r="L409" s="158"/>
      <c r="M409" s="158"/>
      <c r="N409" s="158"/>
      <c r="O409" s="158"/>
      <c r="P409" s="158"/>
      <c r="Q409" s="158"/>
      <c r="R409" s="160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</row>
    <row r="410">
      <c r="A410" s="158"/>
      <c r="B410" s="158"/>
      <c r="C410" s="158"/>
      <c r="D410" s="158"/>
      <c r="E410" s="160"/>
      <c r="F410" s="158"/>
      <c r="G410" s="158"/>
      <c r="H410" s="160"/>
      <c r="I410" s="158"/>
      <c r="J410" s="158"/>
      <c r="K410" s="160"/>
      <c r="L410" s="158"/>
      <c r="M410" s="158"/>
      <c r="N410" s="158"/>
      <c r="O410" s="158"/>
      <c r="P410" s="158"/>
      <c r="Q410" s="158"/>
      <c r="R410" s="160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</row>
    <row r="411">
      <c r="A411" s="158"/>
      <c r="B411" s="158"/>
      <c r="C411" s="158"/>
      <c r="D411" s="158"/>
      <c r="E411" s="160"/>
      <c r="F411" s="158"/>
      <c r="G411" s="158"/>
      <c r="H411" s="160"/>
      <c r="I411" s="158"/>
      <c r="J411" s="158"/>
      <c r="K411" s="160"/>
      <c r="L411" s="158"/>
      <c r="M411" s="158"/>
      <c r="N411" s="158"/>
      <c r="O411" s="158"/>
      <c r="P411" s="158"/>
      <c r="Q411" s="158"/>
      <c r="R411" s="160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</row>
    <row r="412">
      <c r="A412" s="158"/>
      <c r="B412" s="158"/>
      <c r="C412" s="158"/>
      <c r="D412" s="158"/>
      <c r="E412" s="160"/>
      <c r="F412" s="158"/>
      <c r="G412" s="158"/>
      <c r="H412" s="160"/>
      <c r="I412" s="158"/>
      <c r="J412" s="158"/>
      <c r="K412" s="160"/>
      <c r="L412" s="158"/>
      <c r="M412" s="158"/>
      <c r="N412" s="158"/>
      <c r="O412" s="158"/>
      <c r="P412" s="158"/>
      <c r="Q412" s="158"/>
      <c r="R412" s="160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</row>
    <row r="413">
      <c r="A413" s="158"/>
      <c r="B413" s="158"/>
      <c r="C413" s="158"/>
      <c r="D413" s="158"/>
      <c r="E413" s="160"/>
      <c r="F413" s="158"/>
      <c r="G413" s="158"/>
      <c r="H413" s="160"/>
      <c r="I413" s="158"/>
      <c r="J413" s="158"/>
      <c r="K413" s="160"/>
      <c r="L413" s="158"/>
      <c r="M413" s="158"/>
      <c r="N413" s="158"/>
      <c r="O413" s="158"/>
      <c r="P413" s="158"/>
      <c r="Q413" s="158"/>
      <c r="R413" s="160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</row>
    <row r="414">
      <c r="A414" s="158"/>
      <c r="B414" s="158"/>
      <c r="C414" s="158"/>
      <c r="D414" s="158"/>
      <c r="E414" s="160"/>
      <c r="F414" s="158"/>
      <c r="G414" s="158"/>
      <c r="H414" s="160"/>
      <c r="I414" s="158"/>
      <c r="J414" s="158"/>
      <c r="K414" s="160"/>
      <c r="L414" s="158"/>
      <c r="M414" s="158"/>
      <c r="N414" s="158"/>
      <c r="O414" s="158"/>
      <c r="P414" s="158"/>
      <c r="Q414" s="158"/>
      <c r="R414" s="160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</row>
    <row r="415">
      <c r="A415" s="158"/>
      <c r="B415" s="158"/>
      <c r="C415" s="158"/>
      <c r="D415" s="158"/>
      <c r="E415" s="160"/>
      <c r="F415" s="158"/>
      <c r="G415" s="158"/>
      <c r="H415" s="160"/>
      <c r="I415" s="158"/>
      <c r="J415" s="158"/>
      <c r="K415" s="160"/>
      <c r="L415" s="158"/>
      <c r="M415" s="158"/>
      <c r="N415" s="158"/>
      <c r="O415" s="158"/>
      <c r="P415" s="158"/>
      <c r="Q415" s="158"/>
      <c r="R415" s="160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</row>
    <row r="416">
      <c r="A416" s="158"/>
      <c r="B416" s="158"/>
      <c r="C416" s="158"/>
      <c r="D416" s="158"/>
      <c r="E416" s="160"/>
      <c r="F416" s="158"/>
      <c r="G416" s="158"/>
      <c r="H416" s="160"/>
      <c r="I416" s="158"/>
      <c r="J416" s="158"/>
      <c r="K416" s="160"/>
      <c r="L416" s="158"/>
      <c r="M416" s="158"/>
      <c r="N416" s="158"/>
      <c r="O416" s="158"/>
      <c r="P416" s="158"/>
      <c r="Q416" s="158"/>
      <c r="R416" s="160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</row>
    <row r="417">
      <c r="A417" s="158"/>
      <c r="B417" s="158"/>
      <c r="C417" s="158"/>
      <c r="D417" s="158"/>
      <c r="E417" s="160"/>
      <c r="F417" s="158"/>
      <c r="G417" s="158"/>
      <c r="H417" s="160"/>
      <c r="I417" s="158"/>
      <c r="J417" s="158"/>
      <c r="K417" s="160"/>
      <c r="L417" s="158"/>
      <c r="M417" s="158"/>
      <c r="N417" s="158"/>
      <c r="O417" s="158"/>
      <c r="P417" s="158"/>
      <c r="Q417" s="158"/>
      <c r="R417" s="160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</row>
    <row r="418">
      <c r="A418" s="158"/>
      <c r="B418" s="158"/>
      <c r="C418" s="158"/>
      <c r="D418" s="158"/>
      <c r="E418" s="160"/>
      <c r="F418" s="158"/>
      <c r="G418" s="158"/>
      <c r="H418" s="160"/>
      <c r="I418" s="158"/>
      <c r="J418" s="158"/>
      <c r="K418" s="160"/>
      <c r="L418" s="158"/>
      <c r="M418" s="158"/>
      <c r="N418" s="158"/>
      <c r="O418" s="158"/>
      <c r="P418" s="158"/>
      <c r="Q418" s="158"/>
      <c r="R418" s="160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</row>
    <row r="419">
      <c r="A419" s="158"/>
      <c r="B419" s="158"/>
      <c r="C419" s="158"/>
      <c r="D419" s="158"/>
      <c r="E419" s="160"/>
      <c r="F419" s="158"/>
      <c r="G419" s="158"/>
      <c r="H419" s="160"/>
      <c r="I419" s="158"/>
      <c r="J419" s="158"/>
      <c r="K419" s="160"/>
      <c r="L419" s="158"/>
      <c r="M419" s="158"/>
      <c r="N419" s="158"/>
      <c r="O419" s="158"/>
      <c r="P419" s="158"/>
      <c r="Q419" s="158"/>
      <c r="R419" s="160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</row>
    <row r="420">
      <c r="A420" s="158"/>
      <c r="B420" s="158"/>
      <c r="C420" s="158"/>
      <c r="D420" s="158"/>
      <c r="E420" s="160"/>
      <c r="F420" s="158"/>
      <c r="G420" s="158"/>
      <c r="H420" s="160"/>
      <c r="I420" s="158"/>
      <c r="J420" s="158"/>
      <c r="K420" s="160"/>
      <c r="L420" s="158"/>
      <c r="M420" s="158"/>
      <c r="N420" s="158"/>
      <c r="O420" s="158"/>
      <c r="P420" s="158"/>
      <c r="Q420" s="158"/>
      <c r="R420" s="160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</row>
    <row r="421">
      <c r="A421" s="158"/>
      <c r="B421" s="158"/>
      <c r="C421" s="158"/>
      <c r="D421" s="158"/>
      <c r="E421" s="160"/>
      <c r="F421" s="158"/>
      <c r="G421" s="158"/>
      <c r="H421" s="160"/>
      <c r="I421" s="158"/>
      <c r="J421" s="158"/>
      <c r="K421" s="160"/>
      <c r="L421" s="158"/>
      <c r="M421" s="158"/>
      <c r="N421" s="158"/>
      <c r="O421" s="158"/>
      <c r="P421" s="158"/>
      <c r="Q421" s="158"/>
      <c r="R421" s="160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</row>
    <row r="422">
      <c r="A422" s="158"/>
      <c r="B422" s="158"/>
      <c r="C422" s="158"/>
      <c r="D422" s="158"/>
      <c r="E422" s="160"/>
      <c r="F422" s="158"/>
      <c r="G422" s="158"/>
      <c r="H422" s="160"/>
      <c r="I422" s="158"/>
      <c r="J422" s="158"/>
      <c r="K422" s="160"/>
      <c r="L422" s="158"/>
      <c r="M422" s="158"/>
      <c r="N422" s="158"/>
      <c r="O422" s="158"/>
      <c r="P422" s="158"/>
      <c r="Q422" s="158"/>
      <c r="R422" s="160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</row>
    <row r="423">
      <c r="A423" s="158"/>
      <c r="B423" s="158"/>
      <c r="C423" s="158"/>
      <c r="D423" s="158"/>
      <c r="E423" s="160"/>
      <c r="F423" s="158"/>
      <c r="G423" s="158"/>
      <c r="H423" s="160"/>
      <c r="I423" s="158"/>
      <c r="J423" s="158"/>
      <c r="K423" s="160"/>
      <c r="L423" s="158"/>
      <c r="M423" s="158"/>
      <c r="N423" s="158"/>
      <c r="O423" s="158"/>
      <c r="P423" s="158"/>
      <c r="Q423" s="158"/>
      <c r="R423" s="160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</row>
    <row r="424">
      <c r="A424" s="158"/>
      <c r="B424" s="158"/>
      <c r="C424" s="158"/>
      <c r="D424" s="158"/>
      <c r="E424" s="160"/>
      <c r="F424" s="158"/>
      <c r="G424" s="158"/>
      <c r="H424" s="160"/>
      <c r="I424" s="158"/>
      <c r="J424" s="158"/>
      <c r="K424" s="160"/>
      <c r="L424" s="158"/>
      <c r="M424" s="158"/>
      <c r="N424" s="158"/>
      <c r="O424" s="158"/>
      <c r="P424" s="158"/>
      <c r="Q424" s="158"/>
      <c r="R424" s="160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</row>
    <row r="425">
      <c r="A425" s="158"/>
      <c r="B425" s="158"/>
      <c r="C425" s="158"/>
      <c r="D425" s="158"/>
      <c r="E425" s="160"/>
      <c r="F425" s="158"/>
      <c r="G425" s="158"/>
      <c r="H425" s="160"/>
      <c r="I425" s="158"/>
      <c r="J425" s="158"/>
      <c r="K425" s="160"/>
      <c r="L425" s="158"/>
      <c r="M425" s="158"/>
      <c r="N425" s="158"/>
      <c r="O425" s="158"/>
      <c r="P425" s="158"/>
      <c r="Q425" s="158"/>
      <c r="R425" s="160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</row>
    <row r="426">
      <c r="A426" s="158"/>
      <c r="B426" s="158"/>
      <c r="C426" s="158"/>
      <c r="D426" s="158"/>
      <c r="E426" s="160"/>
      <c r="F426" s="158"/>
      <c r="G426" s="158"/>
      <c r="H426" s="160"/>
      <c r="I426" s="158"/>
      <c r="J426" s="158"/>
      <c r="K426" s="160"/>
      <c r="L426" s="158"/>
      <c r="M426" s="158"/>
      <c r="N426" s="158"/>
      <c r="O426" s="158"/>
      <c r="P426" s="158"/>
      <c r="Q426" s="158"/>
      <c r="R426" s="160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</row>
    <row r="427">
      <c r="A427" s="158"/>
      <c r="B427" s="158"/>
      <c r="C427" s="158"/>
      <c r="D427" s="158"/>
      <c r="E427" s="160"/>
      <c r="F427" s="158"/>
      <c r="G427" s="158"/>
      <c r="H427" s="160"/>
      <c r="I427" s="158"/>
      <c r="J427" s="158"/>
      <c r="K427" s="160"/>
      <c r="L427" s="158"/>
      <c r="M427" s="158"/>
      <c r="N427" s="158"/>
      <c r="O427" s="158"/>
      <c r="P427" s="158"/>
      <c r="Q427" s="158"/>
      <c r="R427" s="160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</row>
    <row r="428">
      <c r="A428" s="158"/>
      <c r="B428" s="158"/>
      <c r="C428" s="158"/>
      <c r="D428" s="158"/>
      <c r="E428" s="160"/>
      <c r="F428" s="158"/>
      <c r="G428" s="158"/>
      <c r="H428" s="160"/>
      <c r="I428" s="158"/>
      <c r="J428" s="158"/>
      <c r="K428" s="160"/>
      <c r="L428" s="158"/>
      <c r="M428" s="158"/>
      <c r="N428" s="158"/>
      <c r="O428" s="158"/>
      <c r="P428" s="158"/>
      <c r="Q428" s="158"/>
      <c r="R428" s="160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</row>
    <row r="429">
      <c r="A429" s="158"/>
      <c r="B429" s="158"/>
      <c r="C429" s="158"/>
      <c r="D429" s="158"/>
      <c r="E429" s="160"/>
      <c r="F429" s="158"/>
      <c r="G429" s="158"/>
      <c r="H429" s="160"/>
      <c r="I429" s="158"/>
      <c r="J429" s="158"/>
      <c r="K429" s="160"/>
      <c r="L429" s="158"/>
      <c r="M429" s="158"/>
      <c r="N429" s="158"/>
      <c r="O429" s="158"/>
      <c r="P429" s="158"/>
      <c r="Q429" s="158"/>
      <c r="R429" s="160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</row>
    <row r="430">
      <c r="A430" s="158"/>
      <c r="B430" s="158"/>
      <c r="C430" s="158"/>
      <c r="D430" s="158"/>
      <c r="E430" s="160"/>
      <c r="F430" s="158"/>
      <c r="G430" s="158"/>
      <c r="H430" s="160"/>
      <c r="I430" s="158"/>
      <c r="J430" s="158"/>
      <c r="K430" s="160"/>
      <c r="L430" s="158"/>
      <c r="M430" s="158"/>
      <c r="N430" s="158"/>
      <c r="O430" s="158"/>
      <c r="P430" s="158"/>
      <c r="Q430" s="158"/>
      <c r="R430" s="160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</row>
    <row r="431">
      <c r="A431" s="158"/>
      <c r="B431" s="158"/>
      <c r="C431" s="158"/>
      <c r="D431" s="158"/>
      <c r="E431" s="160"/>
      <c r="F431" s="158"/>
      <c r="G431" s="158"/>
      <c r="H431" s="160"/>
      <c r="I431" s="158"/>
      <c r="J431" s="158"/>
      <c r="K431" s="160"/>
      <c r="L431" s="158"/>
      <c r="M431" s="158"/>
      <c r="N431" s="158"/>
      <c r="O431" s="158"/>
      <c r="P431" s="158"/>
      <c r="Q431" s="158"/>
      <c r="R431" s="160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</row>
    <row r="432">
      <c r="A432" s="158"/>
      <c r="B432" s="158"/>
      <c r="C432" s="158"/>
      <c r="D432" s="158"/>
      <c r="E432" s="160"/>
      <c r="F432" s="158"/>
      <c r="G432" s="158"/>
      <c r="H432" s="160"/>
      <c r="I432" s="158"/>
      <c r="J432" s="158"/>
      <c r="K432" s="160"/>
      <c r="L432" s="158"/>
      <c r="M432" s="158"/>
      <c r="N432" s="158"/>
      <c r="O432" s="158"/>
      <c r="P432" s="158"/>
      <c r="Q432" s="158"/>
      <c r="R432" s="160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</row>
    <row r="433">
      <c r="A433" s="158"/>
      <c r="B433" s="158"/>
      <c r="C433" s="158"/>
      <c r="D433" s="158"/>
      <c r="E433" s="160"/>
      <c r="F433" s="158"/>
      <c r="G433" s="158"/>
      <c r="H433" s="160"/>
      <c r="I433" s="158"/>
      <c r="J433" s="158"/>
      <c r="K433" s="160"/>
      <c r="L433" s="158"/>
      <c r="M433" s="158"/>
      <c r="N433" s="158"/>
      <c r="O433" s="158"/>
      <c r="P433" s="158"/>
      <c r="Q433" s="158"/>
      <c r="R433" s="160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</row>
    <row r="434">
      <c r="A434" s="158"/>
      <c r="B434" s="158"/>
      <c r="C434" s="158"/>
      <c r="D434" s="158"/>
      <c r="E434" s="160"/>
      <c r="F434" s="158"/>
      <c r="G434" s="158"/>
      <c r="H434" s="160"/>
      <c r="I434" s="158"/>
      <c r="J434" s="158"/>
      <c r="K434" s="160"/>
      <c r="L434" s="158"/>
      <c r="M434" s="158"/>
      <c r="N434" s="158"/>
      <c r="O434" s="158"/>
      <c r="P434" s="158"/>
      <c r="Q434" s="158"/>
      <c r="R434" s="160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</row>
    <row r="435">
      <c r="A435" s="158"/>
      <c r="B435" s="158"/>
      <c r="C435" s="158"/>
      <c r="D435" s="158"/>
      <c r="E435" s="160"/>
      <c r="F435" s="158"/>
      <c r="G435" s="158"/>
      <c r="H435" s="160"/>
      <c r="I435" s="158"/>
      <c r="J435" s="158"/>
      <c r="K435" s="160"/>
      <c r="L435" s="158"/>
      <c r="M435" s="158"/>
      <c r="N435" s="158"/>
      <c r="O435" s="158"/>
      <c r="P435" s="158"/>
      <c r="Q435" s="158"/>
      <c r="R435" s="160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</row>
    <row r="436">
      <c r="A436" s="158"/>
      <c r="B436" s="158"/>
      <c r="C436" s="158"/>
      <c r="D436" s="158"/>
      <c r="E436" s="160"/>
      <c r="F436" s="158"/>
      <c r="G436" s="158"/>
      <c r="H436" s="160"/>
      <c r="I436" s="158"/>
      <c r="J436" s="158"/>
      <c r="K436" s="160"/>
      <c r="L436" s="158"/>
      <c r="M436" s="158"/>
      <c r="N436" s="158"/>
      <c r="O436" s="158"/>
      <c r="P436" s="158"/>
      <c r="Q436" s="158"/>
      <c r="R436" s="160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</row>
    <row r="437">
      <c r="A437" s="158"/>
      <c r="B437" s="158"/>
      <c r="C437" s="158"/>
      <c r="D437" s="158"/>
      <c r="E437" s="160"/>
      <c r="F437" s="158"/>
      <c r="G437" s="158"/>
      <c r="H437" s="160"/>
      <c r="I437" s="158"/>
      <c r="J437" s="158"/>
      <c r="K437" s="160"/>
      <c r="L437" s="158"/>
      <c r="M437" s="158"/>
      <c r="N437" s="158"/>
      <c r="O437" s="158"/>
      <c r="P437" s="158"/>
      <c r="Q437" s="158"/>
      <c r="R437" s="160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</row>
    <row r="438">
      <c r="A438" s="158"/>
      <c r="B438" s="158"/>
      <c r="C438" s="158"/>
      <c r="D438" s="158"/>
      <c r="E438" s="160"/>
      <c r="F438" s="158"/>
      <c r="G438" s="158"/>
      <c r="H438" s="160"/>
      <c r="I438" s="158"/>
      <c r="J438" s="158"/>
      <c r="K438" s="160"/>
      <c r="L438" s="158"/>
      <c r="M438" s="158"/>
      <c r="N438" s="158"/>
      <c r="O438" s="158"/>
      <c r="P438" s="158"/>
      <c r="Q438" s="158"/>
      <c r="R438" s="160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</row>
    <row r="439">
      <c r="A439" s="158"/>
      <c r="B439" s="158"/>
      <c r="C439" s="158"/>
      <c r="D439" s="158"/>
      <c r="E439" s="160"/>
      <c r="F439" s="158"/>
      <c r="G439" s="158"/>
      <c r="H439" s="160"/>
      <c r="I439" s="158"/>
      <c r="J439" s="158"/>
      <c r="K439" s="160"/>
      <c r="L439" s="158"/>
      <c r="M439" s="158"/>
      <c r="N439" s="158"/>
      <c r="O439" s="158"/>
      <c r="P439" s="158"/>
      <c r="Q439" s="158"/>
      <c r="R439" s="160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</row>
    <row r="440">
      <c r="A440" s="158"/>
      <c r="B440" s="158"/>
      <c r="C440" s="158"/>
      <c r="D440" s="158"/>
      <c r="E440" s="160"/>
      <c r="F440" s="158"/>
      <c r="G440" s="158"/>
      <c r="H440" s="160"/>
      <c r="I440" s="158"/>
      <c r="J440" s="158"/>
      <c r="K440" s="160"/>
      <c r="L440" s="158"/>
      <c r="M440" s="158"/>
      <c r="N440" s="158"/>
      <c r="O440" s="158"/>
      <c r="P440" s="158"/>
      <c r="Q440" s="158"/>
      <c r="R440" s="160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</row>
    <row r="441">
      <c r="A441" s="158"/>
      <c r="B441" s="158"/>
      <c r="C441" s="158"/>
      <c r="D441" s="158"/>
      <c r="E441" s="160"/>
      <c r="F441" s="158"/>
      <c r="G441" s="158"/>
      <c r="H441" s="160"/>
      <c r="I441" s="158"/>
      <c r="J441" s="158"/>
      <c r="K441" s="160"/>
      <c r="L441" s="158"/>
      <c r="M441" s="158"/>
      <c r="N441" s="158"/>
      <c r="O441" s="158"/>
      <c r="P441" s="158"/>
      <c r="Q441" s="158"/>
      <c r="R441" s="160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</row>
    <row r="442">
      <c r="A442" s="158"/>
      <c r="B442" s="158"/>
      <c r="C442" s="158"/>
      <c r="D442" s="158"/>
      <c r="E442" s="160"/>
      <c r="F442" s="158"/>
      <c r="G442" s="158"/>
      <c r="H442" s="160"/>
      <c r="I442" s="158"/>
      <c r="J442" s="158"/>
      <c r="K442" s="160"/>
      <c r="L442" s="158"/>
      <c r="M442" s="158"/>
      <c r="N442" s="158"/>
      <c r="O442" s="158"/>
      <c r="P442" s="158"/>
      <c r="Q442" s="158"/>
      <c r="R442" s="160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</row>
    <row r="443">
      <c r="A443" s="158"/>
      <c r="B443" s="158"/>
      <c r="C443" s="158"/>
      <c r="D443" s="158"/>
      <c r="E443" s="160"/>
      <c r="F443" s="158"/>
      <c r="G443" s="158"/>
      <c r="H443" s="160"/>
      <c r="I443" s="158"/>
      <c r="J443" s="158"/>
      <c r="K443" s="160"/>
      <c r="L443" s="158"/>
      <c r="M443" s="158"/>
      <c r="N443" s="158"/>
      <c r="O443" s="158"/>
      <c r="P443" s="158"/>
      <c r="Q443" s="158"/>
      <c r="R443" s="160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</row>
    <row r="444">
      <c r="A444" s="158"/>
      <c r="B444" s="158"/>
      <c r="C444" s="158"/>
      <c r="D444" s="158"/>
      <c r="E444" s="160"/>
      <c r="F444" s="158"/>
      <c r="G444" s="158"/>
      <c r="H444" s="160"/>
      <c r="I444" s="158"/>
      <c r="J444" s="158"/>
      <c r="K444" s="160"/>
      <c r="L444" s="158"/>
      <c r="M444" s="158"/>
      <c r="N444" s="158"/>
      <c r="O444" s="158"/>
      <c r="P444" s="158"/>
      <c r="Q444" s="158"/>
      <c r="R444" s="160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</row>
    <row r="445">
      <c r="A445" s="158"/>
      <c r="B445" s="158"/>
      <c r="C445" s="158"/>
      <c r="D445" s="158"/>
      <c r="E445" s="160"/>
      <c r="F445" s="158"/>
      <c r="G445" s="158"/>
      <c r="H445" s="160"/>
      <c r="I445" s="158"/>
      <c r="J445" s="158"/>
      <c r="K445" s="160"/>
      <c r="L445" s="158"/>
      <c r="M445" s="158"/>
      <c r="N445" s="158"/>
      <c r="O445" s="158"/>
      <c r="P445" s="158"/>
      <c r="Q445" s="158"/>
      <c r="R445" s="160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</row>
    <row r="446">
      <c r="A446" s="158"/>
      <c r="B446" s="158"/>
      <c r="C446" s="158"/>
      <c r="D446" s="158"/>
      <c r="E446" s="160"/>
      <c r="F446" s="158"/>
      <c r="G446" s="158"/>
      <c r="H446" s="160"/>
      <c r="I446" s="158"/>
      <c r="J446" s="158"/>
      <c r="K446" s="160"/>
      <c r="L446" s="158"/>
      <c r="M446" s="158"/>
      <c r="N446" s="158"/>
      <c r="O446" s="158"/>
      <c r="P446" s="158"/>
      <c r="Q446" s="158"/>
      <c r="R446" s="160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</row>
    <row r="447">
      <c r="A447" s="158"/>
      <c r="B447" s="158"/>
      <c r="C447" s="158"/>
      <c r="D447" s="158"/>
      <c r="E447" s="160"/>
      <c r="F447" s="158"/>
      <c r="G447" s="158"/>
      <c r="H447" s="160"/>
      <c r="I447" s="158"/>
      <c r="J447" s="158"/>
      <c r="K447" s="160"/>
      <c r="L447" s="158"/>
      <c r="M447" s="158"/>
      <c r="N447" s="158"/>
      <c r="O447" s="158"/>
      <c r="P447" s="158"/>
      <c r="Q447" s="158"/>
      <c r="R447" s="160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</row>
    <row r="448">
      <c r="A448" s="158"/>
      <c r="B448" s="158"/>
      <c r="C448" s="158"/>
      <c r="D448" s="158"/>
      <c r="E448" s="160"/>
      <c r="F448" s="158"/>
      <c r="G448" s="158"/>
      <c r="H448" s="160"/>
      <c r="I448" s="158"/>
      <c r="J448" s="158"/>
      <c r="K448" s="160"/>
      <c r="L448" s="158"/>
      <c r="M448" s="158"/>
      <c r="N448" s="158"/>
      <c r="O448" s="158"/>
      <c r="P448" s="158"/>
      <c r="Q448" s="158"/>
      <c r="R448" s="160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</row>
    <row r="449">
      <c r="A449" s="158"/>
      <c r="B449" s="158"/>
      <c r="C449" s="158"/>
      <c r="D449" s="158"/>
      <c r="E449" s="160"/>
      <c r="F449" s="158"/>
      <c r="G449" s="158"/>
      <c r="H449" s="160"/>
      <c r="I449" s="158"/>
      <c r="J449" s="158"/>
      <c r="K449" s="160"/>
      <c r="L449" s="158"/>
      <c r="M449" s="158"/>
      <c r="N449" s="158"/>
      <c r="O449" s="158"/>
      <c r="P449" s="158"/>
      <c r="Q449" s="158"/>
      <c r="R449" s="160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</row>
    <row r="450">
      <c r="A450" s="158"/>
      <c r="B450" s="158"/>
      <c r="C450" s="158"/>
      <c r="D450" s="158"/>
      <c r="E450" s="160"/>
      <c r="F450" s="158"/>
      <c r="G450" s="158"/>
      <c r="H450" s="160"/>
      <c r="I450" s="158"/>
      <c r="J450" s="158"/>
      <c r="K450" s="160"/>
      <c r="L450" s="158"/>
      <c r="M450" s="158"/>
      <c r="N450" s="158"/>
      <c r="O450" s="158"/>
      <c r="P450" s="158"/>
      <c r="Q450" s="158"/>
      <c r="R450" s="160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</row>
    <row r="451">
      <c r="A451" s="158"/>
      <c r="B451" s="158"/>
      <c r="C451" s="158"/>
      <c r="D451" s="158"/>
      <c r="E451" s="160"/>
      <c r="F451" s="158"/>
      <c r="G451" s="158"/>
      <c r="H451" s="160"/>
      <c r="I451" s="158"/>
      <c r="J451" s="158"/>
      <c r="K451" s="160"/>
      <c r="L451" s="158"/>
      <c r="M451" s="158"/>
      <c r="N451" s="158"/>
      <c r="O451" s="158"/>
      <c r="P451" s="158"/>
      <c r="Q451" s="158"/>
      <c r="R451" s="160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</row>
    <row r="452">
      <c r="A452" s="158"/>
      <c r="B452" s="158"/>
      <c r="C452" s="158"/>
      <c r="D452" s="158"/>
      <c r="E452" s="160"/>
      <c r="F452" s="158"/>
      <c r="G452" s="158"/>
      <c r="H452" s="160"/>
      <c r="I452" s="158"/>
      <c r="J452" s="158"/>
      <c r="K452" s="160"/>
      <c r="L452" s="158"/>
      <c r="M452" s="158"/>
      <c r="N452" s="158"/>
      <c r="O452" s="158"/>
      <c r="P452" s="158"/>
      <c r="Q452" s="158"/>
      <c r="R452" s="160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</row>
    <row r="453">
      <c r="A453" s="158"/>
      <c r="B453" s="158"/>
      <c r="C453" s="158"/>
      <c r="D453" s="158"/>
      <c r="E453" s="160"/>
      <c r="F453" s="158"/>
      <c r="G453" s="158"/>
      <c r="H453" s="160"/>
      <c r="I453" s="158"/>
      <c r="J453" s="158"/>
      <c r="K453" s="160"/>
      <c r="L453" s="158"/>
      <c r="M453" s="158"/>
      <c r="N453" s="158"/>
      <c r="O453" s="158"/>
      <c r="P453" s="158"/>
      <c r="Q453" s="158"/>
      <c r="R453" s="160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</row>
    <row r="454">
      <c r="A454" s="158"/>
      <c r="B454" s="158"/>
      <c r="C454" s="158"/>
      <c r="D454" s="158"/>
      <c r="E454" s="160"/>
      <c r="F454" s="158"/>
      <c r="G454" s="158"/>
      <c r="H454" s="160"/>
      <c r="I454" s="158"/>
      <c r="J454" s="158"/>
      <c r="K454" s="160"/>
      <c r="L454" s="158"/>
      <c r="M454" s="158"/>
      <c r="N454" s="158"/>
      <c r="O454" s="158"/>
      <c r="P454" s="158"/>
      <c r="Q454" s="158"/>
      <c r="R454" s="160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</row>
    <row r="455">
      <c r="A455" s="158"/>
      <c r="B455" s="158"/>
      <c r="C455" s="158"/>
      <c r="D455" s="158"/>
      <c r="E455" s="160"/>
      <c r="F455" s="158"/>
      <c r="G455" s="158"/>
      <c r="H455" s="160"/>
      <c r="I455" s="158"/>
      <c r="J455" s="158"/>
      <c r="K455" s="160"/>
      <c r="L455" s="158"/>
      <c r="M455" s="158"/>
      <c r="N455" s="158"/>
      <c r="O455" s="158"/>
      <c r="P455" s="158"/>
      <c r="Q455" s="158"/>
      <c r="R455" s="160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</row>
    <row r="456">
      <c r="A456" s="158"/>
      <c r="B456" s="158"/>
      <c r="C456" s="158"/>
      <c r="D456" s="158"/>
      <c r="E456" s="160"/>
      <c r="F456" s="158"/>
      <c r="G456" s="158"/>
      <c r="H456" s="160"/>
      <c r="I456" s="158"/>
      <c r="J456" s="158"/>
      <c r="K456" s="160"/>
      <c r="L456" s="158"/>
      <c r="M456" s="158"/>
      <c r="N456" s="158"/>
      <c r="O456" s="158"/>
      <c r="P456" s="158"/>
      <c r="Q456" s="158"/>
      <c r="R456" s="160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</row>
    <row r="457">
      <c r="A457" s="158"/>
      <c r="B457" s="158"/>
      <c r="C457" s="158"/>
      <c r="D457" s="158"/>
      <c r="E457" s="160"/>
      <c r="F457" s="158"/>
      <c r="G457" s="158"/>
      <c r="H457" s="160"/>
      <c r="I457" s="158"/>
      <c r="J457" s="158"/>
      <c r="K457" s="160"/>
      <c r="L457" s="158"/>
      <c r="M457" s="158"/>
      <c r="N457" s="158"/>
      <c r="O457" s="158"/>
      <c r="P457" s="158"/>
      <c r="Q457" s="158"/>
      <c r="R457" s="160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</row>
    <row r="458">
      <c r="A458" s="158"/>
      <c r="B458" s="158"/>
      <c r="C458" s="158"/>
      <c r="D458" s="158"/>
      <c r="E458" s="160"/>
      <c r="F458" s="158"/>
      <c r="G458" s="158"/>
      <c r="H458" s="160"/>
      <c r="I458" s="158"/>
      <c r="J458" s="158"/>
      <c r="K458" s="160"/>
      <c r="L458" s="158"/>
      <c r="M458" s="158"/>
      <c r="N458" s="158"/>
      <c r="O458" s="158"/>
      <c r="P458" s="158"/>
      <c r="Q458" s="158"/>
      <c r="R458" s="160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</row>
    <row r="459">
      <c r="A459" s="158"/>
      <c r="B459" s="158"/>
      <c r="C459" s="158"/>
      <c r="D459" s="158"/>
      <c r="E459" s="160"/>
      <c r="F459" s="158"/>
      <c r="G459" s="158"/>
      <c r="H459" s="160"/>
      <c r="I459" s="158"/>
      <c r="J459" s="158"/>
      <c r="K459" s="160"/>
      <c r="L459" s="158"/>
      <c r="M459" s="158"/>
      <c r="N459" s="158"/>
      <c r="O459" s="158"/>
      <c r="P459" s="158"/>
      <c r="Q459" s="158"/>
      <c r="R459" s="160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</row>
    <row r="460">
      <c r="A460" s="158"/>
      <c r="B460" s="158"/>
      <c r="C460" s="158"/>
      <c r="D460" s="158"/>
      <c r="E460" s="160"/>
      <c r="F460" s="158"/>
      <c r="G460" s="158"/>
      <c r="H460" s="160"/>
      <c r="I460" s="158"/>
      <c r="J460" s="158"/>
      <c r="K460" s="160"/>
      <c r="L460" s="158"/>
      <c r="M460" s="158"/>
      <c r="N460" s="158"/>
      <c r="O460" s="158"/>
      <c r="P460" s="158"/>
      <c r="Q460" s="158"/>
      <c r="R460" s="160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</row>
    <row r="461">
      <c r="A461" s="158"/>
      <c r="B461" s="158"/>
      <c r="C461" s="158"/>
      <c r="D461" s="158"/>
      <c r="E461" s="160"/>
      <c r="F461" s="158"/>
      <c r="G461" s="158"/>
      <c r="H461" s="160"/>
      <c r="I461" s="158"/>
      <c r="J461" s="158"/>
      <c r="K461" s="160"/>
      <c r="L461" s="158"/>
      <c r="M461" s="158"/>
      <c r="N461" s="158"/>
      <c r="O461" s="158"/>
      <c r="P461" s="158"/>
      <c r="Q461" s="158"/>
      <c r="R461" s="160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</row>
    <row r="462">
      <c r="A462" s="158"/>
      <c r="B462" s="158"/>
      <c r="C462" s="158"/>
      <c r="D462" s="158"/>
      <c r="E462" s="160"/>
      <c r="F462" s="158"/>
      <c r="G462" s="158"/>
      <c r="H462" s="160"/>
      <c r="I462" s="158"/>
      <c r="J462" s="158"/>
      <c r="K462" s="160"/>
      <c r="L462" s="158"/>
      <c r="M462" s="158"/>
      <c r="N462" s="158"/>
      <c r="O462" s="158"/>
      <c r="P462" s="158"/>
      <c r="Q462" s="158"/>
      <c r="R462" s="160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</row>
    <row r="463">
      <c r="A463" s="158"/>
      <c r="B463" s="158"/>
      <c r="C463" s="158"/>
      <c r="D463" s="158"/>
      <c r="E463" s="160"/>
      <c r="F463" s="158"/>
      <c r="G463" s="158"/>
      <c r="H463" s="160"/>
      <c r="I463" s="158"/>
      <c r="J463" s="158"/>
      <c r="K463" s="160"/>
      <c r="L463" s="158"/>
      <c r="M463" s="158"/>
      <c r="N463" s="158"/>
      <c r="O463" s="158"/>
      <c r="P463" s="158"/>
      <c r="Q463" s="158"/>
      <c r="R463" s="160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</row>
    <row r="464">
      <c r="A464" s="158"/>
      <c r="B464" s="158"/>
      <c r="C464" s="158"/>
      <c r="D464" s="158"/>
      <c r="E464" s="160"/>
      <c r="F464" s="158"/>
      <c r="G464" s="158"/>
      <c r="H464" s="160"/>
      <c r="I464" s="158"/>
      <c r="J464" s="158"/>
      <c r="K464" s="160"/>
      <c r="L464" s="158"/>
      <c r="M464" s="158"/>
      <c r="N464" s="158"/>
      <c r="O464" s="158"/>
      <c r="P464" s="158"/>
      <c r="Q464" s="158"/>
      <c r="R464" s="160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</row>
    <row r="465">
      <c r="A465" s="158"/>
      <c r="B465" s="158"/>
      <c r="C465" s="158"/>
      <c r="D465" s="158"/>
      <c r="E465" s="160"/>
      <c r="F465" s="158"/>
      <c r="G465" s="158"/>
      <c r="H465" s="160"/>
      <c r="I465" s="158"/>
      <c r="J465" s="158"/>
      <c r="K465" s="160"/>
      <c r="L465" s="158"/>
      <c r="M465" s="158"/>
      <c r="N465" s="158"/>
      <c r="O465" s="158"/>
      <c r="P465" s="158"/>
      <c r="Q465" s="158"/>
      <c r="R465" s="160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</row>
    <row r="466">
      <c r="A466" s="158"/>
      <c r="B466" s="158"/>
      <c r="C466" s="158"/>
      <c r="D466" s="158"/>
      <c r="E466" s="160"/>
      <c r="F466" s="158"/>
      <c r="G466" s="158"/>
      <c r="H466" s="160"/>
      <c r="I466" s="158"/>
      <c r="J466" s="158"/>
      <c r="K466" s="160"/>
      <c r="L466" s="158"/>
      <c r="M466" s="158"/>
      <c r="N466" s="158"/>
      <c r="O466" s="158"/>
      <c r="P466" s="158"/>
      <c r="Q466" s="158"/>
      <c r="R466" s="160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</row>
    <row r="467">
      <c r="A467" s="158"/>
      <c r="B467" s="158"/>
      <c r="C467" s="158"/>
      <c r="D467" s="158"/>
      <c r="E467" s="160"/>
      <c r="F467" s="158"/>
      <c r="G467" s="158"/>
      <c r="H467" s="160"/>
      <c r="I467" s="158"/>
      <c r="J467" s="158"/>
      <c r="K467" s="160"/>
      <c r="L467" s="158"/>
      <c r="M467" s="158"/>
      <c r="N467" s="158"/>
      <c r="O467" s="158"/>
      <c r="P467" s="158"/>
      <c r="Q467" s="158"/>
      <c r="R467" s="160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</row>
    <row r="468">
      <c r="A468" s="158"/>
      <c r="B468" s="158"/>
      <c r="C468" s="158"/>
      <c r="D468" s="158"/>
      <c r="E468" s="160"/>
      <c r="F468" s="158"/>
      <c r="G468" s="158"/>
      <c r="H468" s="160"/>
      <c r="I468" s="158"/>
      <c r="J468" s="158"/>
      <c r="K468" s="160"/>
      <c r="L468" s="158"/>
      <c r="M468" s="158"/>
      <c r="N468" s="158"/>
      <c r="O468" s="158"/>
      <c r="P468" s="158"/>
      <c r="Q468" s="158"/>
      <c r="R468" s="160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</row>
    <row r="469">
      <c r="A469" s="158"/>
      <c r="B469" s="158"/>
      <c r="C469" s="158"/>
      <c r="D469" s="158"/>
      <c r="E469" s="160"/>
      <c r="F469" s="158"/>
      <c r="G469" s="158"/>
      <c r="H469" s="160"/>
      <c r="I469" s="158"/>
      <c r="J469" s="158"/>
      <c r="K469" s="160"/>
      <c r="L469" s="158"/>
      <c r="M469" s="158"/>
      <c r="N469" s="158"/>
      <c r="O469" s="158"/>
      <c r="P469" s="158"/>
      <c r="Q469" s="158"/>
      <c r="R469" s="160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</row>
    <row r="470">
      <c r="A470" s="158"/>
      <c r="B470" s="158"/>
      <c r="C470" s="158"/>
      <c r="D470" s="158"/>
      <c r="E470" s="160"/>
      <c r="F470" s="158"/>
      <c r="G470" s="158"/>
      <c r="H470" s="160"/>
      <c r="I470" s="158"/>
      <c r="J470" s="158"/>
      <c r="K470" s="160"/>
      <c r="L470" s="158"/>
      <c r="M470" s="158"/>
      <c r="N470" s="158"/>
      <c r="O470" s="158"/>
      <c r="P470" s="158"/>
      <c r="Q470" s="158"/>
      <c r="R470" s="160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</row>
    <row r="471">
      <c r="A471" s="158"/>
      <c r="B471" s="158"/>
      <c r="C471" s="158"/>
      <c r="D471" s="158"/>
      <c r="E471" s="160"/>
      <c r="F471" s="158"/>
      <c r="G471" s="158"/>
      <c r="H471" s="160"/>
      <c r="I471" s="158"/>
      <c r="J471" s="158"/>
      <c r="K471" s="160"/>
      <c r="L471" s="158"/>
      <c r="M471" s="158"/>
      <c r="N471" s="158"/>
      <c r="O471" s="158"/>
      <c r="P471" s="158"/>
      <c r="Q471" s="158"/>
      <c r="R471" s="160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</row>
    <row r="472">
      <c r="A472" s="158"/>
      <c r="B472" s="158"/>
      <c r="C472" s="158"/>
      <c r="D472" s="158"/>
      <c r="E472" s="160"/>
      <c r="F472" s="158"/>
      <c r="G472" s="158"/>
      <c r="H472" s="160"/>
      <c r="I472" s="158"/>
      <c r="J472" s="158"/>
      <c r="K472" s="160"/>
      <c r="L472" s="158"/>
      <c r="M472" s="158"/>
      <c r="N472" s="158"/>
      <c r="O472" s="158"/>
      <c r="P472" s="158"/>
      <c r="Q472" s="158"/>
      <c r="R472" s="160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</row>
    <row r="473">
      <c r="A473" s="158"/>
      <c r="B473" s="158"/>
      <c r="C473" s="158"/>
      <c r="D473" s="158"/>
      <c r="E473" s="160"/>
      <c r="F473" s="158"/>
      <c r="G473" s="158"/>
      <c r="H473" s="160"/>
      <c r="I473" s="158"/>
      <c r="J473" s="158"/>
      <c r="K473" s="160"/>
      <c r="L473" s="158"/>
      <c r="M473" s="158"/>
      <c r="N473" s="158"/>
      <c r="O473" s="158"/>
      <c r="P473" s="158"/>
      <c r="Q473" s="158"/>
      <c r="R473" s="160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</row>
    <row r="474">
      <c r="A474" s="158"/>
      <c r="B474" s="158"/>
      <c r="C474" s="158"/>
      <c r="D474" s="158"/>
      <c r="E474" s="160"/>
      <c r="F474" s="158"/>
      <c r="G474" s="158"/>
      <c r="H474" s="160"/>
      <c r="I474" s="158"/>
      <c r="J474" s="158"/>
      <c r="K474" s="160"/>
      <c r="L474" s="158"/>
      <c r="M474" s="158"/>
      <c r="N474" s="158"/>
      <c r="O474" s="158"/>
      <c r="P474" s="158"/>
      <c r="Q474" s="158"/>
      <c r="R474" s="160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</row>
    <row r="475">
      <c r="A475" s="158"/>
      <c r="B475" s="158"/>
      <c r="C475" s="158"/>
      <c r="D475" s="158"/>
      <c r="E475" s="160"/>
      <c r="F475" s="158"/>
      <c r="G475" s="158"/>
      <c r="H475" s="160"/>
      <c r="I475" s="158"/>
      <c r="J475" s="158"/>
      <c r="K475" s="160"/>
      <c r="L475" s="158"/>
      <c r="M475" s="158"/>
      <c r="N475" s="158"/>
      <c r="O475" s="158"/>
      <c r="P475" s="158"/>
      <c r="Q475" s="158"/>
      <c r="R475" s="160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</row>
    <row r="476">
      <c r="A476" s="158"/>
      <c r="B476" s="158"/>
      <c r="C476" s="158"/>
      <c r="D476" s="158"/>
      <c r="E476" s="160"/>
      <c r="F476" s="158"/>
      <c r="G476" s="158"/>
      <c r="H476" s="160"/>
      <c r="I476" s="158"/>
      <c r="J476" s="158"/>
      <c r="K476" s="160"/>
      <c r="L476" s="158"/>
      <c r="M476" s="158"/>
      <c r="N476" s="158"/>
      <c r="O476" s="158"/>
      <c r="P476" s="158"/>
      <c r="Q476" s="158"/>
      <c r="R476" s="160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</row>
    <row r="477">
      <c r="A477" s="158"/>
      <c r="B477" s="158"/>
      <c r="C477" s="158"/>
      <c r="D477" s="158"/>
      <c r="E477" s="160"/>
      <c r="F477" s="158"/>
      <c r="G477" s="158"/>
      <c r="H477" s="160"/>
      <c r="I477" s="158"/>
      <c r="J477" s="158"/>
      <c r="K477" s="160"/>
      <c r="L477" s="158"/>
      <c r="M477" s="158"/>
      <c r="N477" s="158"/>
      <c r="O477" s="158"/>
      <c r="P477" s="158"/>
      <c r="Q477" s="158"/>
      <c r="R477" s="160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</row>
    <row r="478">
      <c r="A478" s="158"/>
      <c r="B478" s="158"/>
      <c r="C478" s="158"/>
      <c r="D478" s="158"/>
      <c r="E478" s="160"/>
      <c r="F478" s="158"/>
      <c r="G478" s="158"/>
      <c r="H478" s="160"/>
      <c r="I478" s="158"/>
      <c r="J478" s="158"/>
      <c r="K478" s="160"/>
      <c r="L478" s="158"/>
      <c r="M478" s="158"/>
      <c r="N478" s="158"/>
      <c r="O478" s="158"/>
      <c r="P478" s="158"/>
      <c r="Q478" s="158"/>
      <c r="R478" s="160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</row>
    <row r="479">
      <c r="A479" s="158"/>
      <c r="B479" s="158"/>
      <c r="C479" s="158"/>
      <c r="D479" s="158"/>
      <c r="E479" s="160"/>
      <c r="F479" s="158"/>
      <c r="G479" s="158"/>
      <c r="H479" s="160"/>
      <c r="I479" s="158"/>
      <c r="J479" s="158"/>
      <c r="K479" s="160"/>
      <c r="L479" s="158"/>
      <c r="M479" s="158"/>
      <c r="N479" s="158"/>
      <c r="O479" s="158"/>
      <c r="P479" s="158"/>
      <c r="Q479" s="158"/>
      <c r="R479" s="160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</row>
    <row r="480">
      <c r="A480" s="158"/>
      <c r="B480" s="158"/>
      <c r="C480" s="158"/>
      <c r="D480" s="158"/>
      <c r="E480" s="160"/>
      <c r="F480" s="158"/>
      <c r="G480" s="158"/>
      <c r="H480" s="160"/>
      <c r="I480" s="158"/>
      <c r="J480" s="158"/>
      <c r="K480" s="160"/>
      <c r="L480" s="158"/>
      <c r="M480" s="158"/>
      <c r="N480" s="158"/>
      <c r="O480" s="158"/>
      <c r="P480" s="158"/>
      <c r="Q480" s="158"/>
      <c r="R480" s="160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</row>
    <row r="481">
      <c r="A481" s="158"/>
      <c r="B481" s="158"/>
      <c r="C481" s="158"/>
      <c r="D481" s="158"/>
      <c r="E481" s="160"/>
      <c r="F481" s="158"/>
      <c r="G481" s="158"/>
      <c r="H481" s="160"/>
      <c r="I481" s="158"/>
      <c r="J481" s="158"/>
      <c r="K481" s="160"/>
      <c r="L481" s="158"/>
      <c r="M481" s="158"/>
      <c r="N481" s="158"/>
      <c r="O481" s="158"/>
      <c r="P481" s="158"/>
      <c r="Q481" s="158"/>
      <c r="R481" s="160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</row>
    <row r="482">
      <c r="A482" s="158"/>
      <c r="B482" s="158"/>
      <c r="C482" s="158"/>
      <c r="D482" s="158"/>
      <c r="E482" s="160"/>
      <c r="F482" s="158"/>
      <c r="G482" s="158"/>
      <c r="H482" s="160"/>
      <c r="I482" s="158"/>
      <c r="J482" s="158"/>
      <c r="K482" s="160"/>
      <c r="L482" s="158"/>
      <c r="M482" s="158"/>
      <c r="N482" s="158"/>
      <c r="O482" s="158"/>
      <c r="P482" s="158"/>
      <c r="Q482" s="158"/>
      <c r="R482" s="160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</row>
    <row r="483">
      <c r="A483" s="158"/>
      <c r="B483" s="158"/>
      <c r="C483" s="158"/>
      <c r="D483" s="158"/>
      <c r="E483" s="160"/>
      <c r="F483" s="158"/>
      <c r="G483" s="158"/>
      <c r="H483" s="160"/>
      <c r="I483" s="158"/>
      <c r="J483" s="158"/>
      <c r="K483" s="160"/>
      <c r="L483" s="158"/>
      <c r="M483" s="158"/>
      <c r="N483" s="158"/>
      <c r="O483" s="158"/>
      <c r="P483" s="158"/>
      <c r="Q483" s="158"/>
      <c r="R483" s="160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</row>
    <row r="484">
      <c r="A484" s="158"/>
      <c r="B484" s="158"/>
      <c r="C484" s="158"/>
      <c r="D484" s="158"/>
      <c r="E484" s="160"/>
      <c r="F484" s="158"/>
      <c r="G484" s="158"/>
      <c r="H484" s="160"/>
      <c r="I484" s="158"/>
      <c r="J484" s="158"/>
      <c r="K484" s="160"/>
      <c r="L484" s="158"/>
      <c r="M484" s="158"/>
      <c r="N484" s="158"/>
      <c r="O484" s="158"/>
      <c r="P484" s="158"/>
      <c r="Q484" s="158"/>
      <c r="R484" s="160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</row>
    <row r="485">
      <c r="A485" s="158"/>
      <c r="B485" s="158"/>
      <c r="C485" s="158"/>
      <c r="D485" s="158"/>
      <c r="E485" s="160"/>
      <c r="F485" s="158"/>
      <c r="G485" s="158"/>
      <c r="H485" s="160"/>
      <c r="I485" s="158"/>
      <c r="J485" s="158"/>
      <c r="K485" s="160"/>
      <c r="L485" s="158"/>
      <c r="M485" s="158"/>
      <c r="N485" s="158"/>
      <c r="O485" s="158"/>
      <c r="P485" s="158"/>
      <c r="Q485" s="158"/>
      <c r="R485" s="160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</row>
    <row r="486">
      <c r="A486" s="158"/>
      <c r="B486" s="158"/>
      <c r="C486" s="158"/>
      <c r="D486" s="158"/>
      <c r="E486" s="160"/>
      <c r="F486" s="158"/>
      <c r="G486" s="158"/>
      <c r="H486" s="160"/>
      <c r="I486" s="158"/>
      <c r="J486" s="158"/>
      <c r="K486" s="160"/>
      <c r="L486" s="158"/>
      <c r="M486" s="158"/>
      <c r="N486" s="158"/>
      <c r="O486" s="158"/>
      <c r="P486" s="158"/>
      <c r="Q486" s="158"/>
      <c r="R486" s="160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</row>
    <row r="487">
      <c r="A487" s="158"/>
      <c r="B487" s="158"/>
      <c r="C487" s="158"/>
      <c r="D487" s="158"/>
      <c r="E487" s="160"/>
      <c r="F487" s="158"/>
      <c r="G487" s="158"/>
      <c r="H487" s="160"/>
      <c r="I487" s="158"/>
      <c r="J487" s="158"/>
      <c r="K487" s="160"/>
      <c r="L487" s="158"/>
      <c r="M487" s="158"/>
      <c r="N487" s="158"/>
      <c r="O487" s="158"/>
      <c r="P487" s="158"/>
      <c r="Q487" s="158"/>
      <c r="R487" s="160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</row>
    <row r="488">
      <c r="A488" s="158"/>
      <c r="B488" s="158"/>
      <c r="C488" s="158"/>
      <c r="D488" s="158"/>
      <c r="E488" s="160"/>
      <c r="F488" s="158"/>
      <c r="G488" s="158"/>
      <c r="H488" s="160"/>
      <c r="I488" s="158"/>
      <c r="J488" s="158"/>
      <c r="K488" s="160"/>
      <c r="L488" s="158"/>
      <c r="M488" s="158"/>
      <c r="N488" s="158"/>
      <c r="O488" s="158"/>
      <c r="P488" s="158"/>
      <c r="Q488" s="158"/>
      <c r="R488" s="160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</row>
    <row r="489">
      <c r="A489" s="158"/>
      <c r="B489" s="158"/>
      <c r="C489" s="158"/>
      <c r="D489" s="158"/>
      <c r="E489" s="160"/>
      <c r="F489" s="158"/>
      <c r="G489" s="158"/>
      <c r="H489" s="160"/>
      <c r="I489" s="158"/>
      <c r="J489" s="158"/>
      <c r="K489" s="160"/>
      <c r="L489" s="158"/>
      <c r="M489" s="158"/>
      <c r="N489" s="158"/>
      <c r="O489" s="158"/>
      <c r="P489" s="158"/>
      <c r="Q489" s="158"/>
      <c r="R489" s="160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</row>
    <row r="490">
      <c r="A490" s="158"/>
      <c r="B490" s="158"/>
      <c r="C490" s="158"/>
      <c r="D490" s="158"/>
      <c r="E490" s="160"/>
      <c r="F490" s="158"/>
      <c r="G490" s="158"/>
      <c r="H490" s="160"/>
      <c r="I490" s="158"/>
      <c r="J490" s="158"/>
      <c r="K490" s="160"/>
      <c r="L490" s="158"/>
      <c r="M490" s="158"/>
      <c r="N490" s="158"/>
      <c r="O490" s="158"/>
      <c r="P490" s="158"/>
      <c r="Q490" s="158"/>
      <c r="R490" s="160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</row>
    <row r="491">
      <c r="A491" s="158"/>
      <c r="B491" s="158"/>
      <c r="C491" s="158"/>
      <c r="D491" s="158"/>
      <c r="E491" s="160"/>
      <c r="F491" s="158"/>
      <c r="G491" s="158"/>
      <c r="H491" s="160"/>
      <c r="I491" s="158"/>
      <c r="J491" s="158"/>
      <c r="K491" s="160"/>
      <c r="L491" s="158"/>
      <c r="M491" s="158"/>
      <c r="N491" s="158"/>
      <c r="O491" s="158"/>
      <c r="P491" s="158"/>
      <c r="Q491" s="158"/>
      <c r="R491" s="160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</row>
    <row r="492">
      <c r="A492" s="158"/>
      <c r="B492" s="158"/>
      <c r="C492" s="158"/>
      <c r="D492" s="158"/>
      <c r="E492" s="160"/>
      <c r="F492" s="158"/>
      <c r="G492" s="158"/>
      <c r="H492" s="160"/>
      <c r="I492" s="158"/>
      <c r="J492" s="158"/>
      <c r="K492" s="160"/>
      <c r="L492" s="158"/>
      <c r="M492" s="158"/>
      <c r="N492" s="158"/>
      <c r="O492" s="158"/>
      <c r="P492" s="158"/>
      <c r="Q492" s="158"/>
      <c r="R492" s="160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</row>
    <row r="493">
      <c r="A493" s="158"/>
      <c r="B493" s="158"/>
      <c r="C493" s="158"/>
      <c r="D493" s="158"/>
      <c r="E493" s="160"/>
      <c r="F493" s="158"/>
      <c r="G493" s="158"/>
      <c r="H493" s="160"/>
      <c r="I493" s="158"/>
      <c r="J493" s="158"/>
      <c r="K493" s="160"/>
      <c r="L493" s="158"/>
      <c r="M493" s="158"/>
      <c r="N493" s="158"/>
      <c r="O493" s="158"/>
      <c r="P493" s="158"/>
      <c r="Q493" s="158"/>
      <c r="R493" s="160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</row>
    <row r="494">
      <c r="A494" s="158"/>
      <c r="B494" s="158"/>
      <c r="C494" s="158"/>
      <c r="D494" s="158"/>
      <c r="E494" s="160"/>
      <c r="F494" s="158"/>
      <c r="G494" s="158"/>
      <c r="H494" s="160"/>
      <c r="I494" s="158"/>
      <c r="J494" s="158"/>
      <c r="K494" s="160"/>
      <c r="L494" s="158"/>
      <c r="M494" s="158"/>
      <c r="N494" s="158"/>
      <c r="O494" s="158"/>
      <c r="P494" s="158"/>
      <c r="Q494" s="158"/>
      <c r="R494" s="160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</row>
    <row r="495">
      <c r="A495" s="158"/>
      <c r="B495" s="158"/>
      <c r="C495" s="158"/>
      <c r="D495" s="158"/>
      <c r="E495" s="160"/>
      <c r="F495" s="158"/>
      <c r="G495" s="158"/>
      <c r="H495" s="160"/>
      <c r="I495" s="158"/>
      <c r="J495" s="158"/>
      <c r="K495" s="160"/>
      <c r="L495" s="158"/>
      <c r="M495" s="158"/>
      <c r="N495" s="158"/>
      <c r="O495" s="158"/>
      <c r="P495" s="158"/>
      <c r="Q495" s="158"/>
      <c r="R495" s="160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</row>
    <row r="496">
      <c r="A496" s="158"/>
      <c r="B496" s="158"/>
      <c r="C496" s="158"/>
      <c r="D496" s="158"/>
      <c r="E496" s="160"/>
      <c r="F496" s="158"/>
      <c r="G496" s="158"/>
      <c r="H496" s="160"/>
      <c r="I496" s="158"/>
      <c r="J496" s="158"/>
      <c r="K496" s="160"/>
      <c r="L496" s="158"/>
      <c r="M496" s="158"/>
      <c r="N496" s="158"/>
      <c r="O496" s="158"/>
      <c r="P496" s="158"/>
      <c r="Q496" s="158"/>
      <c r="R496" s="160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</row>
    <row r="497">
      <c r="A497" s="158"/>
      <c r="B497" s="158"/>
      <c r="C497" s="158"/>
      <c r="D497" s="158"/>
      <c r="E497" s="160"/>
      <c r="F497" s="158"/>
      <c r="G497" s="158"/>
      <c r="H497" s="160"/>
      <c r="I497" s="158"/>
      <c r="J497" s="158"/>
      <c r="K497" s="160"/>
      <c r="L497" s="158"/>
      <c r="M497" s="158"/>
      <c r="N497" s="158"/>
      <c r="O497" s="158"/>
      <c r="P497" s="158"/>
      <c r="Q497" s="158"/>
      <c r="R497" s="160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</row>
    <row r="498">
      <c r="A498" s="158"/>
      <c r="B498" s="158"/>
      <c r="C498" s="158"/>
      <c r="D498" s="158"/>
      <c r="E498" s="160"/>
      <c r="F498" s="158"/>
      <c r="G498" s="158"/>
      <c r="H498" s="160"/>
      <c r="I498" s="158"/>
      <c r="J498" s="158"/>
      <c r="K498" s="160"/>
      <c r="L498" s="158"/>
      <c r="M498" s="158"/>
      <c r="N498" s="158"/>
      <c r="O498" s="158"/>
      <c r="P498" s="158"/>
      <c r="Q498" s="158"/>
      <c r="R498" s="160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</row>
    <row r="499">
      <c r="A499" s="158"/>
      <c r="B499" s="158"/>
      <c r="C499" s="158"/>
      <c r="D499" s="158"/>
      <c r="E499" s="160"/>
      <c r="F499" s="158"/>
      <c r="G499" s="158"/>
      <c r="H499" s="160"/>
      <c r="I499" s="158"/>
      <c r="J499" s="158"/>
      <c r="K499" s="160"/>
      <c r="L499" s="158"/>
      <c r="M499" s="158"/>
      <c r="N499" s="158"/>
      <c r="O499" s="158"/>
      <c r="P499" s="158"/>
      <c r="Q499" s="158"/>
      <c r="R499" s="160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</row>
    <row r="500">
      <c r="A500" s="158"/>
      <c r="B500" s="158"/>
      <c r="C500" s="158"/>
      <c r="D500" s="158"/>
      <c r="E500" s="160"/>
      <c r="F500" s="158"/>
      <c r="G500" s="158"/>
      <c r="H500" s="160"/>
      <c r="I500" s="158"/>
      <c r="J500" s="158"/>
      <c r="K500" s="160"/>
      <c r="L500" s="158"/>
      <c r="M500" s="158"/>
      <c r="N500" s="158"/>
      <c r="O500" s="158"/>
      <c r="P500" s="158"/>
      <c r="Q500" s="158"/>
      <c r="R500" s="160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</row>
    <row r="501">
      <c r="A501" s="158"/>
      <c r="B501" s="158"/>
      <c r="C501" s="158"/>
      <c r="D501" s="158"/>
      <c r="E501" s="160"/>
      <c r="F501" s="158"/>
      <c r="G501" s="158"/>
      <c r="H501" s="160"/>
      <c r="I501" s="158"/>
      <c r="J501" s="158"/>
      <c r="K501" s="160"/>
      <c r="L501" s="158"/>
      <c r="M501" s="158"/>
      <c r="N501" s="158"/>
      <c r="O501" s="158"/>
      <c r="P501" s="158"/>
      <c r="Q501" s="158"/>
      <c r="R501" s="160"/>
      <c r="S501" s="158"/>
      <c r="T501" s="158"/>
      <c r="U501" s="158"/>
      <c r="V501" s="158"/>
      <c r="W501" s="158"/>
      <c r="X501" s="158"/>
      <c r="Y501" s="158"/>
      <c r="Z501" s="158"/>
      <c r="AA501" s="158"/>
      <c r="AB501" s="158"/>
      <c r="AC501" s="158"/>
      <c r="AD501" s="158"/>
      <c r="AE501" s="158"/>
    </row>
    <row r="502">
      <c r="A502" s="158"/>
      <c r="B502" s="158"/>
      <c r="C502" s="158"/>
      <c r="D502" s="158"/>
      <c r="E502" s="160"/>
      <c r="F502" s="158"/>
      <c r="G502" s="158"/>
      <c r="H502" s="160"/>
      <c r="I502" s="158"/>
      <c r="J502" s="158"/>
      <c r="K502" s="160"/>
      <c r="L502" s="158"/>
      <c r="M502" s="158"/>
      <c r="N502" s="158"/>
      <c r="O502" s="158"/>
      <c r="P502" s="158"/>
      <c r="Q502" s="158"/>
      <c r="R502" s="160"/>
      <c r="S502" s="158"/>
      <c r="T502" s="158"/>
      <c r="U502" s="158"/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</row>
    <row r="503">
      <c r="A503" s="158"/>
      <c r="B503" s="158"/>
      <c r="C503" s="158"/>
      <c r="D503" s="158"/>
      <c r="E503" s="160"/>
      <c r="F503" s="158"/>
      <c r="G503" s="158"/>
      <c r="H503" s="160"/>
      <c r="I503" s="158"/>
      <c r="J503" s="158"/>
      <c r="K503" s="160"/>
      <c r="L503" s="158"/>
      <c r="M503" s="158"/>
      <c r="N503" s="158"/>
      <c r="O503" s="158"/>
      <c r="P503" s="158"/>
      <c r="Q503" s="158"/>
      <c r="R503" s="160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</row>
    <row r="504">
      <c r="A504" s="158"/>
      <c r="B504" s="158"/>
      <c r="C504" s="158"/>
      <c r="D504" s="158"/>
      <c r="E504" s="160"/>
      <c r="F504" s="158"/>
      <c r="G504" s="158"/>
      <c r="H504" s="160"/>
      <c r="I504" s="158"/>
      <c r="J504" s="158"/>
      <c r="K504" s="160"/>
      <c r="L504" s="158"/>
      <c r="M504" s="158"/>
      <c r="N504" s="158"/>
      <c r="O504" s="158"/>
      <c r="P504" s="158"/>
      <c r="Q504" s="158"/>
      <c r="R504" s="160"/>
      <c r="S504" s="158"/>
      <c r="T504" s="158"/>
      <c r="U504" s="158"/>
      <c r="V504" s="158"/>
      <c r="W504" s="158"/>
      <c r="X504" s="158"/>
      <c r="Y504" s="158"/>
      <c r="Z504" s="158"/>
      <c r="AA504" s="158"/>
      <c r="AB504" s="158"/>
      <c r="AC504" s="158"/>
      <c r="AD504" s="158"/>
      <c r="AE504" s="158"/>
    </row>
    <row r="505">
      <c r="A505" s="158"/>
      <c r="B505" s="158"/>
      <c r="C505" s="158"/>
      <c r="D505" s="158"/>
      <c r="E505" s="160"/>
      <c r="F505" s="158"/>
      <c r="G505" s="158"/>
      <c r="H505" s="160"/>
      <c r="I505" s="158"/>
      <c r="J505" s="158"/>
      <c r="K505" s="160"/>
      <c r="L505" s="158"/>
      <c r="M505" s="158"/>
      <c r="N505" s="158"/>
      <c r="O505" s="158"/>
      <c r="P505" s="158"/>
      <c r="Q505" s="158"/>
      <c r="R505" s="160"/>
      <c r="S505" s="158"/>
      <c r="T505" s="158"/>
      <c r="U505" s="158"/>
      <c r="V505" s="158"/>
      <c r="W505" s="158"/>
      <c r="X505" s="158"/>
      <c r="Y505" s="158"/>
      <c r="Z505" s="158"/>
      <c r="AA505" s="158"/>
      <c r="AB505" s="158"/>
      <c r="AC505" s="158"/>
      <c r="AD505" s="158"/>
      <c r="AE505" s="158"/>
    </row>
    <row r="506">
      <c r="A506" s="158"/>
      <c r="B506" s="158"/>
      <c r="C506" s="158"/>
      <c r="D506" s="158"/>
      <c r="E506" s="160"/>
      <c r="F506" s="158"/>
      <c r="G506" s="158"/>
      <c r="H506" s="160"/>
      <c r="I506" s="158"/>
      <c r="J506" s="158"/>
      <c r="K506" s="160"/>
      <c r="L506" s="158"/>
      <c r="M506" s="158"/>
      <c r="N506" s="158"/>
      <c r="O506" s="158"/>
      <c r="P506" s="158"/>
      <c r="Q506" s="158"/>
      <c r="R506" s="160"/>
      <c r="S506" s="158"/>
      <c r="T506" s="158"/>
      <c r="U506" s="158"/>
      <c r="V506" s="158"/>
      <c r="W506" s="158"/>
      <c r="X506" s="158"/>
      <c r="Y506" s="158"/>
      <c r="Z506" s="158"/>
      <c r="AA506" s="158"/>
      <c r="AB506" s="158"/>
      <c r="AC506" s="158"/>
      <c r="AD506" s="158"/>
      <c r="AE506" s="158"/>
    </row>
    <row r="507">
      <c r="A507" s="158"/>
      <c r="B507" s="158"/>
      <c r="C507" s="158"/>
      <c r="D507" s="158"/>
      <c r="E507" s="160"/>
      <c r="F507" s="158"/>
      <c r="G507" s="158"/>
      <c r="H507" s="160"/>
      <c r="I507" s="158"/>
      <c r="J507" s="158"/>
      <c r="K507" s="160"/>
      <c r="L507" s="158"/>
      <c r="M507" s="158"/>
      <c r="N507" s="158"/>
      <c r="O507" s="158"/>
      <c r="P507" s="158"/>
      <c r="Q507" s="158"/>
      <c r="R507" s="160"/>
      <c r="S507" s="158"/>
      <c r="T507" s="158"/>
      <c r="U507" s="158"/>
      <c r="V507" s="158"/>
      <c r="W507" s="158"/>
      <c r="X507" s="158"/>
      <c r="Y507" s="158"/>
      <c r="Z507" s="158"/>
      <c r="AA507" s="158"/>
      <c r="AB507" s="158"/>
      <c r="AC507" s="158"/>
      <c r="AD507" s="158"/>
      <c r="AE507" s="158"/>
    </row>
    <row r="508">
      <c r="A508" s="158"/>
      <c r="B508" s="158"/>
      <c r="C508" s="158"/>
      <c r="D508" s="158"/>
      <c r="E508" s="160"/>
      <c r="F508" s="158"/>
      <c r="G508" s="158"/>
      <c r="H508" s="160"/>
      <c r="I508" s="158"/>
      <c r="J508" s="158"/>
      <c r="K508" s="160"/>
      <c r="L508" s="158"/>
      <c r="M508" s="158"/>
      <c r="N508" s="158"/>
      <c r="O508" s="158"/>
      <c r="P508" s="158"/>
      <c r="Q508" s="158"/>
      <c r="R508" s="160"/>
      <c r="S508" s="158"/>
      <c r="T508" s="158"/>
      <c r="U508" s="158"/>
      <c r="V508" s="158"/>
      <c r="W508" s="158"/>
      <c r="X508" s="158"/>
      <c r="Y508" s="158"/>
      <c r="Z508" s="158"/>
      <c r="AA508" s="158"/>
      <c r="AB508" s="158"/>
      <c r="AC508" s="158"/>
      <c r="AD508" s="158"/>
      <c r="AE508" s="158"/>
    </row>
    <row r="509">
      <c r="A509" s="158"/>
      <c r="B509" s="158"/>
      <c r="C509" s="158"/>
      <c r="D509" s="158"/>
      <c r="E509" s="160"/>
      <c r="F509" s="158"/>
      <c r="G509" s="158"/>
      <c r="H509" s="160"/>
      <c r="I509" s="158"/>
      <c r="J509" s="158"/>
      <c r="K509" s="160"/>
      <c r="L509" s="158"/>
      <c r="M509" s="158"/>
      <c r="N509" s="158"/>
      <c r="O509" s="158"/>
      <c r="P509" s="158"/>
      <c r="Q509" s="158"/>
      <c r="R509" s="160"/>
      <c r="S509" s="158"/>
      <c r="T509" s="158"/>
      <c r="U509" s="158"/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</row>
    <row r="510">
      <c r="A510" s="158"/>
      <c r="B510" s="158"/>
      <c r="C510" s="158"/>
      <c r="D510" s="158"/>
      <c r="E510" s="160"/>
      <c r="F510" s="158"/>
      <c r="G510" s="158"/>
      <c r="H510" s="160"/>
      <c r="I510" s="158"/>
      <c r="J510" s="158"/>
      <c r="K510" s="160"/>
      <c r="L510" s="158"/>
      <c r="M510" s="158"/>
      <c r="N510" s="158"/>
      <c r="O510" s="158"/>
      <c r="P510" s="158"/>
      <c r="Q510" s="158"/>
      <c r="R510" s="160"/>
      <c r="S510" s="158"/>
      <c r="T510" s="158"/>
      <c r="U510" s="158"/>
      <c r="V510" s="158"/>
      <c r="W510" s="158"/>
      <c r="X510" s="158"/>
      <c r="Y510" s="158"/>
      <c r="Z510" s="158"/>
      <c r="AA510" s="158"/>
      <c r="AB510" s="158"/>
      <c r="AC510" s="158"/>
      <c r="AD510" s="158"/>
      <c r="AE510" s="158"/>
    </row>
    <row r="511">
      <c r="A511" s="158"/>
      <c r="B511" s="158"/>
      <c r="C511" s="158"/>
      <c r="D511" s="158"/>
      <c r="E511" s="160"/>
      <c r="F511" s="158"/>
      <c r="G511" s="158"/>
      <c r="H511" s="160"/>
      <c r="I511" s="158"/>
      <c r="J511" s="158"/>
      <c r="K511" s="160"/>
      <c r="L511" s="158"/>
      <c r="M511" s="158"/>
      <c r="N511" s="158"/>
      <c r="O511" s="158"/>
      <c r="P511" s="158"/>
      <c r="Q511" s="158"/>
      <c r="R511" s="160"/>
      <c r="S511" s="158"/>
      <c r="T511" s="158"/>
      <c r="U511" s="158"/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</row>
    <row r="512">
      <c r="A512" s="158"/>
      <c r="B512" s="158"/>
      <c r="C512" s="158"/>
      <c r="D512" s="158"/>
      <c r="E512" s="160"/>
      <c r="F512" s="158"/>
      <c r="G512" s="158"/>
      <c r="H512" s="160"/>
      <c r="I512" s="158"/>
      <c r="J512" s="158"/>
      <c r="K512" s="160"/>
      <c r="L512" s="158"/>
      <c r="M512" s="158"/>
      <c r="N512" s="158"/>
      <c r="O512" s="158"/>
      <c r="P512" s="158"/>
      <c r="Q512" s="158"/>
      <c r="R512" s="160"/>
      <c r="S512" s="158"/>
      <c r="T512" s="158"/>
      <c r="U512" s="158"/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</row>
    <row r="513">
      <c r="A513" s="158"/>
      <c r="B513" s="158"/>
      <c r="C513" s="158"/>
      <c r="D513" s="158"/>
      <c r="E513" s="160"/>
      <c r="F513" s="158"/>
      <c r="G513" s="158"/>
      <c r="H513" s="160"/>
      <c r="I513" s="158"/>
      <c r="J513" s="158"/>
      <c r="K513" s="160"/>
      <c r="L513" s="158"/>
      <c r="M513" s="158"/>
      <c r="N513" s="158"/>
      <c r="O513" s="158"/>
      <c r="P513" s="158"/>
      <c r="Q513" s="158"/>
      <c r="R513" s="160"/>
      <c r="S513" s="158"/>
      <c r="T513" s="158"/>
      <c r="U513" s="158"/>
      <c r="V513" s="158"/>
      <c r="W513" s="158"/>
      <c r="X513" s="158"/>
      <c r="Y513" s="158"/>
      <c r="Z513" s="158"/>
      <c r="AA513" s="158"/>
      <c r="AB513" s="158"/>
      <c r="AC513" s="158"/>
      <c r="AD513" s="158"/>
      <c r="AE513" s="158"/>
    </row>
    <row r="514">
      <c r="A514" s="158"/>
      <c r="B514" s="158"/>
      <c r="C514" s="158"/>
      <c r="D514" s="158"/>
      <c r="E514" s="160"/>
      <c r="F514" s="158"/>
      <c r="G514" s="158"/>
      <c r="H514" s="160"/>
      <c r="I514" s="158"/>
      <c r="J514" s="158"/>
      <c r="K514" s="160"/>
      <c r="L514" s="158"/>
      <c r="M514" s="158"/>
      <c r="N514" s="158"/>
      <c r="O514" s="158"/>
      <c r="P514" s="158"/>
      <c r="Q514" s="158"/>
      <c r="R514" s="160"/>
      <c r="S514" s="158"/>
      <c r="T514" s="158"/>
      <c r="U514" s="158"/>
      <c r="V514" s="158"/>
      <c r="W514" s="158"/>
      <c r="X514" s="158"/>
      <c r="Y514" s="158"/>
      <c r="Z514" s="158"/>
      <c r="AA514" s="158"/>
      <c r="AB514" s="158"/>
      <c r="AC514" s="158"/>
      <c r="AD514" s="158"/>
      <c r="AE514" s="158"/>
    </row>
    <row r="515">
      <c r="A515" s="158"/>
      <c r="B515" s="158"/>
      <c r="C515" s="158"/>
      <c r="D515" s="158"/>
      <c r="E515" s="160"/>
      <c r="F515" s="158"/>
      <c r="G515" s="158"/>
      <c r="H515" s="160"/>
      <c r="I515" s="158"/>
      <c r="J515" s="158"/>
      <c r="K515" s="160"/>
      <c r="L515" s="158"/>
      <c r="M515" s="158"/>
      <c r="N515" s="158"/>
      <c r="O515" s="158"/>
      <c r="P515" s="158"/>
      <c r="Q515" s="158"/>
      <c r="R515" s="160"/>
      <c r="S515" s="158"/>
      <c r="T515" s="158"/>
      <c r="U515" s="158"/>
      <c r="V515" s="158"/>
      <c r="W515" s="158"/>
      <c r="X515" s="158"/>
      <c r="Y515" s="158"/>
      <c r="Z515" s="158"/>
      <c r="AA515" s="158"/>
      <c r="AB515" s="158"/>
      <c r="AC515" s="158"/>
      <c r="AD515" s="158"/>
      <c r="AE515" s="158"/>
    </row>
    <row r="516">
      <c r="A516" s="158"/>
      <c r="B516" s="158"/>
      <c r="C516" s="158"/>
      <c r="D516" s="158"/>
      <c r="E516" s="160"/>
      <c r="F516" s="158"/>
      <c r="G516" s="158"/>
      <c r="H516" s="160"/>
      <c r="I516" s="158"/>
      <c r="J516" s="158"/>
      <c r="K516" s="160"/>
      <c r="L516" s="158"/>
      <c r="M516" s="158"/>
      <c r="N516" s="158"/>
      <c r="O516" s="158"/>
      <c r="P516" s="158"/>
      <c r="Q516" s="158"/>
      <c r="R516" s="160"/>
      <c r="S516" s="158"/>
      <c r="T516" s="158"/>
      <c r="U516" s="158"/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</row>
    <row r="517">
      <c r="A517" s="158"/>
      <c r="B517" s="158"/>
      <c r="C517" s="158"/>
      <c r="D517" s="158"/>
      <c r="E517" s="160"/>
      <c r="F517" s="158"/>
      <c r="G517" s="158"/>
      <c r="H517" s="160"/>
      <c r="I517" s="158"/>
      <c r="J517" s="158"/>
      <c r="K517" s="160"/>
      <c r="L517" s="158"/>
      <c r="M517" s="158"/>
      <c r="N517" s="158"/>
      <c r="O517" s="158"/>
      <c r="P517" s="158"/>
      <c r="Q517" s="158"/>
      <c r="R517" s="160"/>
      <c r="S517" s="158"/>
      <c r="T517" s="158"/>
      <c r="U517" s="158"/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</row>
    <row r="518">
      <c r="A518" s="158"/>
      <c r="B518" s="158"/>
      <c r="C518" s="158"/>
      <c r="D518" s="158"/>
      <c r="E518" s="160"/>
      <c r="F518" s="158"/>
      <c r="G518" s="158"/>
      <c r="H518" s="160"/>
      <c r="I518" s="158"/>
      <c r="J518" s="158"/>
      <c r="K518" s="160"/>
      <c r="L518" s="158"/>
      <c r="M518" s="158"/>
      <c r="N518" s="158"/>
      <c r="O518" s="158"/>
      <c r="P518" s="158"/>
      <c r="Q518" s="158"/>
      <c r="R518" s="160"/>
      <c r="S518" s="158"/>
      <c r="T518" s="158"/>
      <c r="U518" s="158"/>
      <c r="V518" s="158"/>
      <c r="W518" s="158"/>
      <c r="X518" s="158"/>
      <c r="Y518" s="158"/>
      <c r="Z518" s="158"/>
      <c r="AA518" s="158"/>
      <c r="AB518" s="158"/>
      <c r="AC518" s="158"/>
      <c r="AD518" s="158"/>
      <c r="AE518" s="158"/>
    </row>
    <row r="519">
      <c r="A519" s="158"/>
      <c r="B519" s="158"/>
      <c r="C519" s="158"/>
      <c r="D519" s="158"/>
      <c r="E519" s="160"/>
      <c r="F519" s="158"/>
      <c r="G519" s="158"/>
      <c r="H519" s="160"/>
      <c r="I519" s="158"/>
      <c r="J519" s="158"/>
      <c r="K519" s="160"/>
      <c r="L519" s="158"/>
      <c r="M519" s="158"/>
      <c r="N519" s="158"/>
      <c r="O519" s="158"/>
      <c r="P519" s="158"/>
      <c r="Q519" s="158"/>
      <c r="R519" s="160"/>
      <c r="S519" s="158"/>
      <c r="T519" s="158"/>
      <c r="U519" s="158"/>
      <c r="V519" s="158"/>
      <c r="W519" s="158"/>
      <c r="X519" s="158"/>
      <c r="Y519" s="158"/>
      <c r="Z519" s="158"/>
      <c r="AA519" s="158"/>
      <c r="AB519" s="158"/>
      <c r="AC519" s="158"/>
      <c r="AD519" s="158"/>
      <c r="AE519" s="158"/>
    </row>
    <row r="520">
      <c r="A520" s="158"/>
      <c r="B520" s="158"/>
      <c r="C520" s="158"/>
      <c r="D520" s="158"/>
      <c r="E520" s="160"/>
      <c r="F520" s="158"/>
      <c r="G520" s="158"/>
      <c r="H520" s="160"/>
      <c r="I520" s="158"/>
      <c r="J520" s="158"/>
      <c r="K520" s="160"/>
      <c r="L520" s="158"/>
      <c r="M520" s="158"/>
      <c r="N520" s="158"/>
      <c r="O520" s="158"/>
      <c r="P520" s="158"/>
      <c r="Q520" s="158"/>
      <c r="R520" s="160"/>
      <c r="S520" s="158"/>
      <c r="T520" s="158"/>
      <c r="U520" s="158"/>
      <c r="V520" s="158"/>
      <c r="W520" s="158"/>
      <c r="X520" s="158"/>
      <c r="Y520" s="158"/>
      <c r="Z520" s="158"/>
      <c r="AA520" s="158"/>
      <c r="AB520" s="158"/>
      <c r="AC520" s="158"/>
      <c r="AD520" s="158"/>
      <c r="AE520" s="158"/>
    </row>
    <row r="521">
      <c r="A521" s="158"/>
      <c r="B521" s="158"/>
      <c r="C521" s="158"/>
      <c r="D521" s="158"/>
      <c r="E521" s="160"/>
      <c r="F521" s="158"/>
      <c r="G521" s="158"/>
      <c r="H521" s="160"/>
      <c r="I521" s="158"/>
      <c r="J521" s="158"/>
      <c r="K521" s="160"/>
      <c r="L521" s="158"/>
      <c r="M521" s="158"/>
      <c r="N521" s="158"/>
      <c r="O521" s="158"/>
      <c r="P521" s="158"/>
      <c r="Q521" s="158"/>
      <c r="R521" s="160"/>
      <c r="S521" s="158"/>
      <c r="T521" s="158"/>
      <c r="U521" s="158"/>
      <c r="V521" s="158"/>
      <c r="W521" s="158"/>
      <c r="X521" s="158"/>
      <c r="Y521" s="158"/>
      <c r="Z521" s="158"/>
      <c r="AA521" s="158"/>
      <c r="AB521" s="158"/>
      <c r="AC521" s="158"/>
      <c r="AD521" s="158"/>
      <c r="AE521" s="158"/>
    </row>
    <row r="522">
      <c r="A522" s="158"/>
      <c r="B522" s="158"/>
      <c r="C522" s="158"/>
      <c r="D522" s="158"/>
      <c r="E522" s="160"/>
      <c r="F522" s="158"/>
      <c r="G522" s="158"/>
      <c r="H522" s="160"/>
      <c r="I522" s="158"/>
      <c r="J522" s="158"/>
      <c r="K522" s="160"/>
      <c r="L522" s="158"/>
      <c r="M522" s="158"/>
      <c r="N522" s="158"/>
      <c r="O522" s="158"/>
      <c r="P522" s="158"/>
      <c r="Q522" s="158"/>
      <c r="R522" s="160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8"/>
      <c r="AC522" s="158"/>
      <c r="AD522" s="158"/>
      <c r="AE522" s="158"/>
    </row>
    <row r="523">
      <c r="A523" s="158"/>
      <c r="B523" s="158"/>
      <c r="C523" s="158"/>
      <c r="D523" s="158"/>
      <c r="E523" s="160"/>
      <c r="F523" s="158"/>
      <c r="G523" s="158"/>
      <c r="H523" s="160"/>
      <c r="I523" s="158"/>
      <c r="J523" s="158"/>
      <c r="K523" s="160"/>
      <c r="L523" s="158"/>
      <c r="M523" s="158"/>
      <c r="N523" s="158"/>
      <c r="O523" s="158"/>
      <c r="P523" s="158"/>
      <c r="Q523" s="158"/>
      <c r="R523" s="160"/>
      <c r="S523" s="158"/>
      <c r="T523" s="158"/>
      <c r="U523" s="158"/>
      <c r="V523" s="158"/>
      <c r="W523" s="158"/>
      <c r="X523" s="158"/>
      <c r="Y523" s="158"/>
      <c r="Z523" s="158"/>
      <c r="AA523" s="158"/>
      <c r="AB523" s="158"/>
      <c r="AC523" s="158"/>
      <c r="AD523" s="158"/>
      <c r="AE523" s="158"/>
    </row>
    <row r="524">
      <c r="A524" s="158"/>
      <c r="B524" s="158"/>
      <c r="C524" s="158"/>
      <c r="D524" s="158"/>
      <c r="E524" s="160"/>
      <c r="F524" s="158"/>
      <c r="G524" s="158"/>
      <c r="H524" s="160"/>
      <c r="I524" s="158"/>
      <c r="J524" s="158"/>
      <c r="K524" s="160"/>
      <c r="L524" s="158"/>
      <c r="M524" s="158"/>
      <c r="N524" s="158"/>
      <c r="O524" s="158"/>
      <c r="P524" s="158"/>
      <c r="Q524" s="158"/>
      <c r="R524" s="160"/>
      <c r="S524" s="158"/>
      <c r="T524" s="158"/>
      <c r="U524" s="158"/>
      <c r="V524" s="158"/>
      <c r="W524" s="158"/>
      <c r="X524" s="158"/>
      <c r="Y524" s="158"/>
      <c r="Z524" s="158"/>
      <c r="AA524" s="158"/>
      <c r="AB524" s="158"/>
      <c r="AC524" s="158"/>
      <c r="AD524" s="158"/>
      <c r="AE524" s="158"/>
    </row>
    <row r="525">
      <c r="A525" s="158"/>
      <c r="B525" s="158"/>
      <c r="C525" s="158"/>
      <c r="D525" s="158"/>
      <c r="E525" s="160"/>
      <c r="F525" s="158"/>
      <c r="G525" s="158"/>
      <c r="H525" s="160"/>
      <c r="I525" s="158"/>
      <c r="J525" s="158"/>
      <c r="K525" s="160"/>
      <c r="L525" s="158"/>
      <c r="M525" s="158"/>
      <c r="N525" s="158"/>
      <c r="O525" s="158"/>
      <c r="P525" s="158"/>
      <c r="Q525" s="158"/>
      <c r="R525" s="160"/>
      <c r="S525" s="158"/>
      <c r="T525" s="158"/>
      <c r="U525" s="158"/>
      <c r="V525" s="158"/>
      <c r="W525" s="158"/>
      <c r="X525" s="158"/>
      <c r="Y525" s="158"/>
      <c r="Z525" s="158"/>
      <c r="AA525" s="158"/>
      <c r="AB525" s="158"/>
      <c r="AC525" s="158"/>
      <c r="AD525" s="158"/>
      <c r="AE525" s="158"/>
    </row>
    <row r="526">
      <c r="A526" s="158"/>
      <c r="B526" s="158"/>
      <c r="C526" s="158"/>
      <c r="D526" s="158"/>
      <c r="E526" s="160"/>
      <c r="F526" s="158"/>
      <c r="G526" s="158"/>
      <c r="H526" s="160"/>
      <c r="I526" s="158"/>
      <c r="J526" s="158"/>
      <c r="K526" s="160"/>
      <c r="L526" s="158"/>
      <c r="M526" s="158"/>
      <c r="N526" s="158"/>
      <c r="O526" s="158"/>
      <c r="P526" s="158"/>
      <c r="Q526" s="158"/>
      <c r="R526" s="160"/>
      <c r="S526" s="158"/>
      <c r="T526" s="158"/>
      <c r="U526" s="158"/>
      <c r="V526" s="158"/>
      <c r="W526" s="158"/>
      <c r="X526" s="158"/>
      <c r="Y526" s="158"/>
      <c r="Z526" s="158"/>
      <c r="AA526" s="158"/>
      <c r="AB526" s="158"/>
      <c r="AC526" s="158"/>
      <c r="AD526" s="158"/>
      <c r="AE526" s="158"/>
    </row>
    <row r="527">
      <c r="A527" s="158"/>
      <c r="B527" s="158"/>
      <c r="C527" s="158"/>
      <c r="D527" s="158"/>
      <c r="E527" s="160"/>
      <c r="F527" s="158"/>
      <c r="G527" s="158"/>
      <c r="H527" s="160"/>
      <c r="I527" s="158"/>
      <c r="J527" s="158"/>
      <c r="K527" s="160"/>
      <c r="L527" s="158"/>
      <c r="M527" s="158"/>
      <c r="N527" s="158"/>
      <c r="O527" s="158"/>
      <c r="P527" s="158"/>
      <c r="Q527" s="158"/>
      <c r="R527" s="160"/>
      <c r="S527" s="158"/>
      <c r="T527" s="158"/>
      <c r="U527" s="158"/>
      <c r="V527" s="158"/>
      <c r="W527" s="158"/>
      <c r="X527" s="158"/>
      <c r="Y527" s="158"/>
      <c r="Z527" s="158"/>
      <c r="AA527" s="158"/>
      <c r="AB527" s="158"/>
      <c r="AC527" s="158"/>
      <c r="AD527" s="158"/>
      <c r="AE527" s="158"/>
    </row>
    <row r="528">
      <c r="A528" s="158"/>
      <c r="B528" s="158"/>
      <c r="C528" s="158"/>
      <c r="D528" s="158"/>
      <c r="E528" s="160"/>
      <c r="F528" s="158"/>
      <c r="G528" s="158"/>
      <c r="H528" s="160"/>
      <c r="I528" s="158"/>
      <c r="J528" s="158"/>
      <c r="K528" s="160"/>
      <c r="L528" s="158"/>
      <c r="M528" s="158"/>
      <c r="N528" s="158"/>
      <c r="O528" s="158"/>
      <c r="P528" s="158"/>
      <c r="Q528" s="158"/>
      <c r="R528" s="160"/>
      <c r="S528" s="158"/>
      <c r="T528" s="158"/>
      <c r="U528" s="158"/>
      <c r="V528" s="158"/>
      <c r="W528" s="158"/>
      <c r="X528" s="158"/>
      <c r="Y528" s="158"/>
      <c r="Z528" s="158"/>
      <c r="AA528" s="158"/>
      <c r="AB528" s="158"/>
      <c r="AC528" s="158"/>
      <c r="AD528" s="158"/>
      <c r="AE528" s="158"/>
    </row>
    <row r="529">
      <c r="A529" s="158"/>
      <c r="B529" s="158"/>
      <c r="C529" s="158"/>
      <c r="D529" s="158"/>
      <c r="E529" s="160"/>
      <c r="F529" s="158"/>
      <c r="G529" s="158"/>
      <c r="H529" s="160"/>
      <c r="I529" s="158"/>
      <c r="J529" s="158"/>
      <c r="K529" s="160"/>
      <c r="L529" s="158"/>
      <c r="M529" s="158"/>
      <c r="N529" s="158"/>
      <c r="O529" s="158"/>
      <c r="P529" s="158"/>
      <c r="Q529" s="158"/>
      <c r="R529" s="160"/>
      <c r="S529" s="158"/>
      <c r="T529" s="158"/>
      <c r="U529" s="158"/>
      <c r="V529" s="158"/>
      <c r="W529" s="158"/>
      <c r="X529" s="158"/>
      <c r="Y529" s="158"/>
      <c r="Z529" s="158"/>
      <c r="AA529" s="158"/>
      <c r="AB529" s="158"/>
      <c r="AC529" s="158"/>
      <c r="AD529" s="158"/>
      <c r="AE529" s="158"/>
    </row>
    <row r="530">
      <c r="A530" s="158"/>
      <c r="B530" s="158"/>
      <c r="C530" s="158"/>
      <c r="D530" s="158"/>
      <c r="E530" s="160"/>
      <c r="F530" s="158"/>
      <c r="G530" s="158"/>
      <c r="H530" s="160"/>
      <c r="I530" s="158"/>
      <c r="J530" s="158"/>
      <c r="K530" s="160"/>
      <c r="L530" s="158"/>
      <c r="M530" s="158"/>
      <c r="N530" s="158"/>
      <c r="O530" s="158"/>
      <c r="P530" s="158"/>
      <c r="Q530" s="158"/>
      <c r="R530" s="160"/>
      <c r="S530" s="158"/>
      <c r="T530" s="158"/>
      <c r="U530" s="158"/>
      <c r="V530" s="158"/>
      <c r="W530" s="158"/>
      <c r="X530" s="158"/>
      <c r="Y530" s="158"/>
      <c r="Z530" s="158"/>
      <c r="AA530" s="158"/>
      <c r="AB530" s="158"/>
      <c r="AC530" s="158"/>
      <c r="AD530" s="158"/>
      <c r="AE530" s="158"/>
    </row>
    <row r="531">
      <c r="A531" s="158"/>
      <c r="B531" s="158"/>
      <c r="C531" s="158"/>
      <c r="D531" s="158"/>
      <c r="E531" s="160"/>
      <c r="F531" s="158"/>
      <c r="G531" s="158"/>
      <c r="H531" s="160"/>
      <c r="I531" s="158"/>
      <c r="J531" s="158"/>
      <c r="K531" s="160"/>
      <c r="L531" s="158"/>
      <c r="M531" s="158"/>
      <c r="N531" s="158"/>
      <c r="O531" s="158"/>
      <c r="P531" s="158"/>
      <c r="Q531" s="158"/>
      <c r="R531" s="160"/>
      <c r="S531" s="158"/>
      <c r="T531" s="158"/>
      <c r="U531" s="158"/>
      <c r="V531" s="158"/>
      <c r="W531" s="158"/>
      <c r="X531" s="158"/>
      <c r="Y531" s="158"/>
      <c r="Z531" s="158"/>
      <c r="AA531" s="158"/>
      <c r="AB531" s="158"/>
      <c r="AC531" s="158"/>
      <c r="AD531" s="158"/>
      <c r="AE531" s="158"/>
    </row>
    <row r="532">
      <c r="A532" s="158"/>
      <c r="B532" s="158"/>
      <c r="C532" s="158"/>
      <c r="D532" s="158"/>
      <c r="E532" s="160"/>
      <c r="F532" s="158"/>
      <c r="G532" s="158"/>
      <c r="H532" s="160"/>
      <c r="I532" s="158"/>
      <c r="J532" s="158"/>
      <c r="K532" s="160"/>
      <c r="L532" s="158"/>
      <c r="M532" s="158"/>
      <c r="N532" s="158"/>
      <c r="O532" s="158"/>
      <c r="P532" s="158"/>
      <c r="Q532" s="158"/>
      <c r="R532" s="160"/>
      <c r="S532" s="158"/>
      <c r="T532" s="158"/>
      <c r="U532" s="158"/>
      <c r="V532" s="158"/>
      <c r="W532" s="158"/>
      <c r="X532" s="158"/>
      <c r="Y532" s="158"/>
      <c r="Z532" s="158"/>
      <c r="AA532" s="158"/>
      <c r="AB532" s="158"/>
      <c r="AC532" s="158"/>
      <c r="AD532" s="158"/>
      <c r="AE532" s="158"/>
    </row>
    <row r="533">
      <c r="A533" s="158"/>
      <c r="B533" s="158"/>
      <c r="C533" s="158"/>
      <c r="D533" s="158"/>
      <c r="E533" s="160"/>
      <c r="F533" s="158"/>
      <c r="G533" s="158"/>
      <c r="H533" s="160"/>
      <c r="I533" s="158"/>
      <c r="J533" s="158"/>
      <c r="K533" s="160"/>
      <c r="L533" s="158"/>
      <c r="M533" s="158"/>
      <c r="N533" s="158"/>
      <c r="O533" s="158"/>
      <c r="P533" s="158"/>
      <c r="Q533" s="158"/>
      <c r="R533" s="160"/>
      <c r="S533" s="158"/>
      <c r="T533" s="158"/>
      <c r="U533" s="158"/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</row>
    <row r="534">
      <c r="A534" s="158"/>
      <c r="B534" s="158"/>
      <c r="C534" s="158"/>
      <c r="D534" s="158"/>
      <c r="E534" s="160"/>
      <c r="F534" s="158"/>
      <c r="G534" s="158"/>
      <c r="H534" s="160"/>
      <c r="I534" s="158"/>
      <c r="J534" s="158"/>
      <c r="K534" s="160"/>
      <c r="L534" s="158"/>
      <c r="M534" s="158"/>
      <c r="N534" s="158"/>
      <c r="O534" s="158"/>
      <c r="P534" s="158"/>
      <c r="Q534" s="158"/>
      <c r="R534" s="160"/>
      <c r="S534" s="158"/>
      <c r="T534" s="158"/>
      <c r="U534" s="158"/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</row>
    <row r="535">
      <c r="A535" s="158"/>
      <c r="B535" s="158"/>
      <c r="C535" s="158"/>
      <c r="D535" s="158"/>
      <c r="E535" s="160"/>
      <c r="F535" s="158"/>
      <c r="G535" s="158"/>
      <c r="H535" s="160"/>
      <c r="I535" s="158"/>
      <c r="J535" s="158"/>
      <c r="K535" s="160"/>
      <c r="L535" s="158"/>
      <c r="M535" s="158"/>
      <c r="N535" s="158"/>
      <c r="O535" s="158"/>
      <c r="P535" s="158"/>
      <c r="Q535" s="158"/>
      <c r="R535" s="160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</row>
    <row r="536">
      <c r="A536" s="158"/>
      <c r="B536" s="158"/>
      <c r="C536" s="158"/>
      <c r="D536" s="158"/>
      <c r="E536" s="160"/>
      <c r="F536" s="158"/>
      <c r="G536" s="158"/>
      <c r="H536" s="160"/>
      <c r="I536" s="158"/>
      <c r="J536" s="158"/>
      <c r="K536" s="160"/>
      <c r="L536" s="158"/>
      <c r="M536" s="158"/>
      <c r="N536" s="158"/>
      <c r="O536" s="158"/>
      <c r="P536" s="158"/>
      <c r="Q536" s="158"/>
      <c r="R536" s="160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</row>
    <row r="537">
      <c r="A537" s="158"/>
      <c r="B537" s="158"/>
      <c r="C537" s="158"/>
      <c r="D537" s="158"/>
      <c r="E537" s="160"/>
      <c r="F537" s="158"/>
      <c r="G537" s="158"/>
      <c r="H537" s="160"/>
      <c r="I537" s="158"/>
      <c r="J537" s="158"/>
      <c r="K537" s="160"/>
      <c r="L537" s="158"/>
      <c r="M537" s="158"/>
      <c r="N537" s="158"/>
      <c r="O537" s="158"/>
      <c r="P537" s="158"/>
      <c r="Q537" s="158"/>
      <c r="R537" s="160"/>
      <c r="S537" s="158"/>
      <c r="T537" s="158"/>
      <c r="U537" s="158"/>
      <c r="V537" s="158"/>
      <c r="W537" s="158"/>
      <c r="X537" s="158"/>
      <c r="Y537" s="158"/>
      <c r="Z537" s="158"/>
      <c r="AA537" s="158"/>
      <c r="AB537" s="158"/>
      <c r="AC537" s="158"/>
      <c r="AD537" s="158"/>
      <c r="AE537" s="158"/>
    </row>
    <row r="538">
      <c r="A538" s="158"/>
      <c r="B538" s="158"/>
      <c r="C538" s="158"/>
      <c r="D538" s="158"/>
      <c r="E538" s="160"/>
      <c r="F538" s="158"/>
      <c r="G538" s="158"/>
      <c r="H538" s="160"/>
      <c r="I538" s="158"/>
      <c r="J538" s="158"/>
      <c r="K538" s="160"/>
      <c r="L538" s="158"/>
      <c r="M538" s="158"/>
      <c r="N538" s="158"/>
      <c r="O538" s="158"/>
      <c r="P538" s="158"/>
      <c r="Q538" s="158"/>
      <c r="R538" s="160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</row>
    <row r="539">
      <c r="A539" s="158"/>
      <c r="B539" s="158"/>
      <c r="C539" s="158"/>
      <c r="D539" s="158"/>
      <c r="E539" s="160"/>
      <c r="F539" s="158"/>
      <c r="G539" s="158"/>
      <c r="H539" s="160"/>
      <c r="I539" s="158"/>
      <c r="J539" s="158"/>
      <c r="K539" s="160"/>
      <c r="L539" s="158"/>
      <c r="M539" s="158"/>
      <c r="N539" s="158"/>
      <c r="O539" s="158"/>
      <c r="P539" s="158"/>
      <c r="Q539" s="158"/>
      <c r="R539" s="160"/>
      <c r="S539" s="158"/>
      <c r="T539" s="158"/>
      <c r="U539" s="158"/>
      <c r="V539" s="158"/>
      <c r="W539" s="158"/>
      <c r="X539" s="158"/>
      <c r="Y539" s="158"/>
      <c r="Z539" s="158"/>
      <c r="AA539" s="158"/>
      <c r="AB539" s="158"/>
      <c r="AC539" s="158"/>
      <c r="AD539" s="158"/>
      <c r="AE539" s="158"/>
    </row>
    <row r="540">
      <c r="A540" s="158"/>
      <c r="B540" s="158"/>
      <c r="C540" s="158"/>
      <c r="D540" s="158"/>
      <c r="E540" s="160"/>
      <c r="F540" s="158"/>
      <c r="G540" s="158"/>
      <c r="H540" s="160"/>
      <c r="I540" s="158"/>
      <c r="J540" s="158"/>
      <c r="K540" s="160"/>
      <c r="L540" s="158"/>
      <c r="M540" s="158"/>
      <c r="N540" s="158"/>
      <c r="O540" s="158"/>
      <c r="P540" s="158"/>
      <c r="Q540" s="158"/>
      <c r="R540" s="160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</row>
    <row r="541">
      <c r="A541" s="158"/>
      <c r="B541" s="158"/>
      <c r="C541" s="158"/>
      <c r="D541" s="158"/>
      <c r="E541" s="160"/>
      <c r="F541" s="158"/>
      <c r="G541" s="158"/>
      <c r="H541" s="160"/>
      <c r="I541" s="158"/>
      <c r="J541" s="158"/>
      <c r="K541" s="160"/>
      <c r="L541" s="158"/>
      <c r="M541" s="158"/>
      <c r="N541" s="158"/>
      <c r="O541" s="158"/>
      <c r="P541" s="158"/>
      <c r="Q541" s="158"/>
      <c r="R541" s="160"/>
      <c r="S541" s="158"/>
      <c r="T541" s="158"/>
      <c r="U541" s="158"/>
      <c r="V541" s="158"/>
      <c r="W541" s="158"/>
      <c r="X541" s="158"/>
      <c r="Y541" s="158"/>
      <c r="Z541" s="158"/>
      <c r="AA541" s="158"/>
      <c r="AB541" s="158"/>
      <c r="AC541" s="158"/>
      <c r="AD541" s="158"/>
      <c r="AE541" s="158"/>
    </row>
    <row r="542">
      <c r="A542" s="158"/>
      <c r="B542" s="158"/>
      <c r="C542" s="158"/>
      <c r="D542" s="158"/>
      <c r="E542" s="160"/>
      <c r="F542" s="158"/>
      <c r="G542" s="158"/>
      <c r="H542" s="160"/>
      <c r="I542" s="158"/>
      <c r="J542" s="158"/>
      <c r="K542" s="160"/>
      <c r="L542" s="158"/>
      <c r="M542" s="158"/>
      <c r="N542" s="158"/>
      <c r="O542" s="158"/>
      <c r="P542" s="158"/>
      <c r="Q542" s="158"/>
      <c r="R542" s="160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  <c r="AD542" s="158"/>
      <c r="AE542" s="158"/>
    </row>
    <row r="543">
      <c r="A543" s="158"/>
      <c r="B543" s="158"/>
      <c r="C543" s="158"/>
      <c r="D543" s="158"/>
      <c r="E543" s="160"/>
      <c r="F543" s="158"/>
      <c r="G543" s="158"/>
      <c r="H543" s="160"/>
      <c r="I543" s="158"/>
      <c r="J543" s="158"/>
      <c r="K543" s="160"/>
      <c r="L543" s="158"/>
      <c r="M543" s="158"/>
      <c r="N543" s="158"/>
      <c r="O543" s="158"/>
      <c r="P543" s="158"/>
      <c r="Q543" s="158"/>
      <c r="R543" s="160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  <c r="AD543" s="158"/>
      <c r="AE543" s="158"/>
    </row>
    <row r="544">
      <c r="A544" s="158"/>
      <c r="B544" s="158"/>
      <c r="C544" s="158"/>
      <c r="D544" s="158"/>
      <c r="E544" s="160"/>
      <c r="F544" s="158"/>
      <c r="G544" s="158"/>
      <c r="H544" s="160"/>
      <c r="I544" s="158"/>
      <c r="J544" s="158"/>
      <c r="K544" s="160"/>
      <c r="L544" s="158"/>
      <c r="M544" s="158"/>
      <c r="N544" s="158"/>
      <c r="O544" s="158"/>
      <c r="P544" s="158"/>
      <c r="Q544" s="158"/>
      <c r="R544" s="160"/>
      <c r="S544" s="158"/>
      <c r="T544" s="158"/>
      <c r="U544" s="158"/>
      <c r="V544" s="158"/>
      <c r="W544" s="158"/>
      <c r="X544" s="158"/>
      <c r="Y544" s="158"/>
      <c r="Z544" s="158"/>
      <c r="AA544" s="158"/>
      <c r="AB544" s="158"/>
      <c r="AC544" s="158"/>
      <c r="AD544" s="158"/>
      <c r="AE544" s="158"/>
    </row>
    <row r="545">
      <c r="A545" s="158"/>
      <c r="B545" s="158"/>
      <c r="C545" s="158"/>
      <c r="D545" s="158"/>
      <c r="E545" s="160"/>
      <c r="F545" s="158"/>
      <c r="G545" s="158"/>
      <c r="H545" s="160"/>
      <c r="I545" s="158"/>
      <c r="J545" s="158"/>
      <c r="K545" s="160"/>
      <c r="L545" s="158"/>
      <c r="M545" s="158"/>
      <c r="N545" s="158"/>
      <c r="O545" s="158"/>
      <c r="P545" s="158"/>
      <c r="Q545" s="158"/>
      <c r="R545" s="160"/>
      <c r="S545" s="158"/>
      <c r="T545" s="158"/>
      <c r="U545" s="158"/>
      <c r="V545" s="158"/>
      <c r="W545" s="158"/>
      <c r="X545" s="158"/>
      <c r="Y545" s="158"/>
      <c r="Z545" s="158"/>
      <c r="AA545" s="158"/>
      <c r="AB545" s="158"/>
      <c r="AC545" s="158"/>
      <c r="AD545" s="158"/>
      <c r="AE545" s="158"/>
    </row>
    <row r="546">
      <c r="A546" s="158"/>
      <c r="B546" s="158"/>
      <c r="C546" s="158"/>
      <c r="D546" s="158"/>
      <c r="E546" s="160"/>
      <c r="F546" s="158"/>
      <c r="G546" s="158"/>
      <c r="H546" s="160"/>
      <c r="I546" s="158"/>
      <c r="J546" s="158"/>
      <c r="K546" s="160"/>
      <c r="L546" s="158"/>
      <c r="M546" s="158"/>
      <c r="N546" s="158"/>
      <c r="O546" s="158"/>
      <c r="P546" s="158"/>
      <c r="Q546" s="158"/>
      <c r="R546" s="160"/>
      <c r="S546" s="158"/>
      <c r="T546" s="158"/>
      <c r="U546" s="158"/>
      <c r="V546" s="158"/>
      <c r="W546" s="158"/>
      <c r="X546" s="158"/>
      <c r="Y546" s="158"/>
      <c r="Z546" s="158"/>
      <c r="AA546" s="158"/>
      <c r="AB546" s="158"/>
      <c r="AC546" s="158"/>
      <c r="AD546" s="158"/>
      <c r="AE546" s="158"/>
    </row>
    <row r="547">
      <c r="A547" s="158"/>
      <c r="B547" s="158"/>
      <c r="C547" s="158"/>
      <c r="D547" s="158"/>
      <c r="E547" s="160"/>
      <c r="F547" s="158"/>
      <c r="G547" s="158"/>
      <c r="H547" s="160"/>
      <c r="I547" s="158"/>
      <c r="J547" s="158"/>
      <c r="K547" s="160"/>
      <c r="L547" s="158"/>
      <c r="M547" s="158"/>
      <c r="N547" s="158"/>
      <c r="O547" s="158"/>
      <c r="P547" s="158"/>
      <c r="Q547" s="158"/>
      <c r="R547" s="160"/>
      <c r="S547" s="158"/>
      <c r="T547" s="158"/>
      <c r="U547" s="158"/>
      <c r="V547" s="158"/>
      <c r="W547" s="158"/>
      <c r="X547" s="158"/>
      <c r="Y547" s="158"/>
      <c r="Z547" s="158"/>
      <c r="AA547" s="158"/>
      <c r="AB547" s="158"/>
      <c r="AC547" s="158"/>
      <c r="AD547" s="158"/>
      <c r="AE547" s="158"/>
    </row>
    <row r="548">
      <c r="A548" s="158"/>
      <c r="B548" s="158"/>
      <c r="C548" s="158"/>
      <c r="D548" s="158"/>
      <c r="E548" s="160"/>
      <c r="F548" s="158"/>
      <c r="G548" s="158"/>
      <c r="H548" s="160"/>
      <c r="I548" s="158"/>
      <c r="J548" s="158"/>
      <c r="K548" s="160"/>
      <c r="L548" s="158"/>
      <c r="M548" s="158"/>
      <c r="N548" s="158"/>
      <c r="O548" s="158"/>
      <c r="P548" s="158"/>
      <c r="Q548" s="158"/>
      <c r="R548" s="160"/>
      <c r="S548" s="158"/>
      <c r="T548" s="158"/>
      <c r="U548" s="158"/>
      <c r="V548" s="158"/>
      <c r="W548" s="158"/>
      <c r="X548" s="158"/>
      <c r="Y548" s="158"/>
      <c r="Z548" s="158"/>
      <c r="AA548" s="158"/>
      <c r="AB548" s="158"/>
      <c r="AC548" s="158"/>
      <c r="AD548" s="158"/>
      <c r="AE548" s="158"/>
    </row>
    <row r="549">
      <c r="A549" s="158"/>
      <c r="B549" s="158"/>
      <c r="C549" s="158"/>
      <c r="D549" s="158"/>
      <c r="E549" s="160"/>
      <c r="F549" s="158"/>
      <c r="G549" s="158"/>
      <c r="H549" s="160"/>
      <c r="I549" s="158"/>
      <c r="J549" s="158"/>
      <c r="K549" s="160"/>
      <c r="L549" s="158"/>
      <c r="M549" s="158"/>
      <c r="N549" s="158"/>
      <c r="O549" s="158"/>
      <c r="P549" s="158"/>
      <c r="Q549" s="158"/>
      <c r="R549" s="160"/>
      <c r="S549" s="158"/>
      <c r="T549" s="158"/>
      <c r="U549" s="158"/>
      <c r="V549" s="158"/>
      <c r="W549" s="158"/>
      <c r="X549" s="158"/>
      <c r="Y549" s="158"/>
      <c r="Z549" s="158"/>
      <c r="AA549" s="158"/>
      <c r="AB549" s="158"/>
      <c r="AC549" s="158"/>
      <c r="AD549" s="158"/>
      <c r="AE549" s="158"/>
    </row>
    <row r="550">
      <c r="A550" s="158"/>
      <c r="B550" s="158"/>
      <c r="C550" s="158"/>
      <c r="D550" s="158"/>
      <c r="E550" s="160"/>
      <c r="F550" s="158"/>
      <c r="G550" s="158"/>
      <c r="H550" s="160"/>
      <c r="I550" s="158"/>
      <c r="J550" s="158"/>
      <c r="K550" s="160"/>
      <c r="L550" s="158"/>
      <c r="M550" s="158"/>
      <c r="N550" s="158"/>
      <c r="O550" s="158"/>
      <c r="P550" s="158"/>
      <c r="Q550" s="158"/>
      <c r="R550" s="160"/>
      <c r="S550" s="158"/>
      <c r="T550" s="158"/>
      <c r="U550" s="158"/>
      <c r="V550" s="158"/>
      <c r="W550" s="158"/>
      <c r="X550" s="158"/>
      <c r="Y550" s="158"/>
      <c r="Z550" s="158"/>
      <c r="AA550" s="158"/>
      <c r="AB550" s="158"/>
      <c r="AC550" s="158"/>
      <c r="AD550" s="158"/>
      <c r="AE550" s="158"/>
    </row>
    <row r="551">
      <c r="A551" s="158"/>
      <c r="B551" s="158"/>
      <c r="C551" s="158"/>
      <c r="D551" s="158"/>
      <c r="E551" s="160"/>
      <c r="F551" s="158"/>
      <c r="G551" s="158"/>
      <c r="H551" s="160"/>
      <c r="I551" s="158"/>
      <c r="J551" s="158"/>
      <c r="K551" s="160"/>
      <c r="L551" s="158"/>
      <c r="M551" s="158"/>
      <c r="N551" s="158"/>
      <c r="O551" s="158"/>
      <c r="P551" s="158"/>
      <c r="Q551" s="158"/>
      <c r="R551" s="160"/>
      <c r="S551" s="158"/>
      <c r="T551" s="158"/>
      <c r="U551" s="158"/>
      <c r="V551" s="158"/>
      <c r="W551" s="158"/>
      <c r="X551" s="158"/>
      <c r="Y551" s="158"/>
      <c r="Z551" s="158"/>
      <c r="AA551" s="158"/>
      <c r="AB551" s="158"/>
      <c r="AC551" s="158"/>
      <c r="AD551" s="158"/>
      <c r="AE551" s="158"/>
    </row>
    <row r="552">
      <c r="A552" s="158"/>
      <c r="B552" s="158"/>
      <c r="C552" s="158"/>
      <c r="D552" s="158"/>
      <c r="E552" s="160"/>
      <c r="F552" s="158"/>
      <c r="G552" s="158"/>
      <c r="H552" s="160"/>
      <c r="I552" s="158"/>
      <c r="J552" s="158"/>
      <c r="K552" s="160"/>
      <c r="L552" s="158"/>
      <c r="M552" s="158"/>
      <c r="N552" s="158"/>
      <c r="O552" s="158"/>
      <c r="P552" s="158"/>
      <c r="Q552" s="158"/>
      <c r="R552" s="160"/>
      <c r="S552" s="158"/>
      <c r="T552" s="158"/>
      <c r="U552" s="158"/>
      <c r="V552" s="158"/>
      <c r="W552" s="158"/>
      <c r="X552" s="158"/>
      <c r="Y552" s="158"/>
      <c r="Z552" s="158"/>
      <c r="AA552" s="158"/>
      <c r="AB552" s="158"/>
      <c r="AC552" s="158"/>
      <c r="AD552" s="158"/>
      <c r="AE552" s="158"/>
    </row>
    <row r="553">
      <c r="A553" s="158"/>
      <c r="B553" s="158"/>
      <c r="C553" s="158"/>
      <c r="D553" s="158"/>
      <c r="E553" s="160"/>
      <c r="F553" s="158"/>
      <c r="G553" s="158"/>
      <c r="H553" s="160"/>
      <c r="I553" s="158"/>
      <c r="J553" s="158"/>
      <c r="K553" s="160"/>
      <c r="L553" s="158"/>
      <c r="M553" s="158"/>
      <c r="N553" s="158"/>
      <c r="O553" s="158"/>
      <c r="P553" s="158"/>
      <c r="Q553" s="158"/>
      <c r="R553" s="160"/>
      <c r="S553" s="158"/>
      <c r="T553" s="158"/>
      <c r="U553" s="158"/>
      <c r="V553" s="158"/>
      <c r="W553" s="158"/>
      <c r="X553" s="158"/>
      <c r="Y553" s="158"/>
      <c r="Z553" s="158"/>
      <c r="AA553" s="158"/>
      <c r="AB553" s="158"/>
      <c r="AC553" s="158"/>
      <c r="AD553" s="158"/>
      <c r="AE553" s="158"/>
    </row>
    <row r="554">
      <c r="A554" s="158"/>
      <c r="B554" s="158"/>
      <c r="C554" s="158"/>
      <c r="D554" s="158"/>
      <c r="E554" s="160"/>
      <c r="F554" s="158"/>
      <c r="G554" s="158"/>
      <c r="H554" s="160"/>
      <c r="I554" s="158"/>
      <c r="J554" s="158"/>
      <c r="K554" s="160"/>
      <c r="L554" s="158"/>
      <c r="M554" s="158"/>
      <c r="N554" s="158"/>
      <c r="O554" s="158"/>
      <c r="P554" s="158"/>
      <c r="Q554" s="158"/>
      <c r="R554" s="160"/>
      <c r="S554" s="158"/>
      <c r="T554" s="158"/>
      <c r="U554" s="158"/>
      <c r="V554" s="158"/>
      <c r="W554" s="158"/>
      <c r="X554" s="158"/>
      <c r="Y554" s="158"/>
      <c r="Z554" s="158"/>
      <c r="AA554" s="158"/>
      <c r="AB554" s="158"/>
      <c r="AC554" s="158"/>
      <c r="AD554" s="158"/>
      <c r="AE554" s="158"/>
    </row>
    <row r="555">
      <c r="A555" s="158"/>
      <c r="B555" s="158"/>
      <c r="C555" s="158"/>
      <c r="D555" s="158"/>
      <c r="E555" s="160"/>
      <c r="F555" s="158"/>
      <c r="G555" s="158"/>
      <c r="H555" s="160"/>
      <c r="I555" s="158"/>
      <c r="J555" s="158"/>
      <c r="K555" s="160"/>
      <c r="L555" s="158"/>
      <c r="M555" s="158"/>
      <c r="N555" s="158"/>
      <c r="O555" s="158"/>
      <c r="P555" s="158"/>
      <c r="Q555" s="158"/>
      <c r="R555" s="160"/>
      <c r="S555" s="158"/>
      <c r="T555" s="158"/>
      <c r="U555" s="158"/>
      <c r="V555" s="158"/>
      <c r="W555" s="158"/>
      <c r="X555" s="158"/>
      <c r="Y555" s="158"/>
      <c r="Z555" s="158"/>
      <c r="AA555" s="158"/>
      <c r="AB555" s="158"/>
      <c r="AC555" s="158"/>
      <c r="AD555" s="158"/>
      <c r="AE555" s="158"/>
    </row>
    <row r="556">
      <c r="A556" s="158"/>
      <c r="B556" s="158"/>
      <c r="C556" s="158"/>
      <c r="D556" s="158"/>
      <c r="E556" s="160"/>
      <c r="F556" s="158"/>
      <c r="G556" s="158"/>
      <c r="H556" s="160"/>
      <c r="I556" s="158"/>
      <c r="J556" s="158"/>
      <c r="K556" s="160"/>
      <c r="L556" s="158"/>
      <c r="M556" s="158"/>
      <c r="N556" s="158"/>
      <c r="O556" s="158"/>
      <c r="P556" s="158"/>
      <c r="Q556" s="158"/>
      <c r="R556" s="160"/>
      <c r="S556" s="158"/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  <c r="AD556" s="158"/>
      <c r="AE556" s="158"/>
    </row>
    <row r="557">
      <c r="A557" s="158"/>
      <c r="B557" s="158"/>
      <c r="C557" s="158"/>
      <c r="D557" s="158"/>
      <c r="E557" s="160"/>
      <c r="F557" s="158"/>
      <c r="G557" s="158"/>
      <c r="H557" s="160"/>
      <c r="I557" s="158"/>
      <c r="J557" s="158"/>
      <c r="K557" s="160"/>
      <c r="L557" s="158"/>
      <c r="M557" s="158"/>
      <c r="N557" s="158"/>
      <c r="O557" s="158"/>
      <c r="P557" s="158"/>
      <c r="Q557" s="158"/>
      <c r="R557" s="160"/>
      <c r="S557" s="158"/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  <c r="AD557" s="158"/>
      <c r="AE557" s="158"/>
    </row>
    <row r="558">
      <c r="A558" s="158"/>
      <c r="B558" s="158"/>
      <c r="C558" s="158"/>
      <c r="D558" s="158"/>
      <c r="E558" s="160"/>
      <c r="F558" s="158"/>
      <c r="G558" s="158"/>
      <c r="H558" s="160"/>
      <c r="I558" s="158"/>
      <c r="J558" s="158"/>
      <c r="K558" s="160"/>
      <c r="L558" s="158"/>
      <c r="M558" s="158"/>
      <c r="N558" s="158"/>
      <c r="O558" s="158"/>
      <c r="P558" s="158"/>
      <c r="Q558" s="158"/>
      <c r="R558" s="160"/>
      <c r="S558" s="158"/>
      <c r="T558" s="158"/>
      <c r="U558" s="158"/>
      <c r="V558" s="158"/>
      <c r="W558" s="158"/>
      <c r="X558" s="158"/>
      <c r="Y558" s="158"/>
      <c r="Z558" s="158"/>
      <c r="AA558" s="158"/>
      <c r="AB558" s="158"/>
      <c r="AC558" s="158"/>
      <c r="AD558" s="158"/>
      <c r="AE558" s="158"/>
    </row>
    <row r="559">
      <c r="A559" s="158"/>
      <c r="B559" s="158"/>
      <c r="C559" s="158"/>
      <c r="D559" s="158"/>
      <c r="E559" s="160"/>
      <c r="F559" s="158"/>
      <c r="G559" s="158"/>
      <c r="H559" s="160"/>
      <c r="I559" s="158"/>
      <c r="J559" s="158"/>
      <c r="K559" s="160"/>
      <c r="L559" s="158"/>
      <c r="M559" s="158"/>
      <c r="N559" s="158"/>
      <c r="O559" s="158"/>
      <c r="P559" s="158"/>
      <c r="Q559" s="158"/>
      <c r="R559" s="160"/>
      <c r="S559" s="158"/>
      <c r="T559" s="158"/>
      <c r="U559" s="158"/>
      <c r="V559" s="158"/>
      <c r="W559" s="158"/>
      <c r="X559" s="158"/>
      <c r="Y559" s="158"/>
      <c r="Z559" s="158"/>
      <c r="AA559" s="158"/>
      <c r="AB559" s="158"/>
      <c r="AC559" s="158"/>
      <c r="AD559" s="158"/>
      <c r="AE559" s="158"/>
    </row>
    <row r="560">
      <c r="A560" s="158"/>
      <c r="B560" s="158"/>
      <c r="C560" s="158"/>
      <c r="D560" s="158"/>
      <c r="E560" s="160"/>
      <c r="F560" s="158"/>
      <c r="G560" s="158"/>
      <c r="H560" s="160"/>
      <c r="I560" s="158"/>
      <c r="J560" s="158"/>
      <c r="K560" s="160"/>
      <c r="L560" s="158"/>
      <c r="M560" s="158"/>
      <c r="N560" s="158"/>
      <c r="O560" s="158"/>
      <c r="P560" s="158"/>
      <c r="Q560" s="158"/>
      <c r="R560" s="160"/>
      <c r="S560" s="158"/>
      <c r="T560" s="158"/>
      <c r="U560" s="158"/>
      <c r="V560" s="158"/>
      <c r="W560" s="158"/>
      <c r="X560" s="158"/>
      <c r="Y560" s="158"/>
      <c r="Z560" s="158"/>
      <c r="AA560" s="158"/>
      <c r="AB560" s="158"/>
      <c r="AC560" s="158"/>
      <c r="AD560" s="158"/>
      <c r="AE560" s="158"/>
    </row>
    <row r="561">
      <c r="A561" s="158"/>
      <c r="B561" s="158"/>
      <c r="C561" s="158"/>
      <c r="D561" s="158"/>
      <c r="E561" s="160"/>
      <c r="F561" s="158"/>
      <c r="G561" s="158"/>
      <c r="H561" s="160"/>
      <c r="I561" s="158"/>
      <c r="J561" s="158"/>
      <c r="K561" s="160"/>
      <c r="L561" s="158"/>
      <c r="M561" s="158"/>
      <c r="N561" s="158"/>
      <c r="O561" s="158"/>
      <c r="P561" s="158"/>
      <c r="Q561" s="158"/>
      <c r="R561" s="160"/>
      <c r="S561" s="158"/>
      <c r="T561" s="158"/>
      <c r="U561" s="158"/>
      <c r="V561" s="158"/>
      <c r="W561" s="158"/>
      <c r="X561" s="158"/>
      <c r="Y561" s="158"/>
      <c r="Z561" s="158"/>
      <c r="AA561" s="158"/>
      <c r="AB561" s="158"/>
      <c r="AC561" s="158"/>
      <c r="AD561" s="158"/>
      <c r="AE561" s="158"/>
    </row>
    <row r="562">
      <c r="A562" s="158"/>
      <c r="B562" s="158"/>
      <c r="C562" s="158"/>
      <c r="D562" s="158"/>
      <c r="E562" s="160"/>
      <c r="F562" s="158"/>
      <c r="G562" s="158"/>
      <c r="H562" s="160"/>
      <c r="I562" s="158"/>
      <c r="J562" s="158"/>
      <c r="K562" s="160"/>
      <c r="L562" s="158"/>
      <c r="M562" s="158"/>
      <c r="N562" s="158"/>
      <c r="O562" s="158"/>
      <c r="P562" s="158"/>
      <c r="Q562" s="158"/>
      <c r="R562" s="160"/>
      <c r="S562" s="158"/>
      <c r="T562" s="158"/>
      <c r="U562" s="158"/>
      <c r="V562" s="158"/>
      <c r="W562" s="158"/>
      <c r="X562" s="158"/>
      <c r="Y562" s="158"/>
      <c r="Z562" s="158"/>
      <c r="AA562" s="158"/>
      <c r="AB562" s="158"/>
      <c r="AC562" s="158"/>
      <c r="AD562" s="158"/>
      <c r="AE562" s="158"/>
    </row>
    <row r="563">
      <c r="A563" s="158"/>
      <c r="B563" s="158"/>
      <c r="C563" s="158"/>
      <c r="D563" s="158"/>
      <c r="E563" s="160"/>
      <c r="F563" s="158"/>
      <c r="G563" s="158"/>
      <c r="H563" s="160"/>
      <c r="I563" s="158"/>
      <c r="J563" s="158"/>
      <c r="K563" s="160"/>
      <c r="L563" s="158"/>
      <c r="M563" s="158"/>
      <c r="N563" s="158"/>
      <c r="O563" s="158"/>
      <c r="P563" s="158"/>
      <c r="Q563" s="158"/>
      <c r="R563" s="160"/>
      <c r="S563" s="158"/>
      <c r="T563" s="158"/>
      <c r="U563" s="158"/>
      <c r="V563" s="158"/>
      <c r="W563" s="158"/>
      <c r="X563" s="158"/>
      <c r="Y563" s="158"/>
      <c r="Z563" s="158"/>
      <c r="AA563" s="158"/>
      <c r="AB563" s="158"/>
      <c r="AC563" s="158"/>
      <c r="AD563" s="158"/>
      <c r="AE563" s="158"/>
    </row>
    <row r="564">
      <c r="A564" s="158"/>
      <c r="B564" s="158"/>
      <c r="C564" s="158"/>
      <c r="D564" s="158"/>
      <c r="E564" s="160"/>
      <c r="F564" s="158"/>
      <c r="G564" s="158"/>
      <c r="H564" s="160"/>
      <c r="I564" s="158"/>
      <c r="J564" s="158"/>
      <c r="K564" s="160"/>
      <c r="L564" s="158"/>
      <c r="M564" s="158"/>
      <c r="N564" s="158"/>
      <c r="O564" s="158"/>
      <c r="P564" s="158"/>
      <c r="Q564" s="158"/>
      <c r="R564" s="160"/>
      <c r="S564" s="158"/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</row>
    <row r="565">
      <c r="A565" s="158"/>
      <c r="B565" s="158"/>
      <c r="C565" s="158"/>
      <c r="D565" s="158"/>
      <c r="E565" s="160"/>
      <c r="F565" s="158"/>
      <c r="G565" s="158"/>
      <c r="H565" s="160"/>
      <c r="I565" s="158"/>
      <c r="J565" s="158"/>
      <c r="K565" s="160"/>
      <c r="L565" s="158"/>
      <c r="M565" s="158"/>
      <c r="N565" s="158"/>
      <c r="O565" s="158"/>
      <c r="P565" s="158"/>
      <c r="Q565" s="158"/>
      <c r="R565" s="160"/>
      <c r="S565" s="158"/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</row>
    <row r="566">
      <c r="A566" s="158"/>
      <c r="B566" s="158"/>
      <c r="C566" s="158"/>
      <c r="D566" s="158"/>
      <c r="E566" s="160"/>
      <c r="F566" s="158"/>
      <c r="G566" s="158"/>
      <c r="H566" s="160"/>
      <c r="I566" s="158"/>
      <c r="J566" s="158"/>
      <c r="K566" s="160"/>
      <c r="L566" s="158"/>
      <c r="M566" s="158"/>
      <c r="N566" s="158"/>
      <c r="O566" s="158"/>
      <c r="P566" s="158"/>
      <c r="Q566" s="158"/>
      <c r="R566" s="160"/>
      <c r="S566" s="158"/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  <c r="AD566" s="158"/>
      <c r="AE566" s="158"/>
    </row>
    <row r="567">
      <c r="A567" s="158"/>
      <c r="B567" s="158"/>
      <c r="C567" s="158"/>
      <c r="D567" s="158"/>
      <c r="E567" s="160"/>
      <c r="F567" s="158"/>
      <c r="G567" s="158"/>
      <c r="H567" s="160"/>
      <c r="I567" s="158"/>
      <c r="J567" s="158"/>
      <c r="K567" s="160"/>
      <c r="L567" s="158"/>
      <c r="M567" s="158"/>
      <c r="N567" s="158"/>
      <c r="O567" s="158"/>
      <c r="P567" s="158"/>
      <c r="Q567" s="158"/>
      <c r="R567" s="160"/>
      <c r="S567" s="158"/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  <c r="AD567" s="158"/>
      <c r="AE567" s="158"/>
    </row>
    <row r="568">
      <c r="A568" s="158"/>
      <c r="B568" s="158"/>
      <c r="C568" s="158"/>
      <c r="D568" s="158"/>
      <c r="E568" s="160"/>
      <c r="F568" s="158"/>
      <c r="G568" s="158"/>
      <c r="H568" s="160"/>
      <c r="I568" s="158"/>
      <c r="J568" s="158"/>
      <c r="K568" s="160"/>
      <c r="L568" s="158"/>
      <c r="M568" s="158"/>
      <c r="N568" s="158"/>
      <c r="O568" s="158"/>
      <c r="P568" s="158"/>
      <c r="Q568" s="158"/>
      <c r="R568" s="160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  <c r="AD568" s="158"/>
      <c r="AE568" s="158"/>
    </row>
    <row r="569">
      <c r="A569" s="158"/>
      <c r="B569" s="158"/>
      <c r="C569" s="158"/>
      <c r="D569" s="158"/>
      <c r="E569" s="160"/>
      <c r="F569" s="158"/>
      <c r="G569" s="158"/>
      <c r="H569" s="160"/>
      <c r="I569" s="158"/>
      <c r="J569" s="158"/>
      <c r="K569" s="160"/>
      <c r="L569" s="158"/>
      <c r="M569" s="158"/>
      <c r="N569" s="158"/>
      <c r="O569" s="158"/>
      <c r="P569" s="158"/>
      <c r="Q569" s="158"/>
      <c r="R569" s="160"/>
      <c r="S569" s="158"/>
      <c r="T569" s="158"/>
      <c r="U569" s="158"/>
      <c r="V569" s="158"/>
      <c r="W569" s="158"/>
      <c r="X569" s="158"/>
      <c r="Y569" s="158"/>
      <c r="Z569" s="158"/>
      <c r="AA569" s="158"/>
      <c r="AB569" s="158"/>
      <c r="AC569" s="158"/>
      <c r="AD569" s="158"/>
      <c r="AE569" s="158"/>
    </row>
    <row r="570">
      <c r="A570" s="158"/>
      <c r="B570" s="158"/>
      <c r="C570" s="158"/>
      <c r="D570" s="158"/>
      <c r="E570" s="160"/>
      <c r="F570" s="158"/>
      <c r="G570" s="158"/>
      <c r="H570" s="160"/>
      <c r="I570" s="158"/>
      <c r="J570" s="158"/>
      <c r="K570" s="160"/>
      <c r="L570" s="158"/>
      <c r="M570" s="158"/>
      <c r="N570" s="158"/>
      <c r="O570" s="158"/>
      <c r="P570" s="158"/>
      <c r="Q570" s="158"/>
      <c r="R570" s="160"/>
      <c r="S570" s="158"/>
      <c r="T570" s="158"/>
      <c r="U570" s="158"/>
      <c r="V570" s="158"/>
      <c r="W570" s="158"/>
      <c r="X570" s="158"/>
      <c r="Y570" s="158"/>
      <c r="Z570" s="158"/>
      <c r="AA570" s="158"/>
      <c r="AB570" s="158"/>
      <c r="AC570" s="158"/>
      <c r="AD570" s="158"/>
      <c r="AE570" s="158"/>
    </row>
    <row r="571">
      <c r="A571" s="158"/>
      <c r="B571" s="158"/>
      <c r="C571" s="158"/>
      <c r="D571" s="158"/>
      <c r="E571" s="160"/>
      <c r="F571" s="158"/>
      <c r="G571" s="158"/>
      <c r="H571" s="160"/>
      <c r="I571" s="158"/>
      <c r="J571" s="158"/>
      <c r="K571" s="160"/>
      <c r="L571" s="158"/>
      <c r="M571" s="158"/>
      <c r="N571" s="158"/>
      <c r="O571" s="158"/>
      <c r="P571" s="158"/>
      <c r="Q571" s="158"/>
      <c r="R571" s="160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8"/>
      <c r="AC571" s="158"/>
      <c r="AD571" s="158"/>
      <c r="AE571" s="158"/>
    </row>
    <row r="572">
      <c r="A572" s="158"/>
      <c r="B572" s="158"/>
      <c r="C572" s="158"/>
      <c r="D572" s="158"/>
      <c r="E572" s="160"/>
      <c r="F572" s="158"/>
      <c r="G572" s="158"/>
      <c r="H572" s="160"/>
      <c r="I572" s="158"/>
      <c r="J572" s="158"/>
      <c r="K572" s="160"/>
      <c r="L572" s="158"/>
      <c r="M572" s="158"/>
      <c r="N572" s="158"/>
      <c r="O572" s="158"/>
      <c r="P572" s="158"/>
      <c r="Q572" s="158"/>
      <c r="R572" s="160"/>
      <c r="S572" s="158"/>
      <c r="T572" s="158"/>
      <c r="U572" s="158"/>
      <c r="V572" s="158"/>
      <c r="W572" s="158"/>
      <c r="X572" s="158"/>
      <c r="Y572" s="158"/>
      <c r="Z572" s="158"/>
      <c r="AA572" s="158"/>
      <c r="AB572" s="158"/>
      <c r="AC572" s="158"/>
      <c r="AD572" s="158"/>
      <c r="AE572" s="158"/>
    </row>
    <row r="573">
      <c r="A573" s="158"/>
      <c r="B573" s="158"/>
      <c r="C573" s="158"/>
      <c r="D573" s="158"/>
      <c r="E573" s="160"/>
      <c r="F573" s="158"/>
      <c r="G573" s="158"/>
      <c r="H573" s="160"/>
      <c r="I573" s="158"/>
      <c r="J573" s="158"/>
      <c r="K573" s="160"/>
      <c r="L573" s="158"/>
      <c r="M573" s="158"/>
      <c r="N573" s="158"/>
      <c r="O573" s="158"/>
      <c r="P573" s="158"/>
      <c r="Q573" s="158"/>
      <c r="R573" s="160"/>
      <c r="S573" s="158"/>
      <c r="T573" s="158"/>
      <c r="U573" s="158"/>
      <c r="V573" s="158"/>
      <c r="W573" s="158"/>
      <c r="X573" s="158"/>
      <c r="Y573" s="158"/>
      <c r="Z573" s="158"/>
      <c r="AA573" s="158"/>
      <c r="AB573" s="158"/>
      <c r="AC573" s="158"/>
      <c r="AD573" s="158"/>
      <c r="AE573" s="158"/>
    </row>
    <row r="574">
      <c r="A574" s="158"/>
      <c r="B574" s="158"/>
      <c r="C574" s="158"/>
      <c r="D574" s="158"/>
      <c r="E574" s="160"/>
      <c r="F574" s="158"/>
      <c r="G574" s="158"/>
      <c r="H574" s="160"/>
      <c r="I574" s="158"/>
      <c r="J574" s="158"/>
      <c r="K574" s="160"/>
      <c r="L574" s="158"/>
      <c r="M574" s="158"/>
      <c r="N574" s="158"/>
      <c r="O574" s="158"/>
      <c r="P574" s="158"/>
      <c r="Q574" s="158"/>
      <c r="R574" s="160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8"/>
      <c r="AC574" s="158"/>
      <c r="AD574" s="158"/>
      <c r="AE574" s="158"/>
    </row>
    <row r="575">
      <c r="A575" s="158"/>
      <c r="B575" s="158"/>
      <c r="C575" s="158"/>
      <c r="D575" s="158"/>
      <c r="E575" s="160"/>
      <c r="F575" s="158"/>
      <c r="G575" s="158"/>
      <c r="H575" s="160"/>
      <c r="I575" s="158"/>
      <c r="J575" s="158"/>
      <c r="K575" s="160"/>
      <c r="L575" s="158"/>
      <c r="M575" s="158"/>
      <c r="N575" s="158"/>
      <c r="O575" s="158"/>
      <c r="P575" s="158"/>
      <c r="Q575" s="158"/>
      <c r="R575" s="160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8"/>
      <c r="AC575" s="158"/>
      <c r="AD575" s="158"/>
      <c r="AE575" s="158"/>
    </row>
    <row r="576">
      <c r="A576" s="158"/>
      <c r="B576" s="158"/>
      <c r="C576" s="158"/>
      <c r="D576" s="158"/>
      <c r="E576" s="160"/>
      <c r="F576" s="158"/>
      <c r="G576" s="158"/>
      <c r="H576" s="160"/>
      <c r="I576" s="158"/>
      <c r="J576" s="158"/>
      <c r="K576" s="160"/>
      <c r="L576" s="158"/>
      <c r="M576" s="158"/>
      <c r="N576" s="158"/>
      <c r="O576" s="158"/>
      <c r="P576" s="158"/>
      <c r="Q576" s="158"/>
      <c r="R576" s="160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8"/>
      <c r="AC576" s="158"/>
      <c r="AD576" s="158"/>
      <c r="AE576" s="158"/>
    </row>
    <row r="577">
      <c r="A577" s="158"/>
      <c r="B577" s="158"/>
      <c r="C577" s="158"/>
      <c r="D577" s="158"/>
      <c r="E577" s="160"/>
      <c r="F577" s="158"/>
      <c r="G577" s="158"/>
      <c r="H577" s="160"/>
      <c r="I577" s="158"/>
      <c r="J577" s="158"/>
      <c r="K577" s="160"/>
      <c r="L577" s="158"/>
      <c r="M577" s="158"/>
      <c r="N577" s="158"/>
      <c r="O577" s="158"/>
      <c r="P577" s="158"/>
      <c r="Q577" s="158"/>
      <c r="R577" s="160"/>
      <c r="S577" s="158"/>
      <c r="T577" s="158"/>
      <c r="U577" s="158"/>
      <c r="V577" s="158"/>
      <c r="W577" s="158"/>
      <c r="X577" s="158"/>
      <c r="Y577" s="158"/>
      <c r="Z577" s="158"/>
      <c r="AA577" s="158"/>
      <c r="AB577" s="158"/>
      <c r="AC577" s="158"/>
      <c r="AD577" s="158"/>
      <c r="AE577" s="158"/>
    </row>
    <row r="578">
      <c r="A578" s="158"/>
      <c r="B578" s="158"/>
      <c r="C578" s="158"/>
      <c r="D578" s="158"/>
      <c r="E578" s="160"/>
      <c r="F578" s="158"/>
      <c r="G578" s="158"/>
      <c r="H578" s="160"/>
      <c r="I578" s="158"/>
      <c r="J578" s="158"/>
      <c r="K578" s="160"/>
      <c r="L578" s="158"/>
      <c r="M578" s="158"/>
      <c r="N578" s="158"/>
      <c r="O578" s="158"/>
      <c r="P578" s="158"/>
      <c r="Q578" s="158"/>
      <c r="R578" s="160"/>
      <c r="S578" s="158"/>
      <c r="T578" s="158"/>
      <c r="U578" s="158"/>
      <c r="V578" s="158"/>
      <c r="W578" s="158"/>
      <c r="X578" s="158"/>
      <c r="Y578" s="158"/>
      <c r="Z578" s="158"/>
      <c r="AA578" s="158"/>
      <c r="AB578" s="158"/>
      <c r="AC578" s="158"/>
      <c r="AD578" s="158"/>
      <c r="AE578" s="158"/>
    </row>
    <row r="579">
      <c r="A579" s="158"/>
      <c r="B579" s="158"/>
      <c r="C579" s="158"/>
      <c r="D579" s="158"/>
      <c r="E579" s="160"/>
      <c r="F579" s="158"/>
      <c r="G579" s="158"/>
      <c r="H579" s="160"/>
      <c r="I579" s="158"/>
      <c r="J579" s="158"/>
      <c r="K579" s="160"/>
      <c r="L579" s="158"/>
      <c r="M579" s="158"/>
      <c r="N579" s="158"/>
      <c r="O579" s="158"/>
      <c r="P579" s="158"/>
      <c r="Q579" s="158"/>
      <c r="R579" s="160"/>
      <c r="S579" s="158"/>
      <c r="T579" s="158"/>
      <c r="U579" s="158"/>
      <c r="V579" s="158"/>
      <c r="W579" s="158"/>
      <c r="X579" s="158"/>
      <c r="Y579" s="158"/>
      <c r="Z579" s="158"/>
      <c r="AA579" s="158"/>
      <c r="AB579" s="158"/>
      <c r="AC579" s="158"/>
      <c r="AD579" s="158"/>
      <c r="AE579" s="158"/>
    </row>
    <row r="580">
      <c r="A580" s="158"/>
      <c r="B580" s="158"/>
      <c r="C580" s="158"/>
      <c r="D580" s="158"/>
      <c r="E580" s="160"/>
      <c r="F580" s="158"/>
      <c r="G580" s="158"/>
      <c r="H580" s="160"/>
      <c r="I580" s="158"/>
      <c r="J580" s="158"/>
      <c r="K580" s="160"/>
      <c r="L580" s="158"/>
      <c r="M580" s="158"/>
      <c r="N580" s="158"/>
      <c r="O580" s="158"/>
      <c r="P580" s="158"/>
      <c r="Q580" s="158"/>
      <c r="R580" s="160"/>
      <c r="S580" s="158"/>
      <c r="T580" s="158"/>
      <c r="U580" s="158"/>
      <c r="V580" s="158"/>
      <c r="W580" s="158"/>
      <c r="X580" s="158"/>
      <c r="Y580" s="158"/>
      <c r="Z580" s="158"/>
      <c r="AA580" s="158"/>
      <c r="AB580" s="158"/>
      <c r="AC580" s="158"/>
      <c r="AD580" s="158"/>
      <c r="AE580" s="158"/>
    </row>
    <row r="581">
      <c r="A581" s="158"/>
      <c r="B581" s="158"/>
      <c r="C581" s="158"/>
      <c r="D581" s="158"/>
      <c r="E581" s="160"/>
      <c r="F581" s="158"/>
      <c r="G581" s="158"/>
      <c r="H581" s="160"/>
      <c r="I581" s="158"/>
      <c r="J581" s="158"/>
      <c r="K581" s="160"/>
      <c r="L581" s="158"/>
      <c r="M581" s="158"/>
      <c r="N581" s="158"/>
      <c r="O581" s="158"/>
      <c r="P581" s="158"/>
      <c r="Q581" s="158"/>
      <c r="R581" s="160"/>
      <c r="S581" s="158"/>
      <c r="T581" s="158"/>
      <c r="U581" s="158"/>
      <c r="V581" s="158"/>
      <c r="W581" s="158"/>
      <c r="X581" s="158"/>
      <c r="Y581" s="158"/>
      <c r="Z581" s="158"/>
      <c r="AA581" s="158"/>
      <c r="AB581" s="158"/>
      <c r="AC581" s="158"/>
      <c r="AD581" s="158"/>
      <c r="AE581" s="158"/>
    </row>
    <row r="582">
      <c r="A582" s="158"/>
      <c r="B582" s="158"/>
      <c r="C582" s="158"/>
      <c r="D582" s="158"/>
      <c r="E582" s="160"/>
      <c r="F582" s="158"/>
      <c r="G582" s="158"/>
      <c r="H582" s="160"/>
      <c r="I582" s="158"/>
      <c r="J582" s="158"/>
      <c r="K582" s="160"/>
      <c r="L582" s="158"/>
      <c r="M582" s="158"/>
      <c r="N582" s="158"/>
      <c r="O582" s="158"/>
      <c r="P582" s="158"/>
      <c r="Q582" s="158"/>
      <c r="R582" s="160"/>
      <c r="S582" s="158"/>
      <c r="T582" s="158"/>
      <c r="U582" s="158"/>
      <c r="V582" s="158"/>
      <c r="W582" s="158"/>
      <c r="X582" s="158"/>
      <c r="Y582" s="158"/>
      <c r="Z582" s="158"/>
      <c r="AA582" s="158"/>
      <c r="AB582" s="158"/>
      <c r="AC582" s="158"/>
      <c r="AD582" s="158"/>
      <c r="AE582" s="158"/>
    </row>
    <row r="583">
      <c r="A583" s="158"/>
      <c r="B583" s="158"/>
      <c r="C583" s="158"/>
      <c r="D583" s="158"/>
      <c r="E583" s="160"/>
      <c r="F583" s="158"/>
      <c r="G583" s="158"/>
      <c r="H583" s="160"/>
      <c r="I583" s="158"/>
      <c r="J583" s="158"/>
      <c r="K583" s="160"/>
      <c r="L583" s="158"/>
      <c r="M583" s="158"/>
      <c r="N583" s="158"/>
      <c r="O583" s="158"/>
      <c r="P583" s="158"/>
      <c r="Q583" s="158"/>
      <c r="R583" s="160"/>
      <c r="S583" s="158"/>
      <c r="T583" s="158"/>
      <c r="U583" s="158"/>
      <c r="V583" s="158"/>
      <c r="W583" s="158"/>
      <c r="X583" s="158"/>
      <c r="Y583" s="158"/>
      <c r="Z583" s="158"/>
      <c r="AA583" s="158"/>
      <c r="AB583" s="158"/>
      <c r="AC583" s="158"/>
      <c r="AD583" s="158"/>
      <c r="AE583" s="158"/>
    </row>
    <row r="584">
      <c r="A584" s="158"/>
      <c r="B584" s="158"/>
      <c r="C584" s="158"/>
      <c r="D584" s="158"/>
      <c r="E584" s="160"/>
      <c r="F584" s="158"/>
      <c r="G584" s="158"/>
      <c r="H584" s="160"/>
      <c r="I584" s="158"/>
      <c r="J584" s="158"/>
      <c r="K584" s="160"/>
      <c r="L584" s="158"/>
      <c r="M584" s="158"/>
      <c r="N584" s="158"/>
      <c r="O584" s="158"/>
      <c r="P584" s="158"/>
      <c r="Q584" s="158"/>
      <c r="R584" s="160"/>
      <c r="S584" s="158"/>
      <c r="T584" s="158"/>
      <c r="U584" s="158"/>
      <c r="V584" s="158"/>
      <c r="W584" s="158"/>
      <c r="X584" s="158"/>
      <c r="Y584" s="158"/>
      <c r="Z584" s="158"/>
      <c r="AA584" s="158"/>
      <c r="AB584" s="158"/>
      <c r="AC584" s="158"/>
      <c r="AD584" s="158"/>
      <c r="AE584" s="158"/>
    </row>
    <row r="585">
      <c r="A585" s="158"/>
      <c r="B585" s="158"/>
      <c r="C585" s="158"/>
      <c r="D585" s="158"/>
      <c r="E585" s="160"/>
      <c r="F585" s="158"/>
      <c r="G585" s="158"/>
      <c r="H585" s="160"/>
      <c r="I585" s="158"/>
      <c r="J585" s="158"/>
      <c r="K585" s="160"/>
      <c r="L585" s="158"/>
      <c r="M585" s="158"/>
      <c r="N585" s="158"/>
      <c r="O585" s="158"/>
      <c r="P585" s="158"/>
      <c r="Q585" s="158"/>
      <c r="R585" s="160"/>
      <c r="S585" s="158"/>
      <c r="T585" s="158"/>
      <c r="U585" s="158"/>
      <c r="V585" s="158"/>
      <c r="W585" s="158"/>
      <c r="X585" s="158"/>
      <c r="Y585" s="158"/>
      <c r="Z585" s="158"/>
      <c r="AA585" s="158"/>
      <c r="AB585" s="158"/>
      <c r="AC585" s="158"/>
      <c r="AD585" s="158"/>
      <c r="AE585" s="158"/>
    </row>
    <row r="586">
      <c r="A586" s="158"/>
      <c r="B586" s="158"/>
      <c r="C586" s="158"/>
      <c r="D586" s="158"/>
      <c r="E586" s="160"/>
      <c r="F586" s="158"/>
      <c r="G586" s="158"/>
      <c r="H586" s="160"/>
      <c r="I586" s="158"/>
      <c r="J586" s="158"/>
      <c r="K586" s="160"/>
      <c r="L586" s="158"/>
      <c r="M586" s="158"/>
      <c r="N586" s="158"/>
      <c r="O586" s="158"/>
      <c r="P586" s="158"/>
      <c r="Q586" s="158"/>
      <c r="R586" s="160"/>
      <c r="S586" s="158"/>
      <c r="T586" s="158"/>
      <c r="U586" s="158"/>
      <c r="V586" s="158"/>
      <c r="W586" s="158"/>
      <c r="X586" s="158"/>
      <c r="Y586" s="158"/>
      <c r="Z586" s="158"/>
      <c r="AA586" s="158"/>
      <c r="AB586" s="158"/>
      <c r="AC586" s="158"/>
      <c r="AD586" s="158"/>
      <c r="AE586" s="158"/>
    </row>
    <row r="587">
      <c r="A587" s="158"/>
      <c r="B587" s="158"/>
      <c r="C587" s="158"/>
      <c r="D587" s="158"/>
      <c r="E587" s="160"/>
      <c r="F587" s="158"/>
      <c r="G587" s="158"/>
      <c r="H587" s="160"/>
      <c r="I587" s="158"/>
      <c r="J587" s="158"/>
      <c r="K587" s="160"/>
      <c r="L587" s="158"/>
      <c r="M587" s="158"/>
      <c r="N587" s="158"/>
      <c r="O587" s="158"/>
      <c r="P587" s="158"/>
      <c r="Q587" s="158"/>
      <c r="R587" s="160"/>
      <c r="S587" s="158"/>
      <c r="T587" s="158"/>
      <c r="U587" s="158"/>
      <c r="V587" s="158"/>
      <c r="W587" s="158"/>
      <c r="X587" s="158"/>
      <c r="Y587" s="158"/>
      <c r="Z587" s="158"/>
      <c r="AA587" s="158"/>
      <c r="AB587" s="158"/>
      <c r="AC587" s="158"/>
      <c r="AD587" s="158"/>
      <c r="AE587" s="158"/>
    </row>
    <row r="588">
      <c r="A588" s="158"/>
      <c r="B588" s="158"/>
      <c r="C588" s="158"/>
      <c r="D588" s="158"/>
      <c r="E588" s="160"/>
      <c r="F588" s="158"/>
      <c r="G588" s="158"/>
      <c r="H588" s="160"/>
      <c r="I588" s="158"/>
      <c r="J588" s="158"/>
      <c r="K588" s="160"/>
      <c r="L588" s="158"/>
      <c r="M588" s="158"/>
      <c r="N588" s="158"/>
      <c r="O588" s="158"/>
      <c r="P588" s="158"/>
      <c r="Q588" s="158"/>
      <c r="R588" s="160"/>
      <c r="S588" s="158"/>
      <c r="T588" s="158"/>
      <c r="U588" s="158"/>
      <c r="V588" s="158"/>
      <c r="W588" s="158"/>
      <c r="X588" s="158"/>
      <c r="Y588" s="158"/>
      <c r="Z588" s="158"/>
      <c r="AA588" s="158"/>
      <c r="AB588" s="158"/>
      <c r="AC588" s="158"/>
      <c r="AD588" s="158"/>
      <c r="AE588" s="158"/>
    </row>
    <row r="589">
      <c r="A589" s="158"/>
      <c r="B589" s="158"/>
      <c r="C589" s="158"/>
      <c r="D589" s="158"/>
      <c r="E589" s="160"/>
      <c r="F589" s="158"/>
      <c r="G589" s="158"/>
      <c r="H589" s="160"/>
      <c r="I589" s="158"/>
      <c r="J589" s="158"/>
      <c r="K589" s="160"/>
      <c r="L589" s="158"/>
      <c r="M589" s="158"/>
      <c r="N589" s="158"/>
      <c r="O589" s="158"/>
      <c r="P589" s="158"/>
      <c r="Q589" s="158"/>
      <c r="R589" s="160"/>
      <c r="S589" s="158"/>
      <c r="T589" s="158"/>
      <c r="U589" s="158"/>
      <c r="V589" s="158"/>
      <c r="W589" s="158"/>
      <c r="X589" s="158"/>
      <c r="Y589" s="158"/>
      <c r="Z589" s="158"/>
      <c r="AA589" s="158"/>
      <c r="AB589" s="158"/>
      <c r="AC589" s="158"/>
      <c r="AD589" s="158"/>
      <c r="AE589" s="158"/>
    </row>
    <row r="590">
      <c r="A590" s="158"/>
      <c r="B590" s="158"/>
      <c r="C590" s="158"/>
      <c r="D590" s="158"/>
      <c r="E590" s="160"/>
      <c r="F590" s="158"/>
      <c r="G590" s="158"/>
      <c r="H590" s="160"/>
      <c r="I590" s="158"/>
      <c r="J590" s="158"/>
      <c r="K590" s="160"/>
      <c r="L590" s="158"/>
      <c r="M590" s="158"/>
      <c r="N590" s="158"/>
      <c r="O590" s="158"/>
      <c r="P590" s="158"/>
      <c r="Q590" s="158"/>
      <c r="R590" s="160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8"/>
      <c r="AC590" s="158"/>
      <c r="AD590" s="158"/>
      <c r="AE590" s="158"/>
    </row>
    <row r="591">
      <c r="A591" s="158"/>
      <c r="B591" s="158"/>
      <c r="C591" s="158"/>
      <c r="D591" s="158"/>
      <c r="E591" s="160"/>
      <c r="F591" s="158"/>
      <c r="G591" s="158"/>
      <c r="H591" s="160"/>
      <c r="I591" s="158"/>
      <c r="J591" s="158"/>
      <c r="K591" s="160"/>
      <c r="L591" s="158"/>
      <c r="M591" s="158"/>
      <c r="N591" s="158"/>
      <c r="O591" s="158"/>
      <c r="P591" s="158"/>
      <c r="Q591" s="158"/>
      <c r="R591" s="160"/>
      <c r="S591" s="158"/>
      <c r="T591" s="158"/>
      <c r="U591" s="158"/>
      <c r="V591" s="158"/>
      <c r="W591" s="158"/>
      <c r="X591" s="158"/>
      <c r="Y591" s="158"/>
      <c r="Z591" s="158"/>
      <c r="AA591" s="158"/>
      <c r="AB591" s="158"/>
      <c r="AC591" s="158"/>
      <c r="AD591" s="158"/>
      <c r="AE591" s="158"/>
    </row>
    <row r="592">
      <c r="A592" s="158"/>
      <c r="B592" s="158"/>
      <c r="C592" s="158"/>
      <c r="D592" s="158"/>
      <c r="E592" s="160"/>
      <c r="F592" s="158"/>
      <c r="G592" s="158"/>
      <c r="H592" s="160"/>
      <c r="I592" s="158"/>
      <c r="J592" s="158"/>
      <c r="K592" s="160"/>
      <c r="L592" s="158"/>
      <c r="M592" s="158"/>
      <c r="N592" s="158"/>
      <c r="O592" s="158"/>
      <c r="P592" s="158"/>
      <c r="Q592" s="158"/>
      <c r="R592" s="160"/>
      <c r="S592" s="158"/>
      <c r="T592" s="158"/>
      <c r="U592" s="158"/>
      <c r="V592" s="158"/>
      <c r="W592" s="158"/>
      <c r="X592" s="158"/>
      <c r="Y592" s="158"/>
      <c r="Z592" s="158"/>
      <c r="AA592" s="158"/>
      <c r="AB592" s="158"/>
      <c r="AC592" s="158"/>
      <c r="AD592" s="158"/>
      <c r="AE592" s="158"/>
    </row>
    <row r="593">
      <c r="A593" s="158"/>
      <c r="B593" s="158"/>
      <c r="C593" s="158"/>
      <c r="D593" s="158"/>
      <c r="E593" s="160"/>
      <c r="F593" s="158"/>
      <c r="G593" s="158"/>
      <c r="H593" s="160"/>
      <c r="I593" s="158"/>
      <c r="J593" s="158"/>
      <c r="K593" s="160"/>
      <c r="L593" s="158"/>
      <c r="M593" s="158"/>
      <c r="N593" s="158"/>
      <c r="O593" s="158"/>
      <c r="P593" s="158"/>
      <c r="Q593" s="158"/>
      <c r="R593" s="160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8"/>
    </row>
    <row r="594">
      <c r="A594" s="158"/>
      <c r="B594" s="158"/>
      <c r="C594" s="158"/>
      <c r="D594" s="158"/>
      <c r="E594" s="160"/>
      <c r="F594" s="158"/>
      <c r="G594" s="158"/>
      <c r="H594" s="160"/>
      <c r="I594" s="158"/>
      <c r="J594" s="158"/>
      <c r="K594" s="160"/>
      <c r="L594" s="158"/>
      <c r="M594" s="158"/>
      <c r="N594" s="158"/>
      <c r="O594" s="158"/>
      <c r="P594" s="158"/>
      <c r="Q594" s="158"/>
      <c r="R594" s="160"/>
      <c r="S594" s="158"/>
      <c r="T594" s="158"/>
      <c r="U594" s="158"/>
      <c r="V594" s="158"/>
      <c r="W594" s="158"/>
      <c r="X594" s="158"/>
      <c r="Y594" s="158"/>
      <c r="Z594" s="158"/>
      <c r="AA594" s="158"/>
      <c r="AB594" s="158"/>
      <c r="AC594" s="158"/>
      <c r="AD594" s="158"/>
      <c r="AE594" s="158"/>
    </row>
    <row r="595">
      <c r="A595" s="158"/>
      <c r="B595" s="158"/>
      <c r="C595" s="158"/>
      <c r="D595" s="158"/>
      <c r="E595" s="160"/>
      <c r="F595" s="158"/>
      <c r="G595" s="158"/>
      <c r="H595" s="160"/>
      <c r="I595" s="158"/>
      <c r="J595" s="158"/>
      <c r="K595" s="160"/>
      <c r="L595" s="158"/>
      <c r="M595" s="158"/>
      <c r="N595" s="158"/>
      <c r="O595" s="158"/>
      <c r="P595" s="158"/>
      <c r="Q595" s="158"/>
      <c r="R595" s="160"/>
      <c r="S595" s="158"/>
      <c r="T595" s="158"/>
      <c r="U595" s="158"/>
      <c r="V595" s="158"/>
      <c r="W595" s="158"/>
      <c r="X595" s="158"/>
      <c r="Y595" s="158"/>
      <c r="Z595" s="158"/>
      <c r="AA595" s="158"/>
      <c r="AB595" s="158"/>
      <c r="AC595" s="158"/>
      <c r="AD595" s="158"/>
      <c r="AE595" s="158"/>
    </row>
    <row r="596">
      <c r="A596" s="158"/>
      <c r="B596" s="158"/>
      <c r="C596" s="158"/>
      <c r="D596" s="158"/>
      <c r="E596" s="160"/>
      <c r="F596" s="158"/>
      <c r="G596" s="158"/>
      <c r="H596" s="160"/>
      <c r="I596" s="158"/>
      <c r="J596" s="158"/>
      <c r="K596" s="160"/>
      <c r="L596" s="158"/>
      <c r="M596" s="158"/>
      <c r="N596" s="158"/>
      <c r="O596" s="158"/>
      <c r="P596" s="158"/>
      <c r="Q596" s="158"/>
      <c r="R596" s="160"/>
      <c r="S596" s="158"/>
      <c r="T596" s="158"/>
      <c r="U596" s="158"/>
      <c r="V596" s="158"/>
      <c r="W596" s="158"/>
      <c r="X596" s="158"/>
      <c r="Y596" s="158"/>
      <c r="Z596" s="158"/>
      <c r="AA596" s="158"/>
      <c r="AB596" s="158"/>
      <c r="AC596" s="158"/>
      <c r="AD596" s="158"/>
      <c r="AE596" s="158"/>
    </row>
    <row r="597">
      <c r="A597" s="158"/>
      <c r="B597" s="158"/>
      <c r="C597" s="158"/>
      <c r="D597" s="158"/>
      <c r="E597" s="160"/>
      <c r="F597" s="158"/>
      <c r="G597" s="158"/>
      <c r="H597" s="160"/>
      <c r="I597" s="158"/>
      <c r="J597" s="158"/>
      <c r="K597" s="160"/>
      <c r="L597" s="158"/>
      <c r="M597" s="158"/>
      <c r="N597" s="158"/>
      <c r="O597" s="158"/>
      <c r="P597" s="158"/>
      <c r="Q597" s="158"/>
      <c r="R597" s="160"/>
      <c r="S597" s="158"/>
      <c r="T597" s="158"/>
      <c r="U597" s="158"/>
      <c r="V597" s="158"/>
      <c r="W597" s="158"/>
      <c r="X597" s="158"/>
      <c r="Y597" s="158"/>
      <c r="Z597" s="158"/>
      <c r="AA597" s="158"/>
      <c r="AB597" s="158"/>
      <c r="AC597" s="158"/>
      <c r="AD597" s="158"/>
      <c r="AE597" s="158"/>
    </row>
    <row r="598">
      <c r="A598" s="158"/>
      <c r="B598" s="158"/>
      <c r="C598" s="158"/>
      <c r="D598" s="158"/>
      <c r="E598" s="160"/>
      <c r="F598" s="158"/>
      <c r="G598" s="158"/>
      <c r="H598" s="160"/>
      <c r="I598" s="158"/>
      <c r="J598" s="158"/>
      <c r="K598" s="160"/>
      <c r="L598" s="158"/>
      <c r="M598" s="158"/>
      <c r="N598" s="158"/>
      <c r="O598" s="158"/>
      <c r="P598" s="158"/>
      <c r="Q598" s="158"/>
      <c r="R598" s="160"/>
      <c r="S598" s="158"/>
      <c r="T598" s="158"/>
      <c r="U598" s="158"/>
      <c r="V598" s="158"/>
      <c r="W598" s="158"/>
      <c r="X598" s="158"/>
      <c r="Y598" s="158"/>
      <c r="Z598" s="158"/>
      <c r="AA598" s="158"/>
      <c r="AB598" s="158"/>
      <c r="AC598" s="158"/>
      <c r="AD598" s="158"/>
      <c r="AE598" s="158"/>
    </row>
    <row r="599">
      <c r="A599" s="158"/>
      <c r="B599" s="158"/>
      <c r="C599" s="158"/>
      <c r="D599" s="158"/>
      <c r="E599" s="160"/>
      <c r="F599" s="158"/>
      <c r="G599" s="158"/>
      <c r="H599" s="160"/>
      <c r="I599" s="158"/>
      <c r="J599" s="158"/>
      <c r="K599" s="160"/>
      <c r="L599" s="158"/>
      <c r="M599" s="158"/>
      <c r="N599" s="158"/>
      <c r="O599" s="158"/>
      <c r="P599" s="158"/>
      <c r="Q599" s="158"/>
      <c r="R599" s="160"/>
      <c r="S599" s="158"/>
      <c r="T599" s="158"/>
      <c r="U599" s="158"/>
      <c r="V599" s="158"/>
      <c r="W599" s="158"/>
      <c r="X599" s="158"/>
      <c r="Y599" s="158"/>
      <c r="Z599" s="158"/>
      <c r="AA599" s="158"/>
      <c r="AB599" s="158"/>
      <c r="AC599" s="158"/>
      <c r="AD599" s="158"/>
      <c r="AE599" s="158"/>
    </row>
    <row r="600">
      <c r="A600" s="158"/>
      <c r="B600" s="158"/>
      <c r="C600" s="158"/>
      <c r="D600" s="158"/>
      <c r="E600" s="160"/>
      <c r="F600" s="158"/>
      <c r="G600" s="158"/>
      <c r="H600" s="160"/>
      <c r="I600" s="158"/>
      <c r="J600" s="158"/>
      <c r="K600" s="160"/>
      <c r="L600" s="158"/>
      <c r="M600" s="158"/>
      <c r="N600" s="158"/>
      <c r="O600" s="158"/>
      <c r="P600" s="158"/>
      <c r="Q600" s="158"/>
      <c r="R600" s="160"/>
      <c r="S600" s="158"/>
      <c r="T600" s="158"/>
      <c r="U600" s="158"/>
      <c r="V600" s="158"/>
      <c r="W600" s="158"/>
      <c r="X600" s="158"/>
      <c r="Y600" s="158"/>
      <c r="Z600" s="158"/>
      <c r="AA600" s="158"/>
      <c r="AB600" s="158"/>
      <c r="AC600" s="158"/>
      <c r="AD600" s="158"/>
      <c r="AE600" s="158"/>
    </row>
    <row r="601">
      <c r="A601" s="158"/>
      <c r="B601" s="158"/>
      <c r="C601" s="158"/>
      <c r="D601" s="158"/>
      <c r="E601" s="160"/>
      <c r="F601" s="158"/>
      <c r="G601" s="158"/>
      <c r="H601" s="160"/>
      <c r="I601" s="158"/>
      <c r="J601" s="158"/>
      <c r="K601" s="160"/>
      <c r="L601" s="158"/>
      <c r="M601" s="158"/>
      <c r="N601" s="158"/>
      <c r="O601" s="158"/>
      <c r="P601" s="158"/>
      <c r="Q601" s="158"/>
      <c r="R601" s="160"/>
      <c r="S601" s="158"/>
      <c r="T601" s="158"/>
      <c r="U601" s="158"/>
      <c r="V601" s="158"/>
      <c r="W601" s="158"/>
      <c r="X601" s="158"/>
      <c r="Y601" s="158"/>
      <c r="Z601" s="158"/>
      <c r="AA601" s="158"/>
      <c r="AB601" s="158"/>
      <c r="AC601" s="158"/>
      <c r="AD601" s="158"/>
      <c r="AE601" s="158"/>
    </row>
    <row r="602">
      <c r="A602" s="158"/>
      <c r="B602" s="158"/>
      <c r="C602" s="158"/>
      <c r="D602" s="158"/>
      <c r="E602" s="160"/>
      <c r="F602" s="158"/>
      <c r="G602" s="158"/>
      <c r="H602" s="160"/>
      <c r="I602" s="158"/>
      <c r="J602" s="158"/>
      <c r="K602" s="160"/>
      <c r="L602" s="158"/>
      <c r="M602" s="158"/>
      <c r="N602" s="158"/>
      <c r="O602" s="158"/>
      <c r="P602" s="158"/>
      <c r="Q602" s="158"/>
      <c r="R602" s="160"/>
      <c r="S602" s="158"/>
      <c r="T602" s="158"/>
      <c r="U602" s="158"/>
      <c r="V602" s="158"/>
      <c r="W602" s="158"/>
      <c r="X602" s="158"/>
      <c r="Y602" s="158"/>
      <c r="Z602" s="158"/>
      <c r="AA602" s="158"/>
      <c r="AB602" s="158"/>
      <c r="AC602" s="158"/>
      <c r="AD602" s="158"/>
      <c r="AE602" s="158"/>
    </row>
    <row r="603">
      <c r="A603" s="158"/>
      <c r="B603" s="158"/>
      <c r="C603" s="158"/>
      <c r="D603" s="158"/>
      <c r="E603" s="160"/>
      <c r="F603" s="158"/>
      <c r="G603" s="158"/>
      <c r="H603" s="160"/>
      <c r="I603" s="158"/>
      <c r="J603" s="158"/>
      <c r="K603" s="160"/>
      <c r="L603" s="158"/>
      <c r="M603" s="158"/>
      <c r="N603" s="158"/>
      <c r="O603" s="158"/>
      <c r="P603" s="158"/>
      <c r="Q603" s="158"/>
      <c r="R603" s="160"/>
      <c r="S603" s="158"/>
      <c r="T603" s="158"/>
      <c r="U603" s="158"/>
      <c r="V603" s="158"/>
      <c r="W603" s="158"/>
      <c r="X603" s="158"/>
      <c r="Y603" s="158"/>
      <c r="Z603" s="158"/>
      <c r="AA603" s="158"/>
      <c r="AB603" s="158"/>
      <c r="AC603" s="158"/>
      <c r="AD603" s="158"/>
      <c r="AE603" s="158"/>
    </row>
    <row r="604">
      <c r="A604" s="158"/>
      <c r="B604" s="158"/>
      <c r="C604" s="158"/>
      <c r="D604" s="158"/>
      <c r="E604" s="160"/>
      <c r="F604" s="158"/>
      <c r="G604" s="158"/>
      <c r="H604" s="160"/>
      <c r="I604" s="158"/>
      <c r="J604" s="158"/>
      <c r="K604" s="160"/>
      <c r="L604" s="158"/>
      <c r="M604" s="158"/>
      <c r="N604" s="158"/>
      <c r="O604" s="158"/>
      <c r="P604" s="158"/>
      <c r="Q604" s="158"/>
      <c r="R604" s="160"/>
      <c r="S604" s="158"/>
      <c r="T604" s="158"/>
      <c r="U604" s="158"/>
      <c r="V604" s="158"/>
      <c r="W604" s="158"/>
      <c r="X604" s="158"/>
      <c r="Y604" s="158"/>
      <c r="Z604" s="158"/>
      <c r="AA604" s="158"/>
      <c r="AB604" s="158"/>
      <c r="AC604" s="158"/>
      <c r="AD604" s="158"/>
      <c r="AE604" s="158"/>
    </row>
    <row r="605">
      <c r="A605" s="158"/>
      <c r="B605" s="158"/>
      <c r="C605" s="158"/>
      <c r="D605" s="158"/>
      <c r="E605" s="160"/>
      <c r="F605" s="158"/>
      <c r="G605" s="158"/>
      <c r="H605" s="160"/>
      <c r="I605" s="158"/>
      <c r="J605" s="158"/>
      <c r="K605" s="160"/>
      <c r="L605" s="158"/>
      <c r="M605" s="158"/>
      <c r="N605" s="158"/>
      <c r="O605" s="158"/>
      <c r="P605" s="158"/>
      <c r="Q605" s="158"/>
      <c r="R605" s="160"/>
      <c r="S605" s="158"/>
      <c r="T605" s="158"/>
      <c r="U605" s="158"/>
      <c r="V605" s="158"/>
      <c r="W605" s="158"/>
      <c r="X605" s="158"/>
      <c r="Y605" s="158"/>
      <c r="Z605" s="158"/>
      <c r="AA605" s="158"/>
      <c r="AB605" s="158"/>
      <c r="AC605" s="158"/>
      <c r="AD605" s="158"/>
      <c r="AE605" s="158"/>
    </row>
    <row r="606">
      <c r="A606" s="158"/>
      <c r="B606" s="158"/>
      <c r="C606" s="158"/>
      <c r="D606" s="158"/>
      <c r="E606" s="160"/>
      <c r="F606" s="158"/>
      <c r="G606" s="158"/>
      <c r="H606" s="160"/>
      <c r="I606" s="158"/>
      <c r="J606" s="158"/>
      <c r="K606" s="160"/>
      <c r="L606" s="158"/>
      <c r="M606" s="158"/>
      <c r="N606" s="158"/>
      <c r="O606" s="158"/>
      <c r="P606" s="158"/>
      <c r="Q606" s="158"/>
      <c r="R606" s="160"/>
      <c r="S606" s="158"/>
      <c r="T606" s="158"/>
      <c r="U606" s="158"/>
      <c r="V606" s="158"/>
      <c r="W606" s="158"/>
      <c r="X606" s="158"/>
      <c r="Y606" s="158"/>
      <c r="Z606" s="158"/>
      <c r="AA606" s="158"/>
      <c r="AB606" s="158"/>
      <c r="AC606" s="158"/>
      <c r="AD606" s="158"/>
      <c r="AE606" s="158"/>
    </row>
    <row r="607">
      <c r="A607" s="158"/>
      <c r="B607" s="158"/>
      <c r="C607" s="158"/>
      <c r="D607" s="158"/>
      <c r="E607" s="160"/>
      <c r="F607" s="158"/>
      <c r="G607" s="158"/>
      <c r="H607" s="160"/>
      <c r="I607" s="158"/>
      <c r="J607" s="158"/>
      <c r="K607" s="160"/>
      <c r="L607" s="158"/>
      <c r="M607" s="158"/>
      <c r="N607" s="158"/>
      <c r="O607" s="158"/>
      <c r="P607" s="158"/>
      <c r="Q607" s="158"/>
      <c r="R607" s="160"/>
      <c r="S607" s="158"/>
      <c r="T607" s="158"/>
      <c r="U607" s="158"/>
      <c r="V607" s="158"/>
      <c r="W607" s="158"/>
      <c r="X607" s="158"/>
      <c r="Y607" s="158"/>
      <c r="Z607" s="158"/>
      <c r="AA607" s="158"/>
      <c r="AB607" s="158"/>
      <c r="AC607" s="158"/>
      <c r="AD607" s="158"/>
      <c r="AE607" s="158"/>
    </row>
    <row r="608">
      <c r="A608" s="158"/>
      <c r="B608" s="158"/>
      <c r="C608" s="158"/>
      <c r="D608" s="158"/>
      <c r="E608" s="160"/>
      <c r="F608" s="158"/>
      <c r="G608" s="158"/>
      <c r="H608" s="160"/>
      <c r="I608" s="158"/>
      <c r="J608" s="158"/>
      <c r="K608" s="160"/>
      <c r="L608" s="158"/>
      <c r="M608" s="158"/>
      <c r="N608" s="158"/>
      <c r="O608" s="158"/>
      <c r="P608" s="158"/>
      <c r="Q608" s="158"/>
      <c r="R608" s="160"/>
      <c r="S608" s="158"/>
      <c r="T608" s="158"/>
      <c r="U608" s="158"/>
      <c r="V608" s="158"/>
      <c r="W608" s="158"/>
      <c r="X608" s="158"/>
      <c r="Y608" s="158"/>
      <c r="Z608" s="158"/>
      <c r="AA608" s="158"/>
      <c r="AB608" s="158"/>
      <c r="AC608" s="158"/>
      <c r="AD608" s="158"/>
      <c r="AE608" s="158"/>
    </row>
    <row r="609">
      <c r="A609" s="158"/>
      <c r="B609" s="158"/>
      <c r="C609" s="158"/>
      <c r="D609" s="158"/>
      <c r="E609" s="160"/>
      <c r="F609" s="158"/>
      <c r="G609" s="158"/>
      <c r="H609" s="160"/>
      <c r="I609" s="158"/>
      <c r="J609" s="158"/>
      <c r="K609" s="160"/>
      <c r="L609" s="158"/>
      <c r="M609" s="158"/>
      <c r="N609" s="158"/>
      <c r="O609" s="158"/>
      <c r="P609" s="158"/>
      <c r="Q609" s="158"/>
      <c r="R609" s="160"/>
      <c r="S609" s="158"/>
      <c r="T609" s="158"/>
      <c r="U609" s="158"/>
      <c r="V609" s="158"/>
      <c r="W609" s="158"/>
      <c r="X609" s="158"/>
      <c r="Y609" s="158"/>
      <c r="Z609" s="158"/>
      <c r="AA609" s="158"/>
      <c r="AB609" s="158"/>
      <c r="AC609" s="158"/>
      <c r="AD609" s="158"/>
      <c r="AE609" s="158"/>
    </row>
    <row r="610">
      <c r="A610" s="158"/>
      <c r="B610" s="158"/>
      <c r="C610" s="158"/>
      <c r="D610" s="158"/>
      <c r="E610" s="160"/>
      <c r="F610" s="158"/>
      <c r="G610" s="158"/>
      <c r="H610" s="160"/>
      <c r="I610" s="158"/>
      <c r="J610" s="158"/>
      <c r="K610" s="160"/>
      <c r="L610" s="158"/>
      <c r="M610" s="158"/>
      <c r="N610" s="158"/>
      <c r="O610" s="158"/>
      <c r="P610" s="158"/>
      <c r="Q610" s="158"/>
      <c r="R610" s="160"/>
      <c r="S610" s="158"/>
      <c r="T610" s="158"/>
      <c r="U610" s="158"/>
      <c r="V610" s="158"/>
      <c r="W610" s="158"/>
      <c r="X610" s="158"/>
      <c r="Y610" s="158"/>
      <c r="Z610" s="158"/>
      <c r="AA610" s="158"/>
      <c r="AB610" s="158"/>
      <c r="AC610" s="158"/>
      <c r="AD610" s="158"/>
      <c r="AE610" s="158"/>
    </row>
    <row r="611">
      <c r="A611" s="158"/>
      <c r="B611" s="158"/>
      <c r="C611" s="158"/>
      <c r="D611" s="158"/>
      <c r="E611" s="160"/>
      <c r="F611" s="158"/>
      <c r="G611" s="158"/>
      <c r="H611" s="160"/>
      <c r="I611" s="158"/>
      <c r="J611" s="158"/>
      <c r="K611" s="160"/>
      <c r="L611" s="158"/>
      <c r="M611" s="158"/>
      <c r="N611" s="158"/>
      <c r="O611" s="158"/>
      <c r="P611" s="158"/>
      <c r="Q611" s="158"/>
      <c r="R611" s="160"/>
      <c r="S611" s="158"/>
      <c r="T611" s="158"/>
      <c r="U611" s="158"/>
      <c r="V611" s="158"/>
      <c r="W611" s="158"/>
      <c r="X611" s="158"/>
      <c r="Y611" s="158"/>
      <c r="Z611" s="158"/>
      <c r="AA611" s="158"/>
      <c r="AB611" s="158"/>
      <c r="AC611" s="158"/>
      <c r="AD611" s="158"/>
      <c r="AE611" s="158"/>
    </row>
    <row r="612">
      <c r="A612" s="158"/>
      <c r="B612" s="158"/>
      <c r="C612" s="158"/>
      <c r="D612" s="158"/>
      <c r="E612" s="160"/>
      <c r="F612" s="158"/>
      <c r="G612" s="158"/>
      <c r="H612" s="160"/>
      <c r="I612" s="158"/>
      <c r="J612" s="158"/>
      <c r="K612" s="160"/>
      <c r="L612" s="158"/>
      <c r="M612" s="158"/>
      <c r="N612" s="158"/>
      <c r="O612" s="158"/>
      <c r="P612" s="158"/>
      <c r="Q612" s="158"/>
      <c r="R612" s="160"/>
      <c r="S612" s="158"/>
      <c r="T612" s="158"/>
      <c r="U612" s="158"/>
      <c r="V612" s="158"/>
      <c r="W612" s="158"/>
      <c r="X612" s="158"/>
      <c r="Y612" s="158"/>
      <c r="Z612" s="158"/>
      <c r="AA612" s="158"/>
      <c r="AB612" s="158"/>
      <c r="AC612" s="158"/>
      <c r="AD612" s="158"/>
      <c r="AE612" s="158"/>
    </row>
    <row r="613">
      <c r="A613" s="158"/>
      <c r="B613" s="158"/>
      <c r="C613" s="158"/>
      <c r="D613" s="158"/>
      <c r="E613" s="160"/>
      <c r="F613" s="158"/>
      <c r="G613" s="158"/>
      <c r="H613" s="160"/>
      <c r="I613" s="158"/>
      <c r="J613" s="158"/>
      <c r="K613" s="160"/>
      <c r="L613" s="158"/>
      <c r="M613" s="158"/>
      <c r="N613" s="158"/>
      <c r="O613" s="158"/>
      <c r="P613" s="158"/>
      <c r="Q613" s="158"/>
      <c r="R613" s="160"/>
      <c r="S613" s="158"/>
      <c r="T613" s="158"/>
      <c r="U613" s="158"/>
      <c r="V613" s="158"/>
      <c r="W613" s="158"/>
      <c r="X613" s="158"/>
      <c r="Y613" s="158"/>
      <c r="Z613" s="158"/>
      <c r="AA613" s="158"/>
      <c r="AB613" s="158"/>
      <c r="AC613" s="158"/>
      <c r="AD613" s="158"/>
      <c r="AE613" s="158"/>
    </row>
    <row r="614">
      <c r="A614" s="158"/>
      <c r="B614" s="158"/>
      <c r="C614" s="158"/>
      <c r="D614" s="158"/>
      <c r="E614" s="160"/>
      <c r="F614" s="158"/>
      <c r="G614" s="158"/>
      <c r="H614" s="160"/>
      <c r="I614" s="158"/>
      <c r="J614" s="158"/>
      <c r="K614" s="160"/>
      <c r="L614" s="158"/>
      <c r="M614" s="158"/>
      <c r="N614" s="158"/>
      <c r="O614" s="158"/>
      <c r="P614" s="158"/>
      <c r="Q614" s="158"/>
      <c r="R614" s="160"/>
      <c r="S614" s="158"/>
      <c r="T614" s="158"/>
      <c r="U614" s="158"/>
      <c r="V614" s="158"/>
      <c r="W614" s="158"/>
      <c r="X614" s="158"/>
      <c r="Y614" s="158"/>
      <c r="Z614" s="158"/>
      <c r="AA614" s="158"/>
      <c r="AB614" s="158"/>
      <c r="AC614" s="158"/>
      <c r="AD614" s="158"/>
      <c r="AE614" s="158"/>
    </row>
    <row r="615">
      <c r="A615" s="158"/>
      <c r="B615" s="158"/>
      <c r="C615" s="158"/>
      <c r="D615" s="158"/>
      <c r="E615" s="160"/>
      <c r="F615" s="158"/>
      <c r="G615" s="158"/>
      <c r="H615" s="160"/>
      <c r="I615" s="158"/>
      <c r="J615" s="158"/>
      <c r="K615" s="160"/>
      <c r="L615" s="158"/>
      <c r="M615" s="158"/>
      <c r="N615" s="158"/>
      <c r="O615" s="158"/>
      <c r="P615" s="158"/>
      <c r="Q615" s="158"/>
      <c r="R615" s="160"/>
      <c r="S615" s="158"/>
      <c r="T615" s="158"/>
      <c r="U615" s="158"/>
      <c r="V615" s="158"/>
      <c r="W615" s="158"/>
      <c r="X615" s="158"/>
      <c r="Y615" s="158"/>
      <c r="Z615" s="158"/>
      <c r="AA615" s="158"/>
      <c r="AB615" s="158"/>
      <c r="AC615" s="158"/>
      <c r="AD615" s="158"/>
      <c r="AE615" s="158"/>
    </row>
    <row r="616">
      <c r="A616" s="158"/>
      <c r="B616" s="158"/>
      <c r="C616" s="158"/>
      <c r="D616" s="158"/>
      <c r="E616" s="160"/>
      <c r="F616" s="158"/>
      <c r="G616" s="158"/>
      <c r="H616" s="160"/>
      <c r="I616" s="158"/>
      <c r="J616" s="158"/>
      <c r="K616" s="160"/>
      <c r="L616" s="158"/>
      <c r="M616" s="158"/>
      <c r="N616" s="158"/>
      <c r="O616" s="158"/>
      <c r="P616" s="158"/>
      <c r="Q616" s="158"/>
      <c r="R616" s="160"/>
      <c r="S616" s="158"/>
      <c r="T616" s="158"/>
      <c r="U616" s="158"/>
      <c r="V616" s="158"/>
      <c r="W616" s="158"/>
      <c r="X616" s="158"/>
      <c r="Y616" s="158"/>
      <c r="Z616" s="158"/>
      <c r="AA616" s="158"/>
      <c r="AB616" s="158"/>
      <c r="AC616" s="158"/>
      <c r="AD616" s="158"/>
      <c r="AE616" s="158"/>
    </row>
    <row r="617">
      <c r="A617" s="158"/>
      <c r="B617" s="158"/>
      <c r="C617" s="158"/>
      <c r="D617" s="158"/>
      <c r="E617" s="160"/>
      <c r="F617" s="158"/>
      <c r="G617" s="158"/>
      <c r="H617" s="160"/>
      <c r="I617" s="158"/>
      <c r="J617" s="158"/>
      <c r="K617" s="160"/>
      <c r="L617" s="158"/>
      <c r="M617" s="158"/>
      <c r="N617" s="158"/>
      <c r="O617" s="158"/>
      <c r="P617" s="158"/>
      <c r="Q617" s="158"/>
      <c r="R617" s="160"/>
      <c r="S617" s="158"/>
      <c r="T617" s="158"/>
      <c r="U617" s="158"/>
      <c r="V617" s="158"/>
      <c r="W617" s="158"/>
      <c r="X617" s="158"/>
      <c r="Y617" s="158"/>
      <c r="Z617" s="158"/>
      <c r="AA617" s="158"/>
      <c r="AB617" s="158"/>
      <c r="AC617" s="158"/>
      <c r="AD617" s="158"/>
      <c r="AE617" s="158"/>
    </row>
    <row r="618">
      <c r="A618" s="158"/>
      <c r="B618" s="158"/>
      <c r="C618" s="158"/>
      <c r="D618" s="158"/>
      <c r="E618" s="160"/>
      <c r="F618" s="158"/>
      <c r="G618" s="158"/>
      <c r="H618" s="160"/>
      <c r="I618" s="158"/>
      <c r="J618" s="158"/>
      <c r="K618" s="160"/>
      <c r="L618" s="158"/>
      <c r="M618" s="158"/>
      <c r="N618" s="158"/>
      <c r="O618" s="158"/>
      <c r="P618" s="158"/>
      <c r="Q618" s="158"/>
      <c r="R618" s="160"/>
      <c r="S618" s="158"/>
      <c r="T618" s="158"/>
      <c r="U618" s="158"/>
      <c r="V618" s="158"/>
      <c r="W618" s="158"/>
      <c r="X618" s="158"/>
      <c r="Y618" s="158"/>
      <c r="Z618" s="158"/>
      <c r="AA618" s="158"/>
      <c r="AB618" s="158"/>
      <c r="AC618" s="158"/>
      <c r="AD618" s="158"/>
      <c r="AE618" s="158"/>
    </row>
    <row r="619">
      <c r="A619" s="158"/>
      <c r="B619" s="158"/>
      <c r="C619" s="158"/>
      <c r="D619" s="158"/>
      <c r="E619" s="160"/>
      <c r="F619" s="158"/>
      <c r="G619" s="158"/>
      <c r="H619" s="160"/>
      <c r="I619" s="158"/>
      <c r="J619" s="158"/>
      <c r="K619" s="160"/>
      <c r="L619" s="158"/>
      <c r="M619" s="158"/>
      <c r="N619" s="158"/>
      <c r="O619" s="158"/>
      <c r="P619" s="158"/>
      <c r="Q619" s="158"/>
      <c r="R619" s="160"/>
      <c r="S619" s="158"/>
      <c r="T619" s="158"/>
      <c r="U619" s="158"/>
      <c r="V619" s="158"/>
      <c r="W619" s="158"/>
      <c r="X619" s="158"/>
      <c r="Y619" s="158"/>
      <c r="Z619" s="158"/>
      <c r="AA619" s="158"/>
      <c r="AB619" s="158"/>
      <c r="AC619" s="158"/>
      <c r="AD619" s="158"/>
      <c r="AE619" s="158"/>
    </row>
    <row r="620">
      <c r="A620" s="158"/>
      <c r="B620" s="158"/>
      <c r="C620" s="158"/>
      <c r="D620" s="158"/>
      <c r="E620" s="160"/>
      <c r="F620" s="158"/>
      <c r="G620" s="158"/>
      <c r="H620" s="160"/>
      <c r="I620" s="158"/>
      <c r="J620" s="158"/>
      <c r="K620" s="160"/>
      <c r="L620" s="158"/>
      <c r="M620" s="158"/>
      <c r="N620" s="158"/>
      <c r="O620" s="158"/>
      <c r="P620" s="158"/>
      <c r="Q620" s="158"/>
      <c r="R620" s="160"/>
      <c r="S620" s="158"/>
      <c r="T620" s="158"/>
      <c r="U620" s="158"/>
      <c r="V620" s="158"/>
      <c r="W620" s="158"/>
      <c r="X620" s="158"/>
      <c r="Y620" s="158"/>
      <c r="Z620" s="158"/>
      <c r="AA620" s="158"/>
      <c r="AB620" s="158"/>
      <c r="AC620" s="158"/>
      <c r="AD620" s="158"/>
      <c r="AE620" s="158"/>
    </row>
    <row r="621">
      <c r="A621" s="158"/>
      <c r="B621" s="158"/>
      <c r="C621" s="158"/>
      <c r="D621" s="158"/>
      <c r="E621" s="160"/>
      <c r="F621" s="158"/>
      <c r="G621" s="158"/>
      <c r="H621" s="160"/>
      <c r="I621" s="158"/>
      <c r="J621" s="158"/>
      <c r="K621" s="160"/>
      <c r="L621" s="158"/>
      <c r="M621" s="158"/>
      <c r="N621" s="158"/>
      <c r="O621" s="158"/>
      <c r="P621" s="158"/>
      <c r="Q621" s="158"/>
      <c r="R621" s="160"/>
      <c r="S621" s="158"/>
      <c r="T621" s="158"/>
      <c r="U621" s="158"/>
      <c r="V621" s="158"/>
      <c r="W621" s="158"/>
      <c r="X621" s="158"/>
      <c r="Y621" s="158"/>
      <c r="Z621" s="158"/>
      <c r="AA621" s="158"/>
      <c r="AB621" s="158"/>
      <c r="AC621" s="158"/>
      <c r="AD621" s="158"/>
      <c r="AE621" s="158"/>
    </row>
    <row r="622">
      <c r="A622" s="158"/>
      <c r="B622" s="158"/>
      <c r="C622" s="158"/>
      <c r="D622" s="158"/>
      <c r="E622" s="160"/>
      <c r="F622" s="158"/>
      <c r="G622" s="158"/>
      <c r="H622" s="160"/>
      <c r="I622" s="158"/>
      <c r="J622" s="158"/>
      <c r="K622" s="160"/>
      <c r="L622" s="158"/>
      <c r="M622" s="158"/>
      <c r="N622" s="158"/>
      <c r="O622" s="158"/>
      <c r="P622" s="158"/>
      <c r="Q622" s="158"/>
      <c r="R622" s="160"/>
      <c r="S622" s="158"/>
      <c r="T622" s="158"/>
      <c r="U622" s="158"/>
      <c r="V622" s="158"/>
      <c r="W622" s="158"/>
      <c r="X622" s="158"/>
      <c r="Y622" s="158"/>
      <c r="Z622" s="158"/>
      <c r="AA622" s="158"/>
      <c r="AB622" s="158"/>
      <c r="AC622" s="158"/>
      <c r="AD622" s="158"/>
      <c r="AE622" s="158"/>
    </row>
    <row r="623">
      <c r="A623" s="158"/>
      <c r="B623" s="158"/>
      <c r="C623" s="158"/>
      <c r="D623" s="158"/>
      <c r="E623" s="160"/>
      <c r="F623" s="158"/>
      <c r="G623" s="158"/>
      <c r="H623" s="160"/>
      <c r="I623" s="158"/>
      <c r="J623" s="158"/>
      <c r="K623" s="160"/>
      <c r="L623" s="158"/>
      <c r="M623" s="158"/>
      <c r="N623" s="158"/>
      <c r="O623" s="158"/>
      <c r="P623" s="158"/>
      <c r="Q623" s="158"/>
      <c r="R623" s="160"/>
      <c r="S623" s="158"/>
      <c r="T623" s="158"/>
      <c r="U623" s="158"/>
      <c r="V623" s="158"/>
      <c r="W623" s="158"/>
      <c r="X623" s="158"/>
      <c r="Y623" s="158"/>
      <c r="Z623" s="158"/>
      <c r="AA623" s="158"/>
      <c r="AB623" s="158"/>
      <c r="AC623" s="158"/>
      <c r="AD623" s="158"/>
      <c r="AE623" s="158"/>
    </row>
    <row r="624">
      <c r="A624" s="158"/>
      <c r="B624" s="158"/>
      <c r="C624" s="158"/>
      <c r="D624" s="158"/>
      <c r="E624" s="160"/>
      <c r="F624" s="158"/>
      <c r="G624" s="158"/>
      <c r="H624" s="160"/>
      <c r="I624" s="158"/>
      <c r="J624" s="158"/>
      <c r="K624" s="160"/>
      <c r="L624" s="158"/>
      <c r="M624" s="158"/>
      <c r="N624" s="158"/>
      <c r="O624" s="158"/>
      <c r="P624" s="158"/>
      <c r="Q624" s="158"/>
      <c r="R624" s="160"/>
      <c r="S624" s="158"/>
      <c r="T624" s="158"/>
      <c r="U624" s="158"/>
      <c r="V624" s="158"/>
      <c r="W624" s="158"/>
      <c r="X624" s="158"/>
      <c r="Y624" s="158"/>
      <c r="Z624" s="158"/>
      <c r="AA624" s="158"/>
      <c r="AB624" s="158"/>
      <c r="AC624" s="158"/>
      <c r="AD624" s="158"/>
      <c r="AE624" s="158"/>
    </row>
    <row r="625">
      <c r="A625" s="158"/>
      <c r="B625" s="158"/>
      <c r="C625" s="158"/>
      <c r="D625" s="158"/>
      <c r="E625" s="160"/>
      <c r="F625" s="158"/>
      <c r="G625" s="158"/>
      <c r="H625" s="160"/>
      <c r="I625" s="158"/>
      <c r="J625" s="158"/>
      <c r="K625" s="160"/>
      <c r="L625" s="158"/>
      <c r="M625" s="158"/>
      <c r="N625" s="158"/>
      <c r="O625" s="158"/>
      <c r="P625" s="158"/>
      <c r="Q625" s="158"/>
      <c r="R625" s="160"/>
      <c r="S625" s="158"/>
      <c r="T625" s="158"/>
      <c r="U625" s="158"/>
      <c r="V625" s="158"/>
      <c r="W625" s="158"/>
      <c r="X625" s="158"/>
      <c r="Y625" s="158"/>
      <c r="Z625" s="158"/>
      <c r="AA625" s="158"/>
      <c r="AB625" s="158"/>
      <c r="AC625" s="158"/>
      <c r="AD625" s="158"/>
      <c r="AE625" s="158"/>
    </row>
    <row r="626">
      <c r="A626" s="158"/>
      <c r="B626" s="158"/>
      <c r="C626" s="158"/>
      <c r="D626" s="158"/>
      <c r="E626" s="160"/>
      <c r="F626" s="158"/>
      <c r="G626" s="158"/>
      <c r="H626" s="160"/>
      <c r="I626" s="158"/>
      <c r="J626" s="158"/>
      <c r="K626" s="160"/>
      <c r="L626" s="158"/>
      <c r="M626" s="158"/>
      <c r="N626" s="158"/>
      <c r="O626" s="158"/>
      <c r="P626" s="158"/>
      <c r="Q626" s="158"/>
      <c r="R626" s="160"/>
      <c r="S626" s="158"/>
      <c r="T626" s="158"/>
      <c r="U626" s="158"/>
      <c r="V626" s="158"/>
      <c r="W626" s="158"/>
      <c r="X626" s="158"/>
      <c r="Y626" s="158"/>
      <c r="Z626" s="158"/>
      <c r="AA626" s="158"/>
      <c r="AB626" s="158"/>
      <c r="AC626" s="158"/>
      <c r="AD626" s="158"/>
      <c r="AE626" s="158"/>
    </row>
    <row r="627">
      <c r="A627" s="158"/>
      <c r="B627" s="158"/>
      <c r="C627" s="158"/>
      <c r="D627" s="158"/>
      <c r="E627" s="160"/>
      <c r="F627" s="158"/>
      <c r="G627" s="158"/>
      <c r="H627" s="160"/>
      <c r="I627" s="158"/>
      <c r="J627" s="158"/>
      <c r="K627" s="160"/>
      <c r="L627" s="158"/>
      <c r="M627" s="158"/>
      <c r="N627" s="158"/>
      <c r="O627" s="158"/>
      <c r="P627" s="158"/>
      <c r="Q627" s="158"/>
      <c r="R627" s="160"/>
      <c r="S627" s="158"/>
      <c r="T627" s="158"/>
      <c r="U627" s="158"/>
      <c r="V627" s="158"/>
      <c r="W627" s="158"/>
      <c r="X627" s="158"/>
      <c r="Y627" s="158"/>
      <c r="Z627" s="158"/>
      <c r="AA627" s="158"/>
      <c r="AB627" s="158"/>
      <c r="AC627" s="158"/>
      <c r="AD627" s="158"/>
      <c r="AE627" s="158"/>
    </row>
    <row r="628">
      <c r="A628" s="158"/>
      <c r="B628" s="158"/>
      <c r="C628" s="158"/>
      <c r="D628" s="158"/>
      <c r="E628" s="160"/>
      <c r="F628" s="158"/>
      <c r="G628" s="158"/>
      <c r="H628" s="160"/>
      <c r="I628" s="158"/>
      <c r="J628" s="158"/>
      <c r="K628" s="160"/>
      <c r="L628" s="158"/>
      <c r="M628" s="158"/>
      <c r="N628" s="158"/>
      <c r="O628" s="158"/>
      <c r="P628" s="158"/>
      <c r="Q628" s="158"/>
      <c r="R628" s="160"/>
      <c r="S628" s="158"/>
      <c r="T628" s="158"/>
      <c r="U628" s="158"/>
      <c r="V628" s="158"/>
      <c r="W628" s="158"/>
      <c r="X628" s="158"/>
      <c r="Y628" s="158"/>
      <c r="Z628" s="158"/>
      <c r="AA628" s="158"/>
      <c r="AB628" s="158"/>
      <c r="AC628" s="158"/>
      <c r="AD628" s="158"/>
      <c r="AE628" s="158"/>
    </row>
    <row r="629">
      <c r="A629" s="158"/>
      <c r="B629" s="158"/>
      <c r="C629" s="158"/>
      <c r="D629" s="158"/>
      <c r="E629" s="160"/>
      <c r="F629" s="158"/>
      <c r="G629" s="158"/>
      <c r="H629" s="160"/>
      <c r="I629" s="158"/>
      <c r="J629" s="158"/>
      <c r="K629" s="160"/>
      <c r="L629" s="158"/>
      <c r="M629" s="158"/>
      <c r="N629" s="158"/>
      <c r="O629" s="158"/>
      <c r="P629" s="158"/>
      <c r="Q629" s="158"/>
      <c r="R629" s="160"/>
      <c r="S629" s="158"/>
      <c r="T629" s="158"/>
      <c r="U629" s="158"/>
      <c r="V629" s="158"/>
      <c r="W629" s="158"/>
      <c r="X629" s="158"/>
      <c r="Y629" s="158"/>
      <c r="Z629" s="158"/>
      <c r="AA629" s="158"/>
      <c r="AB629" s="158"/>
      <c r="AC629" s="158"/>
      <c r="AD629" s="158"/>
      <c r="AE629" s="158"/>
    </row>
    <row r="630">
      <c r="A630" s="158"/>
      <c r="B630" s="158"/>
      <c r="C630" s="158"/>
      <c r="D630" s="158"/>
      <c r="E630" s="160"/>
      <c r="F630" s="158"/>
      <c r="G630" s="158"/>
      <c r="H630" s="160"/>
      <c r="I630" s="158"/>
      <c r="J630" s="158"/>
      <c r="K630" s="160"/>
      <c r="L630" s="158"/>
      <c r="M630" s="158"/>
      <c r="N630" s="158"/>
      <c r="O630" s="158"/>
      <c r="P630" s="158"/>
      <c r="Q630" s="158"/>
      <c r="R630" s="160"/>
      <c r="S630" s="158"/>
      <c r="T630" s="158"/>
      <c r="U630" s="158"/>
      <c r="V630" s="158"/>
      <c r="W630" s="158"/>
      <c r="X630" s="158"/>
      <c r="Y630" s="158"/>
      <c r="Z630" s="158"/>
      <c r="AA630" s="158"/>
      <c r="AB630" s="158"/>
      <c r="AC630" s="158"/>
      <c r="AD630" s="158"/>
      <c r="AE630" s="158"/>
    </row>
    <row r="631">
      <c r="A631" s="158"/>
      <c r="B631" s="158"/>
      <c r="C631" s="158"/>
      <c r="D631" s="158"/>
      <c r="E631" s="160"/>
      <c r="F631" s="158"/>
      <c r="G631" s="158"/>
      <c r="H631" s="160"/>
      <c r="I631" s="158"/>
      <c r="J631" s="158"/>
      <c r="K631" s="160"/>
      <c r="L631" s="158"/>
      <c r="M631" s="158"/>
      <c r="N631" s="158"/>
      <c r="O631" s="158"/>
      <c r="P631" s="158"/>
      <c r="Q631" s="158"/>
      <c r="R631" s="160"/>
      <c r="S631" s="158"/>
      <c r="T631" s="158"/>
      <c r="U631" s="158"/>
      <c r="V631" s="158"/>
      <c r="W631" s="158"/>
      <c r="X631" s="158"/>
      <c r="Y631" s="158"/>
      <c r="Z631" s="158"/>
      <c r="AA631" s="158"/>
      <c r="AB631" s="158"/>
      <c r="AC631" s="158"/>
      <c r="AD631" s="158"/>
      <c r="AE631" s="158"/>
    </row>
    <row r="632">
      <c r="A632" s="158"/>
      <c r="B632" s="158"/>
      <c r="C632" s="158"/>
      <c r="D632" s="158"/>
      <c r="E632" s="160"/>
      <c r="F632" s="158"/>
      <c r="G632" s="158"/>
      <c r="H632" s="160"/>
      <c r="I632" s="158"/>
      <c r="J632" s="158"/>
      <c r="K632" s="160"/>
      <c r="L632" s="158"/>
      <c r="M632" s="158"/>
      <c r="N632" s="158"/>
      <c r="O632" s="158"/>
      <c r="P632" s="158"/>
      <c r="Q632" s="158"/>
      <c r="R632" s="160"/>
      <c r="S632" s="158"/>
      <c r="T632" s="158"/>
      <c r="U632" s="158"/>
      <c r="V632" s="158"/>
      <c r="W632" s="158"/>
      <c r="X632" s="158"/>
      <c r="Y632" s="158"/>
      <c r="Z632" s="158"/>
      <c r="AA632" s="158"/>
      <c r="AB632" s="158"/>
      <c r="AC632" s="158"/>
      <c r="AD632" s="158"/>
      <c r="AE632" s="158"/>
    </row>
    <row r="633">
      <c r="A633" s="158"/>
      <c r="B633" s="158"/>
      <c r="C633" s="158"/>
      <c r="D633" s="158"/>
      <c r="E633" s="160"/>
      <c r="F633" s="158"/>
      <c r="G633" s="158"/>
      <c r="H633" s="160"/>
      <c r="I633" s="158"/>
      <c r="J633" s="158"/>
      <c r="K633" s="160"/>
      <c r="L633" s="158"/>
      <c r="M633" s="158"/>
      <c r="N633" s="158"/>
      <c r="O633" s="158"/>
      <c r="P633" s="158"/>
      <c r="Q633" s="158"/>
      <c r="R633" s="160"/>
      <c r="S633" s="158"/>
      <c r="T633" s="158"/>
      <c r="U633" s="158"/>
      <c r="V633" s="158"/>
      <c r="W633" s="158"/>
      <c r="X633" s="158"/>
      <c r="Y633" s="158"/>
      <c r="Z633" s="158"/>
      <c r="AA633" s="158"/>
      <c r="AB633" s="158"/>
      <c r="AC633" s="158"/>
      <c r="AD633" s="158"/>
      <c r="AE633" s="158"/>
    </row>
    <row r="634">
      <c r="A634" s="158"/>
      <c r="B634" s="158"/>
      <c r="C634" s="158"/>
      <c r="D634" s="158"/>
      <c r="E634" s="160"/>
      <c r="F634" s="158"/>
      <c r="G634" s="158"/>
      <c r="H634" s="160"/>
      <c r="I634" s="158"/>
      <c r="J634" s="158"/>
      <c r="K634" s="160"/>
      <c r="L634" s="158"/>
      <c r="M634" s="158"/>
      <c r="N634" s="158"/>
      <c r="O634" s="158"/>
      <c r="P634" s="158"/>
      <c r="Q634" s="158"/>
      <c r="R634" s="160"/>
      <c r="S634" s="158"/>
      <c r="T634" s="158"/>
      <c r="U634" s="158"/>
      <c r="V634" s="158"/>
      <c r="W634" s="158"/>
      <c r="X634" s="158"/>
      <c r="Y634" s="158"/>
      <c r="Z634" s="158"/>
      <c r="AA634" s="158"/>
      <c r="AB634" s="158"/>
      <c r="AC634" s="158"/>
      <c r="AD634" s="158"/>
      <c r="AE634" s="158"/>
    </row>
    <row r="635">
      <c r="A635" s="158"/>
      <c r="B635" s="158"/>
      <c r="C635" s="158"/>
      <c r="D635" s="158"/>
      <c r="E635" s="160"/>
      <c r="F635" s="158"/>
      <c r="G635" s="158"/>
      <c r="H635" s="160"/>
      <c r="I635" s="158"/>
      <c r="J635" s="158"/>
      <c r="K635" s="160"/>
      <c r="L635" s="158"/>
      <c r="M635" s="158"/>
      <c r="N635" s="158"/>
      <c r="O635" s="158"/>
      <c r="P635" s="158"/>
      <c r="Q635" s="158"/>
      <c r="R635" s="160"/>
      <c r="S635" s="158"/>
      <c r="T635" s="158"/>
      <c r="U635" s="158"/>
      <c r="V635" s="158"/>
      <c r="W635" s="158"/>
      <c r="X635" s="158"/>
      <c r="Y635" s="158"/>
      <c r="Z635" s="158"/>
      <c r="AA635" s="158"/>
      <c r="AB635" s="158"/>
      <c r="AC635" s="158"/>
      <c r="AD635" s="158"/>
      <c r="AE635" s="158"/>
    </row>
    <row r="636">
      <c r="A636" s="158"/>
      <c r="B636" s="158"/>
      <c r="C636" s="158"/>
      <c r="D636" s="158"/>
      <c r="E636" s="160"/>
      <c r="F636" s="158"/>
      <c r="G636" s="158"/>
      <c r="H636" s="160"/>
      <c r="I636" s="158"/>
      <c r="J636" s="158"/>
      <c r="K636" s="160"/>
      <c r="L636" s="158"/>
      <c r="M636" s="158"/>
      <c r="N636" s="158"/>
      <c r="O636" s="158"/>
      <c r="P636" s="158"/>
      <c r="Q636" s="158"/>
      <c r="R636" s="160"/>
      <c r="S636" s="158"/>
      <c r="T636" s="158"/>
      <c r="U636" s="158"/>
      <c r="V636" s="158"/>
      <c r="W636" s="158"/>
      <c r="X636" s="158"/>
      <c r="Y636" s="158"/>
      <c r="Z636" s="158"/>
      <c r="AA636" s="158"/>
      <c r="AB636" s="158"/>
      <c r="AC636" s="158"/>
      <c r="AD636" s="158"/>
      <c r="AE636" s="158"/>
    </row>
    <row r="637">
      <c r="A637" s="158"/>
      <c r="B637" s="158"/>
      <c r="C637" s="158"/>
      <c r="D637" s="158"/>
      <c r="E637" s="160"/>
      <c r="F637" s="158"/>
      <c r="G637" s="158"/>
      <c r="H637" s="160"/>
      <c r="I637" s="158"/>
      <c r="J637" s="158"/>
      <c r="K637" s="160"/>
      <c r="L637" s="158"/>
      <c r="M637" s="158"/>
      <c r="N637" s="158"/>
      <c r="O637" s="158"/>
      <c r="P637" s="158"/>
      <c r="Q637" s="158"/>
      <c r="R637" s="160"/>
      <c r="S637" s="158"/>
      <c r="T637" s="158"/>
      <c r="U637" s="158"/>
      <c r="V637" s="158"/>
      <c r="W637" s="158"/>
      <c r="X637" s="158"/>
      <c r="Y637" s="158"/>
      <c r="Z637" s="158"/>
      <c r="AA637" s="158"/>
      <c r="AB637" s="158"/>
      <c r="AC637" s="158"/>
      <c r="AD637" s="158"/>
      <c r="AE637" s="158"/>
    </row>
    <row r="638">
      <c r="A638" s="158"/>
      <c r="B638" s="158"/>
      <c r="C638" s="158"/>
      <c r="D638" s="158"/>
      <c r="E638" s="160"/>
      <c r="F638" s="158"/>
      <c r="G638" s="158"/>
      <c r="H638" s="160"/>
      <c r="I638" s="158"/>
      <c r="J638" s="158"/>
      <c r="K638" s="160"/>
      <c r="L638" s="158"/>
      <c r="M638" s="158"/>
      <c r="N638" s="158"/>
      <c r="O638" s="158"/>
      <c r="P638" s="158"/>
      <c r="Q638" s="158"/>
      <c r="R638" s="160"/>
      <c r="S638" s="158"/>
      <c r="T638" s="158"/>
      <c r="U638" s="158"/>
      <c r="V638" s="158"/>
      <c r="W638" s="158"/>
      <c r="X638" s="158"/>
      <c r="Y638" s="158"/>
      <c r="Z638" s="158"/>
      <c r="AA638" s="158"/>
      <c r="AB638" s="158"/>
      <c r="AC638" s="158"/>
      <c r="AD638" s="158"/>
      <c r="AE638" s="158"/>
    </row>
    <row r="639">
      <c r="A639" s="158"/>
      <c r="B639" s="158"/>
      <c r="C639" s="158"/>
      <c r="D639" s="158"/>
      <c r="E639" s="160"/>
      <c r="F639" s="158"/>
      <c r="G639" s="158"/>
      <c r="H639" s="160"/>
      <c r="I639" s="158"/>
      <c r="J639" s="158"/>
      <c r="K639" s="160"/>
      <c r="L639" s="158"/>
      <c r="M639" s="158"/>
      <c r="N639" s="158"/>
      <c r="O639" s="158"/>
      <c r="P639" s="158"/>
      <c r="Q639" s="158"/>
      <c r="R639" s="160"/>
      <c r="S639" s="158"/>
      <c r="T639" s="158"/>
      <c r="U639" s="158"/>
      <c r="V639" s="158"/>
      <c r="W639" s="158"/>
      <c r="X639" s="158"/>
      <c r="Y639" s="158"/>
      <c r="Z639" s="158"/>
      <c r="AA639" s="158"/>
      <c r="AB639" s="158"/>
      <c r="AC639" s="158"/>
      <c r="AD639" s="158"/>
      <c r="AE639" s="158"/>
    </row>
    <row r="640">
      <c r="A640" s="158"/>
      <c r="B640" s="158"/>
      <c r="C640" s="158"/>
      <c r="D640" s="158"/>
      <c r="E640" s="160"/>
      <c r="F640" s="158"/>
      <c r="G640" s="158"/>
      <c r="H640" s="160"/>
      <c r="I640" s="158"/>
      <c r="J640" s="158"/>
      <c r="K640" s="160"/>
      <c r="L640" s="158"/>
      <c r="M640" s="158"/>
      <c r="N640" s="158"/>
      <c r="O640" s="158"/>
      <c r="P640" s="158"/>
      <c r="Q640" s="158"/>
      <c r="R640" s="160"/>
      <c r="S640" s="158"/>
      <c r="T640" s="158"/>
      <c r="U640" s="158"/>
      <c r="V640" s="158"/>
      <c r="W640" s="158"/>
      <c r="X640" s="158"/>
      <c r="Y640" s="158"/>
      <c r="Z640" s="158"/>
      <c r="AA640" s="158"/>
      <c r="AB640" s="158"/>
      <c r="AC640" s="158"/>
      <c r="AD640" s="158"/>
      <c r="AE640" s="158"/>
    </row>
    <row r="641">
      <c r="A641" s="158"/>
      <c r="B641" s="158"/>
      <c r="C641" s="158"/>
      <c r="D641" s="158"/>
      <c r="E641" s="160"/>
      <c r="F641" s="158"/>
      <c r="G641" s="158"/>
      <c r="H641" s="160"/>
      <c r="I641" s="158"/>
      <c r="J641" s="158"/>
      <c r="K641" s="160"/>
      <c r="L641" s="158"/>
      <c r="M641" s="158"/>
      <c r="N641" s="158"/>
      <c r="O641" s="158"/>
      <c r="P641" s="158"/>
      <c r="Q641" s="158"/>
      <c r="R641" s="160"/>
      <c r="S641" s="158"/>
      <c r="T641" s="158"/>
      <c r="U641" s="158"/>
      <c r="V641" s="158"/>
      <c r="W641" s="158"/>
      <c r="X641" s="158"/>
      <c r="Y641" s="158"/>
      <c r="Z641" s="158"/>
      <c r="AA641" s="158"/>
      <c r="AB641" s="158"/>
      <c r="AC641" s="158"/>
      <c r="AD641" s="158"/>
      <c r="AE641" s="158"/>
    </row>
    <row r="642">
      <c r="A642" s="158"/>
      <c r="B642" s="158"/>
      <c r="C642" s="158"/>
      <c r="D642" s="158"/>
      <c r="E642" s="160"/>
      <c r="F642" s="158"/>
      <c r="G642" s="158"/>
      <c r="H642" s="160"/>
      <c r="I642" s="158"/>
      <c r="J642" s="158"/>
      <c r="K642" s="160"/>
      <c r="L642" s="158"/>
      <c r="M642" s="158"/>
      <c r="N642" s="158"/>
      <c r="O642" s="158"/>
      <c r="P642" s="158"/>
      <c r="Q642" s="158"/>
      <c r="R642" s="160"/>
      <c r="S642" s="158"/>
      <c r="T642" s="158"/>
      <c r="U642" s="158"/>
      <c r="V642" s="158"/>
      <c r="W642" s="158"/>
      <c r="X642" s="158"/>
      <c r="Y642" s="158"/>
      <c r="Z642" s="158"/>
      <c r="AA642" s="158"/>
      <c r="AB642" s="158"/>
      <c r="AC642" s="158"/>
      <c r="AD642" s="158"/>
      <c r="AE642" s="158"/>
    </row>
    <row r="643">
      <c r="A643" s="158"/>
      <c r="B643" s="158"/>
      <c r="C643" s="158"/>
      <c r="D643" s="158"/>
      <c r="E643" s="160"/>
      <c r="F643" s="158"/>
      <c r="G643" s="158"/>
      <c r="H643" s="160"/>
      <c r="I643" s="158"/>
      <c r="J643" s="158"/>
      <c r="K643" s="160"/>
      <c r="L643" s="158"/>
      <c r="M643" s="158"/>
      <c r="N643" s="158"/>
      <c r="O643" s="158"/>
      <c r="P643" s="158"/>
      <c r="Q643" s="158"/>
      <c r="R643" s="160"/>
      <c r="S643" s="158"/>
      <c r="T643" s="158"/>
      <c r="U643" s="158"/>
      <c r="V643" s="158"/>
      <c r="W643" s="158"/>
      <c r="X643" s="158"/>
      <c r="Y643" s="158"/>
      <c r="Z643" s="158"/>
      <c r="AA643" s="158"/>
      <c r="AB643" s="158"/>
      <c r="AC643" s="158"/>
      <c r="AD643" s="158"/>
      <c r="AE643" s="158"/>
    </row>
    <row r="644">
      <c r="A644" s="158"/>
      <c r="B644" s="158"/>
      <c r="C644" s="158"/>
      <c r="D644" s="158"/>
      <c r="E644" s="160"/>
      <c r="F644" s="158"/>
      <c r="G644" s="158"/>
      <c r="H644" s="160"/>
      <c r="I644" s="158"/>
      <c r="J644" s="158"/>
      <c r="K644" s="160"/>
      <c r="L644" s="158"/>
      <c r="M644" s="158"/>
      <c r="N644" s="158"/>
      <c r="O644" s="158"/>
      <c r="P644" s="158"/>
      <c r="Q644" s="158"/>
      <c r="R644" s="160"/>
      <c r="S644" s="158"/>
      <c r="T644" s="158"/>
      <c r="U644" s="158"/>
      <c r="V644" s="158"/>
      <c r="W644" s="158"/>
      <c r="X644" s="158"/>
      <c r="Y644" s="158"/>
      <c r="Z644" s="158"/>
      <c r="AA644" s="158"/>
      <c r="AB644" s="158"/>
      <c r="AC644" s="158"/>
      <c r="AD644" s="158"/>
      <c r="AE644" s="158"/>
    </row>
    <row r="645">
      <c r="A645" s="158"/>
      <c r="B645" s="158"/>
      <c r="C645" s="158"/>
      <c r="D645" s="158"/>
      <c r="E645" s="160"/>
      <c r="F645" s="158"/>
      <c r="G645" s="158"/>
      <c r="H645" s="160"/>
      <c r="I645" s="158"/>
      <c r="J645" s="158"/>
      <c r="K645" s="160"/>
      <c r="L645" s="158"/>
      <c r="M645" s="158"/>
      <c r="N645" s="158"/>
      <c r="O645" s="158"/>
      <c r="P645" s="158"/>
      <c r="Q645" s="158"/>
      <c r="R645" s="160"/>
      <c r="S645" s="158"/>
      <c r="T645" s="158"/>
      <c r="U645" s="158"/>
      <c r="V645" s="158"/>
      <c r="W645" s="158"/>
      <c r="X645" s="158"/>
      <c r="Y645" s="158"/>
      <c r="Z645" s="158"/>
      <c r="AA645" s="158"/>
      <c r="AB645" s="158"/>
      <c r="AC645" s="158"/>
      <c r="AD645" s="158"/>
      <c r="AE645" s="158"/>
    </row>
    <row r="646">
      <c r="A646" s="158"/>
      <c r="B646" s="158"/>
      <c r="C646" s="158"/>
      <c r="D646" s="158"/>
      <c r="E646" s="160"/>
      <c r="F646" s="158"/>
      <c r="G646" s="158"/>
      <c r="H646" s="160"/>
      <c r="I646" s="158"/>
      <c r="J646" s="158"/>
      <c r="K646" s="160"/>
      <c r="L646" s="158"/>
      <c r="M646" s="158"/>
      <c r="N646" s="158"/>
      <c r="O646" s="158"/>
      <c r="P646" s="158"/>
      <c r="Q646" s="158"/>
      <c r="R646" s="160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8"/>
    </row>
    <row r="647">
      <c r="A647" s="158"/>
      <c r="B647" s="158"/>
      <c r="C647" s="158"/>
      <c r="D647" s="158"/>
      <c r="E647" s="160"/>
      <c r="F647" s="158"/>
      <c r="G647" s="158"/>
      <c r="H647" s="160"/>
      <c r="I647" s="158"/>
      <c r="J647" s="158"/>
      <c r="K647" s="160"/>
      <c r="L647" s="158"/>
      <c r="M647" s="158"/>
      <c r="N647" s="158"/>
      <c r="O647" s="158"/>
      <c r="P647" s="158"/>
      <c r="Q647" s="158"/>
      <c r="R647" s="160"/>
      <c r="S647" s="158"/>
      <c r="T647" s="158"/>
      <c r="U647" s="158"/>
      <c r="V647" s="158"/>
      <c r="W647" s="158"/>
      <c r="X647" s="158"/>
      <c r="Y647" s="158"/>
      <c r="Z647" s="158"/>
      <c r="AA647" s="158"/>
      <c r="AB647" s="158"/>
      <c r="AC647" s="158"/>
      <c r="AD647" s="158"/>
      <c r="AE647" s="158"/>
    </row>
    <row r="648">
      <c r="A648" s="158"/>
      <c r="B648" s="158"/>
      <c r="C648" s="158"/>
      <c r="D648" s="158"/>
      <c r="E648" s="160"/>
      <c r="F648" s="158"/>
      <c r="G648" s="158"/>
      <c r="H648" s="160"/>
      <c r="I648" s="158"/>
      <c r="J648" s="158"/>
      <c r="K648" s="160"/>
      <c r="L648" s="158"/>
      <c r="M648" s="158"/>
      <c r="N648" s="158"/>
      <c r="O648" s="158"/>
      <c r="P648" s="158"/>
      <c r="Q648" s="158"/>
      <c r="R648" s="160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  <c r="AD648" s="158"/>
      <c r="AE648" s="158"/>
    </row>
    <row r="649">
      <c r="A649" s="158"/>
      <c r="B649" s="158"/>
      <c r="C649" s="158"/>
      <c r="D649" s="158"/>
      <c r="E649" s="160"/>
      <c r="F649" s="158"/>
      <c r="G649" s="158"/>
      <c r="H649" s="160"/>
      <c r="I649" s="158"/>
      <c r="J649" s="158"/>
      <c r="K649" s="160"/>
      <c r="L649" s="158"/>
      <c r="M649" s="158"/>
      <c r="N649" s="158"/>
      <c r="O649" s="158"/>
      <c r="P649" s="158"/>
      <c r="Q649" s="158"/>
      <c r="R649" s="160"/>
      <c r="S649" s="158"/>
      <c r="T649" s="158"/>
      <c r="U649" s="158"/>
      <c r="V649" s="158"/>
      <c r="W649" s="158"/>
      <c r="X649" s="158"/>
      <c r="Y649" s="158"/>
      <c r="Z649" s="158"/>
      <c r="AA649" s="158"/>
      <c r="AB649" s="158"/>
      <c r="AC649" s="158"/>
      <c r="AD649" s="158"/>
      <c r="AE649" s="158"/>
    </row>
    <row r="650">
      <c r="A650" s="158"/>
      <c r="B650" s="158"/>
      <c r="C650" s="158"/>
      <c r="D650" s="158"/>
      <c r="E650" s="160"/>
      <c r="F650" s="158"/>
      <c r="G650" s="158"/>
      <c r="H650" s="160"/>
      <c r="I650" s="158"/>
      <c r="J650" s="158"/>
      <c r="K650" s="160"/>
      <c r="L650" s="158"/>
      <c r="M650" s="158"/>
      <c r="N650" s="158"/>
      <c r="O650" s="158"/>
      <c r="P650" s="158"/>
      <c r="Q650" s="158"/>
      <c r="R650" s="160"/>
      <c r="S650" s="158"/>
      <c r="T650" s="158"/>
      <c r="U650" s="158"/>
      <c r="V650" s="158"/>
      <c r="W650" s="158"/>
      <c r="X650" s="158"/>
      <c r="Y650" s="158"/>
      <c r="Z650" s="158"/>
      <c r="AA650" s="158"/>
      <c r="AB650" s="158"/>
      <c r="AC650" s="158"/>
      <c r="AD650" s="158"/>
      <c r="AE650" s="158"/>
    </row>
    <row r="651">
      <c r="A651" s="158"/>
      <c r="B651" s="158"/>
      <c r="C651" s="158"/>
      <c r="D651" s="158"/>
      <c r="E651" s="160"/>
      <c r="F651" s="158"/>
      <c r="G651" s="158"/>
      <c r="H651" s="160"/>
      <c r="I651" s="158"/>
      <c r="J651" s="158"/>
      <c r="K651" s="160"/>
      <c r="L651" s="158"/>
      <c r="M651" s="158"/>
      <c r="N651" s="158"/>
      <c r="O651" s="158"/>
      <c r="P651" s="158"/>
      <c r="Q651" s="158"/>
      <c r="R651" s="160"/>
      <c r="S651" s="158"/>
      <c r="T651" s="158"/>
      <c r="U651" s="158"/>
      <c r="V651" s="158"/>
      <c r="W651" s="158"/>
      <c r="X651" s="158"/>
      <c r="Y651" s="158"/>
      <c r="Z651" s="158"/>
      <c r="AA651" s="158"/>
      <c r="AB651" s="158"/>
      <c r="AC651" s="158"/>
      <c r="AD651" s="158"/>
      <c r="AE651" s="158"/>
    </row>
    <row r="652">
      <c r="A652" s="158"/>
      <c r="B652" s="158"/>
      <c r="C652" s="158"/>
      <c r="D652" s="158"/>
      <c r="E652" s="160"/>
      <c r="F652" s="158"/>
      <c r="G652" s="158"/>
      <c r="H652" s="160"/>
      <c r="I652" s="158"/>
      <c r="J652" s="158"/>
      <c r="K652" s="160"/>
      <c r="L652" s="158"/>
      <c r="M652" s="158"/>
      <c r="N652" s="158"/>
      <c r="O652" s="158"/>
      <c r="P652" s="158"/>
      <c r="Q652" s="158"/>
      <c r="R652" s="160"/>
      <c r="S652" s="158"/>
      <c r="T652" s="158"/>
      <c r="U652" s="158"/>
      <c r="V652" s="158"/>
      <c r="W652" s="158"/>
      <c r="X652" s="158"/>
      <c r="Y652" s="158"/>
      <c r="Z652" s="158"/>
      <c r="AA652" s="158"/>
      <c r="AB652" s="158"/>
      <c r="AC652" s="158"/>
      <c r="AD652" s="158"/>
      <c r="AE652" s="158"/>
    </row>
    <row r="653">
      <c r="A653" s="158"/>
      <c r="B653" s="158"/>
      <c r="C653" s="158"/>
      <c r="D653" s="158"/>
      <c r="E653" s="160"/>
      <c r="F653" s="158"/>
      <c r="G653" s="158"/>
      <c r="H653" s="160"/>
      <c r="I653" s="158"/>
      <c r="J653" s="158"/>
      <c r="K653" s="160"/>
      <c r="L653" s="158"/>
      <c r="M653" s="158"/>
      <c r="N653" s="158"/>
      <c r="O653" s="158"/>
      <c r="P653" s="158"/>
      <c r="Q653" s="158"/>
      <c r="R653" s="160"/>
      <c r="S653" s="158"/>
      <c r="T653" s="158"/>
      <c r="U653" s="158"/>
      <c r="V653" s="158"/>
      <c r="W653" s="158"/>
      <c r="X653" s="158"/>
      <c r="Y653" s="158"/>
      <c r="Z653" s="158"/>
      <c r="AA653" s="158"/>
      <c r="AB653" s="158"/>
      <c r="AC653" s="158"/>
      <c r="AD653" s="158"/>
      <c r="AE653" s="158"/>
    </row>
    <row r="654">
      <c r="A654" s="158"/>
      <c r="B654" s="158"/>
      <c r="C654" s="158"/>
      <c r="D654" s="158"/>
      <c r="E654" s="160"/>
      <c r="F654" s="158"/>
      <c r="G654" s="158"/>
      <c r="H654" s="160"/>
      <c r="I654" s="158"/>
      <c r="J654" s="158"/>
      <c r="K654" s="160"/>
      <c r="L654" s="158"/>
      <c r="M654" s="158"/>
      <c r="N654" s="158"/>
      <c r="O654" s="158"/>
      <c r="P654" s="158"/>
      <c r="Q654" s="158"/>
      <c r="R654" s="160"/>
      <c r="S654" s="158"/>
      <c r="T654" s="158"/>
      <c r="U654" s="158"/>
      <c r="V654" s="158"/>
      <c r="W654" s="158"/>
      <c r="X654" s="158"/>
      <c r="Y654" s="158"/>
      <c r="Z654" s="158"/>
      <c r="AA654" s="158"/>
      <c r="AB654" s="158"/>
      <c r="AC654" s="158"/>
      <c r="AD654" s="158"/>
      <c r="AE654" s="158"/>
    </row>
    <row r="655">
      <c r="A655" s="158"/>
      <c r="B655" s="158"/>
      <c r="C655" s="158"/>
      <c r="D655" s="158"/>
      <c r="E655" s="160"/>
      <c r="F655" s="158"/>
      <c r="G655" s="158"/>
      <c r="H655" s="160"/>
      <c r="I655" s="158"/>
      <c r="J655" s="158"/>
      <c r="K655" s="160"/>
      <c r="L655" s="158"/>
      <c r="M655" s="158"/>
      <c r="N655" s="158"/>
      <c r="O655" s="158"/>
      <c r="P655" s="158"/>
      <c r="Q655" s="158"/>
      <c r="R655" s="160"/>
      <c r="S655" s="158"/>
      <c r="T655" s="158"/>
      <c r="U655" s="158"/>
      <c r="V655" s="158"/>
      <c r="W655" s="158"/>
      <c r="X655" s="158"/>
      <c r="Y655" s="158"/>
      <c r="Z655" s="158"/>
      <c r="AA655" s="158"/>
      <c r="AB655" s="158"/>
      <c r="AC655" s="158"/>
      <c r="AD655" s="158"/>
      <c r="AE655" s="158"/>
    </row>
    <row r="656">
      <c r="A656" s="158"/>
      <c r="B656" s="158"/>
      <c r="C656" s="158"/>
      <c r="D656" s="158"/>
      <c r="E656" s="160"/>
      <c r="F656" s="158"/>
      <c r="G656" s="158"/>
      <c r="H656" s="160"/>
      <c r="I656" s="158"/>
      <c r="J656" s="158"/>
      <c r="K656" s="160"/>
      <c r="L656" s="158"/>
      <c r="M656" s="158"/>
      <c r="N656" s="158"/>
      <c r="O656" s="158"/>
      <c r="P656" s="158"/>
      <c r="Q656" s="158"/>
      <c r="R656" s="160"/>
      <c r="S656" s="158"/>
      <c r="T656" s="158"/>
      <c r="U656" s="158"/>
      <c r="V656" s="158"/>
      <c r="W656" s="158"/>
      <c r="X656" s="158"/>
      <c r="Y656" s="158"/>
      <c r="Z656" s="158"/>
      <c r="AA656" s="158"/>
      <c r="AB656" s="158"/>
      <c r="AC656" s="158"/>
      <c r="AD656" s="158"/>
      <c r="AE656" s="158"/>
    </row>
    <row r="657">
      <c r="A657" s="158"/>
      <c r="B657" s="158"/>
      <c r="C657" s="158"/>
      <c r="D657" s="158"/>
      <c r="E657" s="160"/>
      <c r="F657" s="158"/>
      <c r="G657" s="158"/>
      <c r="H657" s="160"/>
      <c r="I657" s="158"/>
      <c r="J657" s="158"/>
      <c r="K657" s="160"/>
      <c r="L657" s="158"/>
      <c r="M657" s="158"/>
      <c r="N657" s="158"/>
      <c r="O657" s="158"/>
      <c r="P657" s="158"/>
      <c r="Q657" s="158"/>
      <c r="R657" s="160"/>
      <c r="S657" s="158"/>
      <c r="T657" s="158"/>
      <c r="U657" s="158"/>
      <c r="V657" s="158"/>
      <c r="W657" s="158"/>
      <c r="X657" s="158"/>
      <c r="Y657" s="158"/>
      <c r="Z657" s="158"/>
      <c r="AA657" s="158"/>
      <c r="AB657" s="158"/>
      <c r="AC657" s="158"/>
      <c r="AD657" s="158"/>
      <c r="AE657" s="158"/>
    </row>
    <row r="658">
      <c r="A658" s="158"/>
      <c r="B658" s="158"/>
      <c r="C658" s="158"/>
      <c r="D658" s="158"/>
      <c r="E658" s="160"/>
      <c r="F658" s="158"/>
      <c r="G658" s="158"/>
      <c r="H658" s="160"/>
      <c r="I658" s="158"/>
      <c r="J658" s="158"/>
      <c r="K658" s="160"/>
      <c r="L658" s="158"/>
      <c r="M658" s="158"/>
      <c r="N658" s="158"/>
      <c r="O658" s="158"/>
      <c r="P658" s="158"/>
      <c r="Q658" s="158"/>
      <c r="R658" s="160"/>
      <c r="S658" s="158"/>
      <c r="T658" s="158"/>
      <c r="U658" s="158"/>
      <c r="V658" s="158"/>
      <c r="W658" s="158"/>
      <c r="X658" s="158"/>
      <c r="Y658" s="158"/>
      <c r="Z658" s="158"/>
      <c r="AA658" s="158"/>
      <c r="AB658" s="158"/>
      <c r="AC658" s="158"/>
      <c r="AD658" s="158"/>
      <c r="AE658" s="158"/>
    </row>
    <row r="659">
      <c r="A659" s="158"/>
      <c r="B659" s="158"/>
      <c r="C659" s="158"/>
      <c r="D659" s="158"/>
      <c r="E659" s="160"/>
      <c r="F659" s="158"/>
      <c r="G659" s="158"/>
      <c r="H659" s="160"/>
      <c r="I659" s="158"/>
      <c r="J659" s="158"/>
      <c r="K659" s="160"/>
      <c r="L659" s="158"/>
      <c r="M659" s="158"/>
      <c r="N659" s="158"/>
      <c r="O659" s="158"/>
      <c r="P659" s="158"/>
      <c r="Q659" s="158"/>
      <c r="R659" s="160"/>
      <c r="S659" s="158"/>
      <c r="T659" s="158"/>
      <c r="U659" s="158"/>
      <c r="V659" s="158"/>
      <c r="W659" s="158"/>
      <c r="X659" s="158"/>
      <c r="Y659" s="158"/>
      <c r="Z659" s="158"/>
      <c r="AA659" s="158"/>
      <c r="AB659" s="158"/>
      <c r="AC659" s="158"/>
      <c r="AD659" s="158"/>
      <c r="AE659" s="158"/>
    </row>
    <row r="660">
      <c r="A660" s="158"/>
      <c r="B660" s="158"/>
      <c r="C660" s="158"/>
      <c r="D660" s="158"/>
      <c r="E660" s="160"/>
      <c r="F660" s="158"/>
      <c r="G660" s="158"/>
      <c r="H660" s="160"/>
      <c r="I660" s="158"/>
      <c r="J660" s="158"/>
      <c r="K660" s="160"/>
      <c r="L660" s="158"/>
      <c r="M660" s="158"/>
      <c r="N660" s="158"/>
      <c r="O660" s="158"/>
      <c r="P660" s="158"/>
      <c r="Q660" s="158"/>
      <c r="R660" s="160"/>
      <c r="S660" s="158"/>
      <c r="T660" s="158"/>
      <c r="U660" s="158"/>
      <c r="V660" s="158"/>
      <c r="W660" s="158"/>
      <c r="X660" s="158"/>
      <c r="Y660" s="158"/>
      <c r="Z660" s="158"/>
      <c r="AA660" s="158"/>
      <c r="AB660" s="158"/>
      <c r="AC660" s="158"/>
      <c r="AD660" s="158"/>
      <c r="AE660" s="158"/>
    </row>
    <row r="661">
      <c r="A661" s="158"/>
      <c r="B661" s="158"/>
      <c r="C661" s="158"/>
      <c r="D661" s="158"/>
      <c r="E661" s="160"/>
      <c r="F661" s="158"/>
      <c r="G661" s="158"/>
      <c r="H661" s="160"/>
      <c r="I661" s="158"/>
      <c r="J661" s="158"/>
      <c r="K661" s="160"/>
      <c r="L661" s="158"/>
      <c r="M661" s="158"/>
      <c r="N661" s="158"/>
      <c r="O661" s="158"/>
      <c r="P661" s="158"/>
      <c r="Q661" s="158"/>
      <c r="R661" s="160"/>
      <c r="S661" s="158"/>
      <c r="T661" s="158"/>
      <c r="U661" s="158"/>
      <c r="V661" s="158"/>
      <c r="W661" s="158"/>
      <c r="X661" s="158"/>
      <c r="Y661" s="158"/>
      <c r="Z661" s="158"/>
      <c r="AA661" s="158"/>
      <c r="AB661" s="158"/>
      <c r="AC661" s="158"/>
      <c r="AD661" s="158"/>
      <c r="AE661" s="158"/>
    </row>
    <row r="662">
      <c r="A662" s="158"/>
      <c r="B662" s="158"/>
      <c r="C662" s="158"/>
      <c r="D662" s="158"/>
      <c r="E662" s="160"/>
      <c r="F662" s="158"/>
      <c r="G662" s="158"/>
      <c r="H662" s="160"/>
      <c r="I662" s="158"/>
      <c r="J662" s="158"/>
      <c r="K662" s="160"/>
      <c r="L662" s="158"/>
      <c r="M662" s="158"/>
      <c r="N662" s="158"/>
      <c r="O662" s="158"/>
      <c r="P662" s="158"/>
      <c r="Q662" s="158"/>
      <c r="R662" s="160"/>
      <c r="S662" s="158"/>
      <c r="T662" s="158"/>
      <c r="U662" s="158"/>
      <c r="V662" s="158"/>
      <c r="W662" s="158"/>
      <c r="X662" s="158"/>
      <c r="Y662" s="158"/>
      <c r="Z662" s="158"/>
      <c r="AA662" s="158"/>
      <c r="AB662" s="158"/>
      <c r="AC662" s="158"/>
      <c r="AD662" s="158"/>
      <c r="AE662" s="158"/>
    </row>
    <row r="663">
      <c r="A663" s="158"/>
      <c r="B663" s="158"/>
      <c r="C663" s="158"/>
      <c r="D663" s="158"/>
      <c r="E663" s="160"/>
      <c r="F663" s="158"/>
      <c r="G663" s="158"/>
      <c r="H663" s="160"/>
      <c r="I663" s="158"/>
      <c r="J663" s="158"/>
      <c r="K663" s="160"/>
      <c r="L663" s="158"/>
      <c r="M663" s="158"/>
      <c r="N663" s="158"/>
      <c r="O663" s="158"/>
      <c r="P663" s="158"/>
      <c r="Q663" s="158"/>
      <c r="R663" s="160"/>
      <c r="S663" s="158"/>
      <c r="T663" s="158"/>
      <c r="U663" s="158"/>
      <c r="V663" s="158"/>
      <c r="W663" s="158"/>
      <c r="X663" s="158"/>
      <c r="Y663" s="158"/>
      <c r="Z663" s="158"/>
      <c r="AA663" s="158"/>
      <c r="AB663" s="158"/>
      <c r="AC663" s="158"/>
      <c r="AD663" s="158"/>
      <c r="AE663" s="158"/>
    </row>
    <row r="664">
      <c r="A664" s="158"/>
      <c r="B664" s="158"/>
      <c r="C664" s="158"/>
      <c r="D664" s="158"/>
      <c r="E664" s="160"/>
      <c r="F664" s="158"/>
      <c r="G664" s="158"/>
      <c r="H664" s="160"/>
      <c r="I664" s="158"/>
      <c r="J664" s="158"/>
      <c r="K664" s="160"/>
      <c r="L664" s="158"/>
      <c r="M664" s="158"/>
      <c r="N664" s="158"/>
      <c r="O664" s="158"/>
      <c r="P664" s="158"/>
      <c r="Q664" s="158"/>
      <c r="R664" s="160"/>
      <c r="S664" s="158"/>
      <c r="T664" s="158"/>
      <c r="U664" s="158"/>
      <c r="V664" s="158"/>
      <c r="W664" s="158"/>
      <c r="X664" s="158"/>
      <c r="Y664" s="158"/>
      <c r="Z664" s="158"/>
      <c r="AA664" s="158"/>
      <c r="AB664" s="158"/>
      <c r="AC664" s="158"/>
      <c r="AD664" s="158"/>
      <c r="AE664" s="158"/>
    </row>
    <row r="665">
      <c r="A665" s="158"/>
      <c r="B665" s="158"/>
      <c r="C665" s="158"/>
      <c r="D665" s="158"/>
      <c r="E665" s="160"/>
      <c r="F665" s="158"/>
      <c r="G665" s="158"/>
      <c r="H665" s="160"/>
      <c r="I665" s="158"/>
      <c r="J665" s="158"/>
      <c r="K665" s="160"/>
      <c r="L665" s="158"/>
      <c r="M665" s="158"/>
      <c r="N665" s="158"/>
      <c r="O665" s="158"/>
      <c r="P665" s="158"/>
      <c r="Q665" s="158"/>
      <c r="R665" s="160"/>
      <c r="S665" s="158"/>
      <c r="T665" s="158"/>
      <c r="U665" s="158"/>
      <c r="V665" s="158"/>
      <c r="W665" s="158"/>
      <c r="X665" s="158"/>
      <c r="Y665" s="158"/>
      <c r="Z665" s="158"/>
      <c r="AA665" s="158"/>
      <c r="AB665" s="158"/>
      <c r="AC665" s="158"/>
      <c r="AD665" s="158"/>
      <c r="AE665" s="158"/>
    </row>
    <row r="666">
      <c r="A666" s="158"/>
      <c r="B666" s="158"/>
      <c r="C666" s="158"/>
      <c r="D666" s="158"/>
      <c r="E666" s="160"/>
      <c r="F666" s="158"/>
      <c r="G666" s="158"/>
      <c r="H666" s="160"/>
      <c r="I666" s="158"/>
      <c r="J666" s="158"/>
      <c r="K666" s="160"/>
      <c r="L666" s="158"/>
      <c r="M666" s="158"/>
      <c r="N666" s="158"/>
      <c r="O666" s="158"/>
      <c r="P666" s="158"/>
      <c r="Q666" s="158"/>
      <c r="R666" s="160"/>
      <c r="S666" s="158"/>
      <c r="T666" s="158"/>
      <c r="U666" s="158"/>
      <c r="V666" s="158"/>
      <c r="W666" s="158"/>
      <c r="X666" s="158"/>
      <c r="Y666" s="158"/>
      <c r="Z666" s="158"/>
      <c r="AA666" s="158"/>
      <c r="AB666" s="158"/>
      <c r="AC666" s="158"/>
      <c r="AD666" s="158"/>
      <c r="AE666" s="158"/>
    </row>
    <row r="667">
      <c r="A667" s="158"/>
      <c r="B667" s="158"/>
      <c r="C667" s="158"/>
      <c r="D667" s="158"/>
      <c r="E667" s="160"/>
      <c r="F667" s="158"/>
      <c r="G667" s="158"/>
      <c r="H667" s="160"/>
      <c r="I667" s="158"/>
      <c r="J667" s="158"/>
      <c r="K667" s="160"/>
      <c r="L667" s="158"/>
      <c r="M667" s="158"/>
      <c r="N667" s="158"/>
      <c r="O667" s="158"/>
      <c r="P667" s="158"/>
      <c r="Q667" s="158"/>
      <c r="R667" s="160"/>
      <c r="S667" s="158"/>
      <c r="T667" s="158"/>
      <c r="U667" s="158"/>
      <c r="V667" s="158"/>
      <c r="W667" s="158"/>
      <c r="X667" s="158"/>
      <c r="Y667" s="158"/>
      <c r="Z667" s="158"/>
      <c r="AA667" s="158"/>
      <c r="AB667" s="158"/>
      <c r="AC667" s="158"/>
      <c r="AD667" s="158"/>
      <c r="AE667" s="158"/>
    </row>
    <row r="668">
      <c r="A668" s="158"/>
      <c r="B668" s="158"/>
      <c r="C668" s="158"/>
      <c r="D668" s="158"/>
      <c r="E668" s="160"/>
      <c r="F668" s="158"/>
      <c r="G668" s="158"/>
      <c r="H668" s="160"/>
      <c r="I668" s="158"/>
      <c r="J668" s="158"/>
      <c r="K668" s="160"/>
      <c r="L668" s="158"/>
      <c r="M668" s="158"/>
      <c r="N668" s="158"/>
      <c r="O668" s="158"/>
      <c r="P668" s="158"/>
      <c r="Q668" s="158"/>
      <c r="R668" s="160"/>
      <c r="S668" s="158"/>
      <c r="T668" s="158"/>
      <c r="U668" s="158"/>
      <c r="V668" s="158"/>
      <c r="W668" s="158"/>
      <c r="X668" s="158"/>
      <c r="Y668" s="158"/>
      <c r="Z668" s="158"/>
      <c r="AA668" s="158"/>
      <c r="AB668" s="158"/>
      <c r="AC668" s="158"/>
      <c r="AD668" s="158"/>
      <c r="AE668" s="158"/>
    </row>
    <row r="669">
      <c r="A669" s="158"/>
      <c r="B669" s="158"/>
      <c r="C669" s="158"/>
      <c r="D669" s="158"/>
      <c r="E669" s="160"/>
      <c r="F669" s="158"/>
      <c r="G669" s="158"/>
      <c r="H669" s="160"/>
      <c r="I669" s="158"/>
      <c r="J669" s="158"/>
      <c r="K669" s="160"/>
      <c r="L669" s="158"/>
      <c r="M669" s="158"/>
      <c r="N669" s="158"/>
      <c r="O669" s="158"/>
      <c r="P669" s="158"/>
      <c r="Q669" s="158"/>
      <c r="R669" s="160"/>
      <c r="S669" s="158"/>
      <c r="T669" s="158"/>
      <c r="U669" s="158"/>
      <c r="V669" s="158"/>
      <c r="W669" s="158"/>
      <c r="X669" s="158"/>
      <c r="Y669" s="158"/>
      <c r="Z669" s="158"/>
      <c r="AA669" s="158"/>
      <c r="AB669" s="158"/>
      <c r="AC669" s="158"/>
      <c r="AD669" s="158"/>
      <c r="AE669" s="158"/>
    </row>
    <row r="670">
      <c r="A670" s="158"/>
      <c r="B670" s="158"/>
      <c r="C670" s="158"/>
      <c r="D670" s="158"/>
      <c r="E670" s="160"/>
      <c r="F670" s="158"/>
      <c r="G670" s="158"/>
      <c r="H670" s="160"/>
      <c r="I670" s="158"/>
      <c r="J670" s="158"/>
      <c r="K670" s="160"/>
      <c r="L670" s="158"/>
      <c r="M670" s="158"/>
      <c r="N670" s="158"/>
      <c r="O670" s="158"/>
      <c r="P670" s="158"/>
      <c r="Q670" s="158"/>
      <c r="R670" s="160"/>
      <c r="S670" s="158"/>
      <c r="T670" s="158"/>
      <c r="U670" s="158"/>
      <c r="V670" s="158"/>
      <c r="W670" s="158"/>
      <c r="X670" s="158"/>
      <c r="Y670" s="158"/>
      <c r="Z670" s="158"/>
      <c r="AA670" s="158"/>
      <c r="AB670" s="158"/>
      <c r="AC670" s="158"/>
      <c r="AD670" s="158"/>
      <c r="AE670" s="158"/>
    </row>
    <row r="671">
      <c r="A671" s="158"/>
      <c r="B671" s="158"/>
      <c r="C671" s="158"/>
      <c r="D671" s="158"/>
      <c r="E671" s="160"/>
      <c r="F671" s="158"/>
      <c r="G671" s="158"/>
      <c r="H671" s="160"/>
      <c r="I671" s="158"/>
      <c r="J671" s="158"/>
      <c r="K671" s="160"/>
      <c r="L671" s="158"/>
      <c r="M671" s="158"/>
      <c r="N671" s="158"/>
      <c r="O671" s="158"/>
      <c r="P671" s="158"/>
      <c r="Q671" s="158"/>
      <c r="R671" s="160"/>
      <c r="S671" s="158"/>
      <c r="T671" s="158"/>
      <c r="U671" s="158"/>
      <c r="V671" s="158"/>
      <c r="W671" s="158"/>
      <c r="X671" s="158"/>
      <c r="Y671" s="158"/>
      <c r="Z671" s="158"/>
      <c r="AA671" s="158"/>
      <c r="AB671" s="158"/>
      <c r="AC671" s="158"/>
      <c r="AD671" s="158"/>
      <c r="AE671" s="158"/>
    </row>
    <row r="672">
      <c r="A672" s="158"/>
      <c r="B672" s="158"/>
      <c r="C672" s="158"/>
      <c r="D672" s="158"/>
      <c r="E672" s="160"/>
      <c r="F672" s="158"/>
      <c r="G672" s="158"/>
      <c r="H672" s="160"/>
      <c r="I672" s="158"/>
      <c r="J672" s="158"/>
      <c r="K672" s="160"/>
      <c r="L672" s="158"/>
      <c r="M672" s="158"/>
      <c r="N672" s="158"/>
      <c r="O672" s="158"/>
      <c r="P672" s="158"/>
      <c r="Q672" s="158"/>
      <c r="R672" s="160"/>
      <c r="S672" s="158"/>
      <c r="T672" s="158"/>
      <c r="U672" s="158"/>
      <c r="V672" s="158"/>
      <c r="W672" s="158"/>
      <c r="X672" s="158"/>
      <c r="Y672" s="158"/>
      <c r="Z672" s="158"/>
      <c r="AA672" s="158"/>
      <c r="AB672" s="158"/>
      <c r="AC672" s="158"/>
      <c r="AD672" s="158"/>
      <c r="AE672" s="158"/>
    </row>
    <row r="673">
      <c r="A673" s="158"/>
      <c r="B673" s="158"/>
      <c r="C673" s="158"/>
      <c r="D673" s="158"/>
      <c r="E673" s="160"/>
      <c r="F673" s="158"/>
      <c r="G673" s="158"/>
      <c r="H673" s="160"/>
      <c r="I673" s="158"/>
      <c r="J673" s="158"/>
      <c r="K673" s="160"/>
      <c r="L673" s="158"/>
      <c r="M673" s="158"/>
      <c r="N673" s="158"/>
      <c r="O673" s="158"/>
      <c r="P673" s="158"/>
      <c r="Q673" s="158"/>
      <c r="R673" s="160"/>
      <c r="S673" s="158"/>
      <c r="T673" s="158"/>
      <c r="U673" s="158"/>
      <c r="V673" s="158"/>
      <c r="W673" s="158"/>
      <c r="X673" s="158"/>
      <c r="Y673" s="158"/>
      <c r="Z673" s="158"/>
      <c r="AA673" s="158"/>
      <c r="AB673" s="158"/>
      <c r="AC673" s="158"/>
      <c r="AD673" s="158"/>
      <c r="AE673" s="158"/>
    </row>
    <row r="674">
      <c r="A674" s="158"/>
      <c r="B674" s="158"/>
      <c r="C674" s="158"/>
      <c r="D674" s="158"/>
      <c r="E674" s="160"/>
      <c r="F674" s="158"/>
      <c r="G674" s="158"/>
      <c r="H674" s="160"/>
      <c r="I674" s="158"/>
      <c r="J674" s="158"/>
      <c r="K674" s="160"/>
      <c r="L674" s="158"/>
      <c r="M674" s="158"/>
      <c r="N674" s="158"/>
      <c r="O674" s="158"/>
      <c r="P674" s="158"/>
      <c r="Q674" s="158"/>
      <c r="R674" s="160"/>
      <c r="S674" s="158"/>
      <c r="T674" s="158"/>
      <c r="U674" s="158"/>
      <c r="V674" s="158"/>
      <c r="W674" s="158"/>
      <c r="X674" s="158"/>
      <c r="Y674" s="158"/>
      <c r="Z674" s="158"/>
      <c r="AA674" s="158"/>
      <c r="AB674" s="158"/>
      <c r="AC674" s="158"/>
      <c r="AD674" s="158"/>
      <c r="AE674" s="158"/>
    </row>
    <row r="675">
      <c r="A675" s="158"/>
      <c r="B675" s="158"/>
      <c r="C675" s="158"/>
      <c r="D675" s="158"/>
      <c r="E675" s="160"/>
      <c r="F675" s="158"/>
      <c r="G675" s="158"/>
      <c r="H675" s="160"/>
      <c r="I675" s="158"/>
      <c r="J675" s="158"/>
      <c r="K675" s="160"/>
      <c r="L675" s="158"/>
      <c r="M675" s="158"/>
      <c r="N675" s="158"/>
      <c r="O675" s="158"/>
      <c r="P675" s="158"/>
      <c r="Q675" s="158"/>
      <c r="R675" s="160"/>
      <c r="S675" s="158"/>
      <c r="T675" s="158"/>
      <c r="U675" s="158"/>
      <c r="V675" s="158"/>
      <c r="W675" s="158"/>
      <c r="X675" s="158"/>
      <c r="Y675" s="158"/>
      <c r="Z675" s="158"/>
      <c r="AA675" s="158"/>
      <c r="AB675" s="158"/>
      <c r="AC675" s="158"/>
      <c r="AD675" s="158"/>
      <c r="AE675" s="158"/>
    </row>
    <row r="676">
      <c r="A676" s="158"/>
      <c r="B676" s="158"/>
      <c r="C676" s="158"/>
      <c r="D676" s="158"/>
      <c r="E676" s="160"/>
      <c r="F676" s="158"/>
      <c r="G676" s="158"/>
      <c r="H676" s="160"/>
      <c r="I676" s="158"/>
      <c r="J676" s="158"/>
      <c r="K676" s="160"/>
      <c r="L676" s="158"/>
      <c r="M676" s="158"/>
      <c r="N676" s="158"/>
      <c r="O676" s="158"/>
      <c r="P676" s="158"/>
      <c r="Q676" s="158"/>
      <c r="R676" s="160"/>
      <c r="S676" s="158"/>
      <c r="T676" s="158"/>
      <c r="U676" s="158"/>
      <c r="V676" s="158"/>
      <c r="W676" s="158"/>
      <c r="X676" s="158"/>
      <c r="Y676" s="158"/>
      <c r="Z676" s="158"/>
      <c r="AA676" s="158"/>
      <c r="AB676" s="158"/>
      <c r="AC676" s="158"/>
      <c r="AD676" s="158"/>
      <c r="AE676" s="158"/>
    </row>
    <row r="677">
      <c r="A677" s="158"/>
      <c r="B677" s="158"/>
      <c r="C677" s="158"/>
      <c r="D677" s="158"/>
      <c r="E677" s="160"/>
      <c r="F677" s="158"/>
      <c r="G677" s="158"/>
      <c r="H677" s="160"/>
      <c r="I677" s="158"/>
      <c r="J677" s="158"/>
      <c r="K677" s="160"/>
      <c r="L677" s="158"/>
      <c r="M677" s="158"/>
      <c r="N677" s="158"/>
      <c r="O677" s="158"/>
      <c r="P677" s="158"/>
      <c r="Q677" s="158"/>
      <c r="R677" s="160"/>
      <c r="S677" s="158"/>
      <c r="T677" s="158"/>
      <c r="U677" s="158"/>
      <c r="V677" s="158"/>
      <c r="W677" s="158"/>
      <c r="X677" s="158"/>
      <c r="Y677" s="158"/>
      <c r="Z677" s="158"/>
      <c r="AA677" s="158"/>
      <c r="AB677" s="158"/>
      <c r="AC677" s="158"/>
      <c r="AD677" s="158"/>
      <c r="AE677" s="158"/>
    </row>
    <row r="678">
      <c r="A678" s="158"/>
      <c r="B678" s="158"/>
      <c r="C678" s="158"/>
      <c r="D678" s="158"/>
      <c r="E678" s="160"/>
      <c r="F678" s="158"/>
      <c r="G678" s="158"/>
      <c r="H678" s="160"/>
      <c r="I678" s="158"/>
      <c r="J678" s="158"/>
      <c r="K678" s="160"/>
      <c r="L678" s="158"/>
      <c r="M678" s="158"/>
      <c r="N678" s="158"/>
      <c r="O678" s="158"/>
      <c r="P678" s="158"/>
      <c r="Q678" s="158"/>
      <c r="R678" s="160"/>
      <c r="S678" s="158"/>
      <c r="T678" s="158"/>
      <c r="U678" s="158"/>
      <c r="V678" s="158"/>
      <c r="W678" s="158"/>
      <c r="X678" s="158"/>
      <c r="Y678" s="158"/>
      <c r="Z678" s="158"/>
      <c r="AA678" s="158"/>
      <c r="AB678" s="158"/>
      <c r="AC678" s="158"/>
      <c r="AD678" s="158"/>
      <c r="AE678" s="158"/>
    </row>
    <row r="679">
      <c r="A679" s="158"/>
      <c r="B679" s="158"/>
      <c r="C679" s="158"/>
      <c r="D679" s="158"/>
      <c r="E679" s="160"/>
      <c r="F679" s="158"/>
      <c r="G679" s="158"/>
      <c r="H679" s="160"/>
      <c r="I679" s="158"/>
      <c r="J679" s="158"/>
      <c r="K679" s="160"/>
      <c r="L679" s="158"/>
      <c r="M679" s="158"/>
      <c r="N679" s="158"/>
      <c r="O679" s="158"/>
      <c r="P679" s="158"/>
      <c r="Q679" s="158"/>
      <c r="R679" s="160"/>
      <c r="S679" s="158"/>
      <c r="T679" s="158"/>
      <c r="U679" s="158"/>
      <c r="V679" s="158"/>
      <c r="W679" s="158"/>
      <c r="X679" s="158"/>
      <c r="Y679" s="158"/>
      <c r="Z679" s="158"/>
      <c r="AA679" s="158"/>
      <c r="AB679" s="158"/>
      <c r="AC679" s="158"/>
      <c r="AD679" s="158"/>
      <c r="AE679" s="158"/>
    </row>
    <row r="680">
      <c r="A680" s="158"/>
      <c r="B680" s="158"/>
      <c r="C680" s="158"/>
      <c r="D680" s="158"/>
      <c r="E680" s="160"/>
      <c r="F680" s="158"/>
      <c r="G680" s="158"/>
      <c r="H680" s="160"/>
      <c r="I680" s="158"/>
      <c r="J680" s="158"/>
      <c r="K680" s="160"/>
      <c r="L680" s="158"/>
      <c r="M680" s="158"/>
      <c r="N680" s="158"/>
      <c r="O680" s="158"/>
      <c r="P680" s="158"/>
      <c r="Q680" s="158"/>
      <c r="R680" s="160"/>
      <c r="S680" s="158"/>
      <c r="T680" s="158"/>
      <c r="U680" s="158"/>
      <c r="V680" s="158"/>
      <c r="W680" s="158"/>
      <c r="X680" s="158"/>
      <c r="Y680" s="158"/>
      <c r="Z680" s="158"/>
      <c r="AA680" s="158"/>
      <c r="AB680" s="158"/>
      <c r="AC680" s="158"/>
      <c r="AD680" s="158"/>
      <c r="AE680" s="158"/>
    </row>
    <row r="681">
      <c r="A681" s="158"/>
      <c r="B681" s="158"/>
      <c r="C681" s="158"/>
      <c r="D681" s="158"/>
      <c r="E681" s="160"/>
      <c r="F681" s="158"/>
      <c r="G681" s="158"/>
      <c r="H681" s="160"/>
      <c r="I681" s="158"/>
      <c r="J681" s="158"/>
      <c r="K681" s="160"/>
      <c r="L681" s="158"/>
      <c r="M681" s="158"/>
      <c r="N681" s="158"/>
      <c r="O681" s="158"/>
      <c r="P681" s="158"/>
      <c r="Q681" s="158"/>
      <c r="R681" s="160"/>
      <c r="S681" s="158"/>
      <c r="T681" s="158"/>
      <c r="U681" s="158"/>
      <c r="V681" s="158"/>
      <c r="W681" s="158"/>
      <c r="X681" s="158"/>
      <c r="Y681" s="158"/>
      <c r="Z681" s="158"/>
      <c r="AA681" s="158"/>
      <c r="AB681" s="158"/>
      <c r="AC681" s="158"/>
      <c r="AD681" s="158"/>
      <c r="AE681" s="158"/>
    </row>
    <row r="682">
      <c r="A682" s="158"/>
      <c r="B682" s="158"/>
      <c r="C682" s="158"/>
      <c r="D682" s="158"/>
      <c r="E682" s="160"/>
      <c r="F682" s="158"/>
      <c r="G682" s="158"/>
      <c r="H682" s="160"/>
      <c r="I682" s="158"/>
      <c r="J682" s="158"/>
      <c r="K682" s="160"/>
      <c r="L682" s="158"/>
      <c r="M682" s="158"/>
      <c r="N682" s="158"/>
      <c r="O682" s="158"/>
      <c r="P682" s="158"/>
      <c r="Q682" s="158"/>
      <c r="R682" s="160"/>
      <c r="S682" s="158"/>
      <c r="T682" s="158"/>
      <c r="U682" s="158"/>
      <c r="V682" s="158"/>
      <c r="W682" s="158"/>
      <c r="X682" s="158"/>
      <c r="Y682" s="158"/>
      <c r="Z682" s="158"/>
      <c r="AA682" s="158"/>
      <c r="AB682" s="158"/>
      <c r="AC682" s="158"/>
      <c r="AD682" s="158"/>
      <c r="AE682" s="158"/>
    </row>
    <row r="683">
      <c r="A683" s="158"/>
      <c r="B683" s="158"/>
      <c r="C683" s="158"/>
      <c r="D683" s="158"/>
      <c r="E683" s="160"/>
      <c r="F683" s="158"/>
      <c r="G683" s="158"/>
      <c r="H683" s="160"/>
      <c r="I683" s="158"/>
      <c r="J683" s="158"/>
      <c r="K683" s="160"/>
      <c r="L683" s="158"/>
      <c r="M683" s="158"/>
      <c r="N683" s="158"/>
      <c r="O683" s="158"/>
      <c r="P683" s="158"/>
      <c r="Q683" s="158"/>
      <c r="R683" s="160"/>
      <c r="S683" s="158"/>
      <c r="T683" s="158"/>
      <c r="U683" s="158"/>
      <c r="V683" s="158"/>
      <c r="W683" s="158"/>
      <c r="X683" s="158"/>
      <c r="Y683" s="158"/>
      <c r="Z683" s="158"/>
      <c r="AA683" s="158"/>
      <c r="AB683" s="158"/>
      <c r="AC683" s="158"/>
      <c r="AD683" s="158"/>
      <c r="AE683" s="158"/>
    </row>
    <row r="684">
      <c r="A684" s="158"/>
      <c r="B684" s="158"/>
      <c r="C684" s="158"/>
      <c r="D684" s="158"/>
      <c r="E684" s="160"/>
      <c r="F684" s="158"/>
      <c r="G684" s="158"/>
      <c r="H684" s="160"/>
      <c r="I684" s="158"/>
      <c r="J684" s="158"/>
      <c r="K684" s="160"/>
      <c r="L684" s="158"/>
      <c r="M684" s="158"/>
      <c r="N684" s="158"/>
      <c r="O684" s="158"/>
      <c r="P684" s="158"/>
      <c r="Q684" s="158"/>
      <c r="R684" s="160"/>
      <c r="S684" s="158"/>
      <c r="T684" s="158"/>
      <c r="U684" s="158"/>
      <c r="V684" s="158"/>
      <c r="W684" s="158"/>
      <c r="X684" s="158"/>
      <c r="Y684" s="158"/>
      <c r="Z684" s="158"/>
      <c r="AA684" s="158"/>
      <c r="AB684" s="158"/>
      <c r="AC684" s="158"/>
      <c r="AD684" s="158"/>
      <c r="AE684" s="158"/>
    </row>
    <row r="685">
      <c r="A685" s="158"/>
      <c r="B685" s="158"/>
      <c r="C685" s="158"/>
      <c r="D685" s="158"/>
      <c r="E685" s="160"/>
      <c r="F685" s="158"/>
      <c r="G685" s="158"/>
      <c r="H685" s="160"/>
      <c r="I685" s="158"/>
      <c r="J685" s="158"/>
      <c r="K685" s="160"/>
      <c r="L685" s="158"/>
      <c r="M685" s="158"/>
      <c r="N685" s="158"/>
      <c r="O685" s="158"/>
      <c r="P685" s="158"/>
      <c r="Q685" s="158"/>
      <c r="R685" s="160"/>
      <c r="S685" s="158"/>
      <c r="T685" s="158"/>
      <c r="U685" s="158"/>
      <c r="V685" s="158"/>
      <c r="W685" s="158"/>
      <c r="X685" s="158"/>
      <c r="Y685" s="158"/>
      <c r="Z685" s="158"/>
      <c r="AA685" s="158"/>
      <c r="AB685" s="158"/>
      <c r="AC685" s="158"/>
      <c r="AD685" s="158"/>
      <c r="AE685" s="158"/>
    </row>
    <row r="686">
      <c r="A686" s="158"/>
      <c r="B686" s="158"/>
      <c r="C686" s="158"/>
      <c r="D686" s="158"/>
      <c r="E686" s="160"/>
      <c r="F686" s="158"/>
      <c r="G686" s="158"/>
      <c r="H686" s="160"/>
      <c r="I686" s="158"/>
      <c r="J686" s="158"/>
      <c r="K686" s="160"/>
      <c r="L686" s="158"/>
      <c r="M686" s="158"/>
      <c r="N686" s="158"/>
      <c r="O686" s="158"/>
      <c r="P686" s="158"/>
      <c r="Q686" s="158"/>
      <c r="R686" s="160"/>
      <c r="S686" s="158"/>
      <c r="T686" s="158"/>
      <c r="U686" s="158"/>
      <c r="V686" s="158"/>
      <c r="W686" s="158"/>
      <c r="X686" s="158"/>
      <c r="Y686" s="158"/>
      <c r="Z686" s="158"/>
      <c r="AA686" s="158"/>
      <c r="AB686" s="158"/>
      <c r="AC686" s="158"/>
      <c r="AD686" s="158"/>
      <c r="AE686" s="158"/>
    </row>
    <row r="687">
      <c r="A687" s="158"/>
      <c r="B687" s="158"/>
      <c r="C687" s="158"/>
      <c r="D687" s="158"/>
      <c r="E687" s="160"/>
      <c r="F687" s="158"/>
      <c r="G687" s="158"/>
      <c r="H687" s="160"/>
      <c r="I687" s="158"/>
      <c r="J687" s="158"/>
      <c r="K687" s="160"/>
      <c r="L687" s="158"/>
      <c r="M687" s="158"/>
      <c r="N687" s="158"/>
      <c r="O687" s="158"/>
      <c r="P687" s="158"/>
      <c r="Q687" s="158"/>
      <c r="R687" s="160"/>
      <c r="S687" s="158"/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  <c r="AD687" s="158"/>
      <c r="AE687" s="158"/>
    </row>
    <row r="688">
      <c r="A688" s="158"/>
      <c r="B688" s="158"/>
      <c r="C688" s="158"/>
      <c r="D688" s="158"/>
      <c r="E688" s="160"/>
      <c r="F688" s="158"/>
      <c r="G688" s="158"/>
      <c r="H688" s="160"/>
      <c r="I688" s="158"/>
      <c r="J688" s="158"/>
      <c r="K688" s="160"/>
      <c r="L688" s="158"/>
      <c r="M688" s="158"/>
      <c r="N688" s="158"/>
      <c r="O688" s="158"/>
      <c r="P688" s="158"/>
      <c r="Q688" s="158"/>
      <c r="R688" s="160"/>
      <c r="S688" s="158"/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  <c r="AD688" s="158"/>
      <c r="AE688" s="158"/>
    </row>
    <row r="689">
      <c r="A689" s="158"/>
      <c r="B689" s="158"/>
      <c r="C689" s="158"/>
      <c r="D689" s="158"/>
      <c r="E689" s="160"/>
      <c r="F689" s="158"/>
      <c r="G689" s="158"/>
      <c r="H689" s="160"/>
      <c r="I689" s="158"/>
      <c r="J689" s="158"/>
      <c r="K689" s="160"/>
      <c r="L689" s="158"/>
      <c r="M689" s="158"/>
      <c r="N689" s="158"/>
      <c r="O689" s="158"/>
      <c r="P689" s="158"/>
      <c r="Q689" s="158"/>
      <c r="R689" s="160"/>
      <c r="S689" s="158"/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  <c r="AD689" s="158"/>
      <c r="AE689" s="158"/>
    </row>
    <row r="690">
      <c r="A690" s="158"/>
      <c r="B690" s="158"/>
      <c r="C690" s="158"/>
      <c r="D690" s="158"/>
      <c r="E690" s="160"/>
      <c r="F690" s="158"/>
      <c r="G690" s="158"/>
      <c r="H690" s="160"/>
      <c r="I690" s="158"/>
      <c r="J690" s="158"/>
      <c r="K690" s="160"/>
      <c r="L690" s="158"/>
      <c r="M690" s="158"/>
      <c r="N690" s="158"/>
      <c r="O690" s="158"/>
      <c r="P690" s="158"/>
      <c r="Q690" s="158"/>
      <c r="R690" s="160"/>
      <c r="S690" s="158"/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  <c r="AD690" s="158"/>
      <c r="AE690" s="158"/>
    </row>
    <row r="691">
      <c r="A691" s="158"/>
      <c r="B691" s="158"/>
      <c r="C691" s="158"/>
      <c r="D691" s="158"/>
      <c r="E691" s="160"/>
      <c r="F691" s="158"/>
      <c r="G691" s="158"/>
      <c r="H691" s="160"/>
      <c r="I691" s="158"/>
      <c r="J691" s="158"/>
      <c r="K691" s="160"/>
      <c r="L691" s="158"/>
      <c r="M691" s="158"/>
      <c r="N691" s="158"/>
      <c r="O691" s="158"/>
      <c r="P691" s="158"/>
      <c r="Q691" s="158"/>
      <c r="R691" s="160"/>
      <c r="S691" s="158"/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  <c r="AD691" s="158"/>
      <c r="AE691" s="158"/>
    </row>
    <row r="692">
      <c r="A692" s="158"/>
      <c r="B692" s="158"/>
      <c r="C692" s="158"/>
      <c r="D692" s="158"/>
      <c r="E692" s="160"/>
      <c r="F692" s="158"/>
      <c r="G692" s="158"/>
      <c r="H692" s="160"/>
      <c r="I692" s="158"/>
      <c r="J692" s="158"/>
      <c r="K692" s="160"/>
      <c r="L692" s="158"/>
      <c r="M692" s="158"/>
      <c r="N692" s="158"/>
      <c r="O692" s="158"/>
      <c r="P692" s="158"/>
      <c r="Q692" s="158"/>
      <c r="R692" s="160"/>
      <c r="S692" s="158"/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  <c r="AD692" s="158"/>
      <c r="AE692" s="158"/>
    </row>
    <row r="693">
      <c r="A693" s="158"/>
      <c r="B693" s="158"/>
      <c r="C693" s="158"/>
      <c r="D693" s="158"/>
      <c r="E693" s="160"/>
      <c r="F693" s="158"/>
      <c r="G693" s="158"/>
      <c r="H693" s="160"/>
      <c r="I693" s="158"/>
      <c r="J693" s="158"/>
      <c r="K693" s="160"/>
      <c r="L693" s="158"/>
      <c r="M693" s="158"/>
      <c r="N693" s="158"/>
      <c r="O693" s="158"/>
      <c r="P693" s="158"/>
      <c r="Q693" s="158"/>
      <c r="R693" s="160"/>
      <c r="S693" s="158"/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  <c r="AD693" s="158"/>
      <c r="AE693" s="158"/>
    </row>
    <row r="694">
      <c r="A694" s="158"/>
      <c r="B694" s="158"/>
      <c r="C694" s="158"/>
      <c r="D694" s="158"/>
      <c r="E694" s="160"/>
      <c r="F694" s="158"/>
      <c r="G694" s="158"/>
      <c r="H694" s="160"/>
      <c r="I694" s="158"/>
      <c r="J694" s="158"/>
      <c r="K694" s="160"/>
      <c r="L694" s="158"/>
      <c r="M694" s="158"/>
      <c r="N694" s="158"/>
      <c r="O694" s="158"/>
      <c r="P694" s="158"/>
      <c r="Q694" s="158"/>
      <c r="R694" s="160"/>
      <c r="S694" s="158"/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  <c r="AD694" s="158"/>
      <c r="AE694" s="158"/>
    </row>
    <row r="695">
      <c r="A695" s="158"/>
      <c r="B695" s="158"/>
      <c r="C695" s="158"/>
      <c r="D695" s="158"/>
      <c r="E695" s="160"/>
      <c r="F695" s="158"/>
      <c r="G695" s="158"/>
      <c r="H695" s="160"/>
      <c r="I695" s="158"/>
      <c r="J695" s="158"/>
      <c r="K695" s="160"/>
      <c r="L695" s="158"/>
      <c r="M695" s="158"/>
      <c r="N695" s="158"/>
      <c r="O695" s="158"/>
      <c r="P695" s="158"/>
      <c r="Q695" s="158"/>
      <c r="R695" s="160"/>
      <c r="S695" s="158"/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  <c r="AD695" s="158"/>
      <c r="AE695" s="158"/>
    </row>
    <row r="696">
      <c r="A696" s="158"/>
      <c r="B696" s="158"/>
      <c r="C696" s="158"/>
      <c r="D696" s="158"/>
      <c r="E696" s="160"/>
      <c r="F696" s="158"/>
      <c r="G696" s="158"/>
      <c r="H696" s="160"/>
      <c r="I696" s="158"/>
      <c r="J696" s="158"/>
      <c r="K696" s="160"/>
      <c r="L696" s="158"/>
      <c r="M696" s="158"/>
      <c r="N696" s="158"/>
      <c r="O696" s="158"/>
      <c r="P696" s="158"/>
      <c r="Q696" s="158"/>
      <c r="R696" s="160"/>
      <c r="S696" s="158"/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  <c r="AD696" s="158"/>
      <c r="AE696" s="158"/>
    </row>
    <row r="697">
      <c r="A697" s="158"/>
      <c r="B697" s="158"/>
      <c r="C697" s="158"/>
      <c r="D697" s="158"/>
      <c r="E697" s="160"/>
      <c r="F697" s="158"/>
      <c r="G697" s="158"/>
      <c r="H697" s="160"/>
      <c r="I697" s="158"/>
      <c r="J697" s="158"/>
      <c r="K697" s="160"/>
      <c r="L697" s="158"/>
      <c r="M697" s="158"/>
      <c r="N697" s="158"/>
      <c r="O697" s="158"/>
      <c r="P697" s="158"/>
      <c r="Q697" s="158"/>
      <c r="R697" s="160"/>
      <c r="S697" s="158"/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  <c r="AD697" s="158"/>
      <c r="AE697" s="158"/>
    </row>
    <row r="698">
      <c r="A698" s="158"/>
      <c r="B698" s="158"/>
      <c r="C698" s="158"/>
      <c r="D698" s="158"/>
      <c r="E698" s="160"/>
      <c r="F698" s="158"/>
      <c r="G698" s="158"/>
      <c r="H698" s="160"/>
      <c r="I698" s="158"/>
      <c r="J698" s="158"/>
      <c r="K698" s="160"/>
      <c r="L698" s="158"/>
      <c r="M698" s="158"/>
      <c r="N698" s="158"/>
      <c r="O698" s="158"/>
      <c r="P698" s="158"/>
      <c r="Q698" s="158"/>
      <c r="R698" s="160"/>
      <c r="S698" s="158"/>
      <c r="T698" s="158"/>
      <c r="U698" s="158"/>
      <c r="V698" s="158"/>
      <c r="W698" s="158"/>
      <c r="X698" s="158"/>
      <c r="Y698" s="158"/>
      <c r="Z698" s="158"/>
      <c r="AA698" s="158"/>
      <c r="AB698" s="158"/>
      <c r="AC698" s="158"/>
      <c r="AD698" s="158"/>
      <c r="AE698" s="158"/>
    </row>
    <row r="699">
      <c r="A699" s="158"/>
      <c r="B699" s="158"/>
      <c r="C699" s="158"/>
      <c r="D699" s="158"/>
      <c r="E699" s="160"/>
      <c r="F699" s="158"/>
      <c r="G699" s="158"/>
      <c r="H699" s="160"/>
      <c r="I699" s="158"/>
      <c r="J699" s="158"/>
      <c r="K699" s="160"/>
      <c r="L699" s="158"/>
      <c r="M699" s="158"/>
      <c r="N699" s="158"/>
      <c r="O699" s="158"/>
      <c r="P699" s="158"/>
      <c r="Q699" s="158"/>
      <c r="R699" s="160"/>
      <c r="S699" s="158"/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  <c r="AD699" s="158"/>
      <c r="AE699" s="158"/>
    </row>
    <row r="700">
      <c r="A700" s="158"/>
      <c r="B700" s="158"/>
      <c r="C700" s="158"/>
      <c r="D700" s="158"/>
      <c r="E700" s="160"/>
      <c r="F700" s="158"/>
      <c r="G700" s="158"/>
      <c r="H700" s="160"/>
      <c r="I700" s="158"/>
      <c r="J700" s="158"/>
      <c r="K700" s="160"/>
      <c r="L700" s="158"/>
      <c r="M700" s="158"/>
      <c r="N700" s="158"/>
      <c r="O700" s="158"/>
      <c r="P700" s="158"/>
      <c r="Q700" s="158"/>
      <c r="R700" s="160"/>
      <c r="S700" s="158"/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  <c r="AD700" s="158"/>
      <c r="AE700" s="158"/>
    </row>
    <row r="701">
      <c r="A701" s="158"/>
      <c r="B701" s="158"/>
      <c r="C701" s="158"/>
      <c r="D701" s="158"/>
      <c r="E701" s="160"/>
      <c r="F701" s="158"/>
      <c r="G701" s="158"/>
      <c r="H701" s="160"/>
      <c r="I701" s="158"/>
      <c r="J701" s="158"/>
      <c r="K701" s="160"/>
      <c r="L701" s="158"/>
      <c r="M701" s="158"/>
      <c r="N701" s="158"/>
      <c r="O701" s="158"/>
      <c r="P701" s="158"/>
      <c r="Q701" s="158"/>
      <c r="R701" s="160"/>
      <c r="S701" s="158"/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  <c r="AD701" s="158"/>
      <c r="AE701" s="158"/>
    </row>
    <row r="702">
      <c r="A702" s="158"/>
      <c r="B702" s="158"/>
      <c r="C702" s="158"/>
      <c r="D702" s="158"/>
      <c r="E702" s="160"/>
      <c r="F702" s="158"/>
      <c r="G702" s="158"/>
      <c r="H702" s="160"/>
      <c r="I702" s="158"/>
      <c r="J702" s="158"/>
      <c r="K702" s="160"/>
      <c r="L702" s="158"/>
      <c r="M702" s="158"/>
      <c r="N702" s="158"/>
      <c r="O702" s="158"/>
      <c r="P702" s="158"/>
      <c r="Q702" s="158"/>
      <c r="R702" s="160"/>
      <c r="S702" s="158"/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  <c r="AD702" s="158"/>
      <c r="AE702" s="158"/>
    </row>
    <row r="703">
      <c r="A703" s="158"/>
      <c r="B703" s="158"/>
      <c r="C703" s="158"/>
      <c r="D703" s="158"/>
      <c r="E703" s="160"/>
      <c r="F703" s="158"/>
      <c r="G703" s="158"/>
      <c r="H703" s="160"/>
      <c r="I703" s="158"/>
      <c r="J703" s="158"/>
      <c r="K703" s="160"/>
      <c r="L703" s="158"/>
      <c r="M703" s="158"/>
      <c r="N703" s="158"/>
      <c r="O703" s="158"/>
      <c r="P703" s="158"/>
      <c r="Q703" s="158"/>
      <c r="R703" s="160"/>
      <c r="S703" s="158"/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  <c r="AD703" s="158"/>
      <c r="AE703" s="158"/>
    </row>
    <row r="704">
      <c r="A704" s="158"/>
      <c r="B704" s="158"/>
      <c r="C704" s="158"/>
      <c r="D704" s="158"/>
      <c r="E704" s="160"/>
      <c r="F704" s="158"/>
      <c r="G704" s="158"/>
      <c r="H704" s="160"/>
      <c r="I704" s="158"/>
      <c r="J704" s="158"/>
      <c r="K704" s="160"/>
      <c r="L704" s="158"/>
      <c r="M704" s="158"/>
      <c r="N704" s="158"/>
      <c r="O704" s="158"/>
      <c r="P704" s="158"/>
      <c r="Q704" s="158"/>
      <c r="R704" s="160"/>
      <c r="S704" s="158"/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  <c r="AD704" s="158"/>
      <c r="AE704" s="158"/>
    </row>
    <row r="705">
      <c r="A705" s="158"/>
      <c r="B705" s="158"/>
      <c r="C705" s="158"/>
      <c r="D705" s="158"/>
      <c r="E705" s="160"/>
      <c r="F705" s="158"/>
      <c r="G705" s="158"/>
      <c r="H705" s="160"/>
      <c r="I705" s="158"/>
      <c r="J705" s="158"/>
      <c r="K705" s="160"/>
      <c r="L705" s="158"/>
      <c r="M705" s="158"/>
      <c r="N705" s="158"/>
      <c r="O705" s="158"/>
      <c r="P705" s="158"/>
      <c r="Q705" s="158"/>
      <c r="R705" s="160"/>
      <c r="S705" s="158"/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  <c r="AD705" s="158"/>
      <c r="AE705" s="158"/>
    </row>
    <row r="706">
      <c r="A706" s="158"/>
      <c r="B706" s="158"/>
      <c r="C706" s="158"/>
      <c r="D706" s="158"/>
      <c r="E706" s="160"/>
      <c r="F706" s="158"/>
      <c r="G706" s="158"/>
      <c r="H706" s="160"/>
      <c r="I706" s="158"/>
      <c r="J706" s="158"/>
      <c r="K706" s="160"/>
      <c r="L706" s="158"/>
      <c r="M706" s="158"/>
      <c r="N706" s="158"/>
      <c r="O706" s="158"/>
      <c r="P706" s="158"/>
      <c r="Q706" s="158"/>
      <c r="R706" s="160"/>
      <c r="S706" s="158"/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  <c r="AD706" s="158"/>
      <c r="AE706" s="158"/>
    </row>
    <row r="707">
      <c r="A707" s="158"/>
      <c r="B707" s="158"/>
      <c r="C707" s="158"/>
      <c r="D707" s="158"/>
      <c r="E707" s="160"/>
      <c r="F707" s="158"/>
      <c r="G707" s="158"/>
      <c r="H707" s="160"/>
      <c r="I707" s="158"/>
      <c r="J707" s="158"/>
      <c r="K707" s="160"/>
      <c r="L707" s="158"/>
      <c r="M707" s="158"/>
      <c r="N707" s="158"/>
      <c r="O707" s="158"/>
      <c r="P707" s="158"/>
      <c r="Q707" s="158"/>
      <c r="R707" s="160"/>
      <c r="S707" s="158"/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  <c r="AD707" s="158"/>
      <c r="AE707" s="158"/>
    </row>
    <row r="708">
      <c r="A708" s="158"/>
      <c r="B708" s="158"/>
      <c r="C708" s="158"/>
      <c r="D708" s="158"/>
      <c r="E708" s="160"/>
      <c r="F708" s="158"/>
      <c r="G708" s="158"/>
      <c r="H708" s="160"/>
      <c r="I708" s="158"/>
      <c r="J708" s="158"/>
      <c r="K708" s="160"/>
      <c r="L708" s="158"/>
      <c r="M708" s="158"/>
      <c r="N708" s="158"/>
      <c r="O708" s="158"/>
      <c r="P708" s="158"/>
      <c r="Q708" s="158"/>
      <c r="R708" s="160"/>
      <c r="S708" s="158"/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  <c r="AD708" s="158"/>
      <c r="AE708" s="158"/>
    </row>
    <row r="709">
      <c r="A709" s="158"/>
      <c r="B709" s="158"/>
      <c r="C709" s="158"/>
      <c r="D709" s="158"/>
      <c r="E709" s="160"/>
      <c r="F709" s="158"/>
      <c r="G709" s="158"/>
      <c r="H709" s="160"/>
      <c r="I709" s="158"/>
      <c r="J709" s="158"/>
      <c r="K709" s="160"/>
      <c r="L709" s="158"/>
      <c r="M709" s="158"/>
      <c r="N709" s="158"/>
      <c r="O709" s="158"/>
      <c r="P709" s="158"/>
      <c r="Q709" s="158"/>
      <c r="R709" s="160"/>
      <c r="S709" s="158"/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  <c r="AD709" s="158"/>
      <c r="AE709" s="158"/>
    </row>
    <row r="710">
      <c r="A710" s="158"/>
      <c r="B710" s="158"/>
      <c r="C710" s="158"/>
      <c r="D710" s="158"/>
      <c r="E710" s="160"/>
      <c r="F710" s="158"/>
      <c r="G710" s="158"/>
      <c r="H710" s="160"/>
      <c r="I710" s="158"/>
      <c r="J710" s="158"/>
      <c r="K710" s="160"/>
      <c r="L710" s="158"/>
      <c r="M710" s="158"/>
      <c r="N710" s="158"/>
      <c r="O710" s="158"/>
      <c r="P710" s="158"/>
      <c r="Q710" s="158"/>
      <c r="R710" s="160"/>
      <c r="S710" s="158"/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  <c r="AD710" s="158"/>
      <c r="AE710" s="158"/>
    </row>
    <row r="711">
      <c r="A711" s="158"/>
      <c r="B711" s="158"/>
      <c r="C711" s="158"/>
      <c r="D711" s="158"/>
      <c r="E711" s="160"/>
      <c r="F711" s="158"/>
      <c r="G711" s="158"/>
      <c r="H711" s="160"/>
      <c r="I711" s="158"/>
      <c r="J711" s="158"/>
      <c r="K711" s="160"/>
      <c r="L711" s="158"/>
      <c r="M711" s="158"/>
      <c r="N711" s="158"/>
      <c r="O711" s="158"/>
      <c r="P711" s="158"/>
      <c r="Q711" s="158"/>
      <c r="R711" s="160"/>
      <c r="S711" s="158"/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  <c r="AD711" s="158"/>
      <c r="AE711" s="158"/>
    </row>
    <row r="712">
      <c r="A712" s="158"/>
      <c r="B712" s="158"/>
      <c r="C712" s="158"/>
      <c r="D712" s="158"/>
      <c r="E712" s="160"/>
      <c r="F712" s="158"/>
      <c r="G712" s="158"/>
      <c r="H712" s="160"/>
      <c r="I712" s="158"/>
      <c r="J712" s="158"/>
      <c r="K712" s="160"/>
      <c r="L712" s="158"/>
      <c r="M712" s="158"/>
      <c r="N712" s="158"/>
      <c r="O712" s="158"/>
      <c r="P712" s="158"/>
      <c r="Q712" s="158"/>
      <c r="R712" s="160"/>
      <c r="S712" s="158"/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  <c r="AD712" s="158"/>
      <c r="AE712" s="158"/>
    </row>
    <row r="713">
      <c r="A713" s="158"/>
      <c r="B713" s="158"/>
      <c r="C713" s="158"/>
      <c r="D713" s="158"/>
      <c r="E713" s="160"/>
      <c r="F713" s="158"/>
      <c r="G713" s="158"/>
      <c r="H713" s="160"/>
      <c r="I713" s="158"/>
      <c r="J713" s="158"/>
      <c r="K713" s="160"/>
      <c r="L713" s="158"/>
      <c r="M713" s="158"/>
      <c r="N713" s="158"/>
      <c r="O713" s="158"/>
      <c r="P713" s="158"/>
      <c r="Q713" s="158"/>
      <c r="R713" s="160"/>
      <c r="S713" s="158"/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  <c r="AD713" s="158"/>
      <c r="AE713" s="158"/>
    </row>
    <row r="714">
      <c r="A714" s="158"/>
      <c r="B714" s="158"/>
      <c r="C714" s="158"/>
      <c r="D714" s="158"/>
      <c r="E714" s="160"/>
      <c r="F714" s="158"/>
      <c r="G714" s="158"/>
      <c r="H714" s="160"/>
      <c r="I714" s="158"/>
      <c r="J714" s="158"/>
      <c r="K714" s="160"/>
      <c r="L714" s="158"/>
      <c r="M714" s="158"/>
      <c r="N714" s="158"/>
      <c r="O714" s="158"/>
      <c r="P714" s="158"/>
      <c r="Q714" s="158"/>
      <c r="R714" s="160"/>
      <c r="S714" s="158"/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  <c r="AD714" s="158"/>
      <c r="AE714" s="158"/>
    </row>
    <row r="715">
      <c r="A715" s="158"/>
      <c r="B715" s="158"/>
      <c r="C715" s="158"/>
      <c r="D715" s="158"/>
      <c r="E715" s="160"/>
      <c r="F715" s="158"/>
      <c r="G715" s="158"/>
      <c r="H715" s="160"/>
      <c r="I715" s="158"/>
      <c r="J715" s="158"/>
      <c r="K715" s="160"/>
      <c r="L715" s="158"/>
      <c r="M715" s="158"/>
      <c r="N715" s="158"/>
      <c r="O715" s="158"/>
      <c r="P715" s="158"/>
      <c r="Q715" s="158"/>
      <c r="R715" s="160"/>
      <c r="S715" s="158"/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  <c r="AD715" s="158"/>
      <c r="AE715" s="158"/>
    </row>
    <row r="716">
      <c r="A716" s="158"/>
      <c r="B716" s="158"/>
      <c r="C716" s="158"/>
      <c r="D716" s="158"/>
      <c r="E716" s="160"/>
      <c r="F716" s="158"/>
      <c r="G716" s="158"/>
      <c r="H716" s="160"/>
      <c r="I716" s="158"/>
      <c r="J716" s="158"/>
      <c r="K716" s="160"/>
      <c r="L716" s="158"/>
      <c r="M716" s="158"/>
      <c r="N716" s="158"/>
      <c r="O716" s="158"/>
      <c r="P716" s="158"/>
      <c r="Q716" s="158"/>
      <c r="R716" s="160"/>
      <c r="S716" s="158"/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  <c r="AD716" s="158"/>
      <c r="AE716" s="158"/>
    </row>
    <row r="717">
      <c r="A717" s="158"/>
      <c r="B717" s="158"/>
      <c r="C717" s="158"/>
      <c r="D717" s="158"/>
      <c r="E717" s="160"/>
      <c r="F717" s="158"/>
      <c r="G717" s="158"/>
      <c r="H717" s="160"/>
      <c r="I717" s="158"/>
      <c r="J717" s="158"/>
      <c r="K717" s="160"/>
      <c r="L717" s="158"/>
      <c r="M717" s="158"/>
      <c r="N717" s="158"/>
      <c r="O717" s="158"/>
      <c r="P717" s="158"/>
      <c r="Q717" s="158"/>
      <c r="R717" s="160"/>
      <c r="S717" s="158"/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  <c r="AD717" s="158"/>
      <c r="AE717" s="158"/>
    </row>
    <row r="718">
      <c r="A718" s="158"/>
      <c r="B718" s="158"/>
      <c r="C718" s="158"/>
      <c r="D718" s="158"/>
      <c r="E718" s="160"/>
      <c r="F718" s="158"/>
      <c r="G718" s="158"/>
      <c r="H718" s="160"/>
      <c r="I718" s="158"/>
      <c r="J718" s="158"/>
      <c r="K718" s="160"/>
      <c r="L718" s="158"/>
      <c r="M718" s="158"/>
      <c r="N718" s="158"/>
      <c r="O718" s="158"/>
      <c r="P718" s="158"/>
      <c r="Q718" s="158"/>
      <c r="R718" s="160"/>
      <c r="S718" s="158"/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  <c r="AD718" s="158"/>
      <c r="AE718" s="158"/>
    </row>
    <row r="719">
      <c r="A719" s="158"/>
      <c r="B719" s="158"/>
      <c r="C719" s="158"/>
      <c r="D719" s="158"/>
      <c r="E719" s="160"/>
      <c r="F719" s="158"/>
      <c r="G719" s="158"/>
      <c r="H719" s="160"/>
      <c r="I719" s="158"/>
      <c r="J719" s="158"/>
      <c r="K719" s="160"/>
      <c r="L719" s="158"/>
      <c r="M719" s="158"/>
      <c r="N719" s="158"/>
      <c r="O719" s="158"/>
      <c r="P719" s="158"/>
      <c r="Q719" s="158"/>
      <c r="R719" s="160"/>
      <c r="S719" s="158"/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  <c r="AD719" s="158"/>
      <c r="AE719" s="158"/>
    </row>
    <row r="720">
      <c r="A720" s="158"/>
      <c r="B720" s="158"/>
      <c r="C720" s="158"/>
      <c r="D720" s="158"/>
      <c r="E720" s="160"/>
      <c r="F720" s="158"/>
      <c r="G720" s="158"/>
      <c r="H720" s="160"/>
      <c r="I720" s="158"/>
      <c r="J720" s="158"/>
      <c r="K720" s="160"/>
      <c r="L720" s="158"/>
      <c r="M720" s="158"/>
      <c r="N720" s="158"/>
      <c r="O720" s="158"/>
      <c r="P720" s="158"/>
      <c r="Q720" s="158"/>
      <c r="R720" s="160"/>
      <c r="S720" s="158"/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  <c r="AD720" s="158"/>
      <c r="AE720" s="158"/>
    </row>
    <row r="721">
      <c r="A721" s="158"/>
      <c r="B721" s="158"/>
      <c r="C721" s="158"/>
      <c r="D721" s="158"/>
      <c r="E721" s="160"/>
      <c r="F721" s="158"/>
      <c r="G721" s="158"/>
      <c r="H721" s="160"/>
      <c r="I721" s="158"/>
      <c r="J721" s="158"/>
      <c r="K721" s="160"/>
      <c r="L721" s="158"/>
      <c r="M721" s="158"/>
      <c r="N721" s="158"/>
      <c r="O721" s="158"/>
      <c r="P721" s="158"/>
      <c r="Q721" s="158"/>
      <c r="R721" s="160"/>
      <c r="S721" s="158"/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  <c r="AD721" s="158"/>
      <c r="AE721" s="158"/>
    </row>
    <row r="722">
      <c r="A722" s="158"/>
      <c r="B722" s="158"/>
      <c r="C722" s="158"/>
      <c r="D722" s="158"/>
      <c r="E722" s="160"/>
      <c r="F722" s="158"/>
      <c r="G722" s="158"/>
      <c r="H722" s="160"/>
      <c r="I722" s="158"/>
      <c r="J722" s="158"/>
      <c r="K722" s="160"/>
      <c r="L722" s="158"/>
      <c r="M722" s="158"/>
      <c r="N722" s="158"/>
      <c r="O722" s="158"/>
      <c r="P722" s="158"/>
      <c r="Q722" s="158"/>
      <c r="R722" s="160"/>
      <c r="S722" s="158"/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  <c r="AD722" s="158"/>
      <c r="AE722" s="158"/>
    </row>
    <row r="723">
      <c r="A723" s="158"/>
      <c r="B723" s="158"/>
      <c r="C723" s="158"/>
      <c r="D723" s="158"/>
      <c r="E723" s="160"/>
      <c r="F723" s="158"/>
      <c r="G723" s="158"/>
      <c r="H723" s="160"/>
      <c r="I723" s="158"/>
      <c r="J723" s="158"/>
      <c r="K723" s="160"/>
      <c r="L723" s="158"/>
      <c r="M723" s="158"/>
      <c r="N723" s="158"/>
      <c r="O723" s="158"/>
      <c r="P723" s="158"/>
      <c r="Q723" s="158"/>
      <c r="R723" s="160"/>
      <c r="S723" s="158"/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  <c r="AD723" s="158"/>
      <c r="AE723" s="158"/>
    </row>
    <row r="724">
      <c r="A724" s="158"/>
      <c r="B724" s="158"/>
      <c r="C724" s="158"/>
      <c r="D724" s="158"/>
      <c r="E724" s="160"/>
      <c r="F724" s="158"/>
      <c r="G724" s="158"/>
      <c r="H724" s="160"/>
      <c r="I724" s="158"/>
      <c r="J724" s="158"/>
      <c r="K724" s="160"/>
      <c r="L724" s="158"/>
      <c r="M724" s="158"/>
      <c r="N724" s="158"/>
      <c r="O724" s="158"/>
      <c r="P724" s="158"/>
      <c r="Q724" s="158"/>
      <c r="R724" s="160"/>
      <c r="S724" s="158"/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  <c r="AD724" s="158"/>
      <c r="AE724" s="158"/>
    </row>
    <row r="725">
      <c r="A725" s="158"/>
      <c r="B725" s="158"/>
      <c r="C725" s="158"/>
      <c r="D725" s="158"/>
      <c r="E725" s="160"/>
      <c r="F725" s="158"/>
      <c r="G725" s="158"/>
      <c r="H725" s="160"/>
      <c r="I725" s="158"/>
      <c r="J725" s="158"/>
      <c r="K725" s="160"/>
      <c r="L725" s="158"/>
      <c r="M725" s="158"/>
      <c r="N725" s="158"/>
      <c r="O725" s="158"/>
      <c r="P725" s="158"/>
      <c r="Q725" s="158"/>
      <c r="R725" s="160"/>
      <c r="S725" s="158"/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  <c r="AD725" s="158"/>
      <c r="AE725" s="158"/>
    </row>
    <row r="726">
      <c r="A726" s="158"/>
      <c r="B726" s="158"/>
      <c r="C726" s="158"/>
      <c r="D726" s="158"/>
      <c r="E726" s="160"/>
      <c r="F726" s="158"/>
      <c r="G726" s="158"/>
      <c r="H726" s="160"/>
      <c r="I726" s="158"/>
      <c r="J726" s="158"/>
      <c r="K726" s="160"/>
      <c r="L726" s="158"/>
      <c r="M726" s="158"/>
      <c r="N726" s="158"/>
      <c r="O726" s="158"/>
      <c r="P726" s="158"/>
      <c r="Q726" s="158"/>
      <c r="R726" s="160"/>
      <c r="S726" s="158"/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  <c r="AD726" s="158"/>
      <c r="AE726" s="158"/>
    </row>
    <row r="727">
      <c r="A727" s="158"/>
      <c r="B727" s="158"/>
      <c r="C727" s="158"/>
      <c r="D727" s="158"/>
      <c r="E727" s="160"/>
      <c r="F727" s="158"/>
      <c r="G727" s="158"/>
      <c r="H727" s="160"/>
      <c r="I727" s="158"/>
      <c r="J727" s="158"/>
      <c r="K727" s="160"/>
      <c r="L727" s="158"/>
      <c r="M727" s="158"/>
      <c r="N727" s="158"/>
      <c r="O727" s="158"/>
      <c r="P727" s="158"/>
      <c r="Q727" s="158"/>
      <c r="R727" s="160"/>
      <c r="S727" s="158"/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  <c r="AD727" s="158"/>
      <c r="AE727" s="158"/>
    </row>
    <row r="728">
      <c r="A728" s="158"/>
      <c r="B728" s="158"/>
      <c r="C728" s="158"/>
      <c r="D728" s="158"/>
      <c r="E728" s="160"/>
      <c r="F728" s="158"/>
      <c r="G728" s="158"/>
      <c r="H728" s="160"/>
      <c r="I728" s="158"/>
      <c r="J728" s="158"/>
      <c r="K728" s="160"/>
      <c r="L728" s="158"/>
      <c r="M728" s="158"/>
      <c r="N728" s="158"/>
      <c r="O728" s="158"/>
      <c r="P728" s="158"/>
      <c r="Q728" s="158"/>
      <c r="R728" s="160"/>
      <c r="S728" s="158"/>
      <c r="T728" s="158"/>
      <c r="U728" s="158"/>
      <c r="V728" s="158"/>
      <c r="W728" s="158"/>
      <c r="X728" s="158"/>
      <c r="Y728" s="158"/>
      <c r="Z728" s="158"/>
      <c r="AA728" s="158"/>
      <c r="AB728" s="158"/>
      <c r="AC728" s="158"/>
      <c r="AD728" s="158"/>
      <c r="AE728" s="158"/>
    </row>
    <row r="729">
      <c r="A729" s="158"/>
      <c r="B729" s="158"/>
      <c r="C729" s="158"/>
      <c r="D729" s="158"/>
      <c r="E729" s="160"/>
      <c r="F729" s="158"/>
      <c r="G729" s="158"/>
      <c r="H729" s="160"/>
      <c r="I729" s="158"/>
      <c r="J729" s="158"/>
      <c r="K729" s="160"/>
      <c r="L729" s="158"/>
      <c r="M729" s="158"/>
      <c r="N729" s="158"/>
      <c r="O729" s="158"/>
      <c r="P729" s="158"/>
      <c r="Q729" s="158"/>
      <c r="R729" s="160"/>
      <c r="S729" s="158"/>
      <c r="T729" s="158"/>
      <c r="U729" s="158"/>
      <c r="V729" s="158"/>
      <c r="W729" s="158"/>
      <c r="X729" s="158"/>
      <c r="Y729" s="158"/>
      <c r="Z729" s="158"/>
      <c r="AA729" s="158"/>
      <c r="AB729" s="158"/>
      <c r="AC729" s="158"/>
      <c r="AD729" s="158"/>
      <c r="AE729" s="158"/>
    </row>
    <row r="730">
      <c r="A730" s="158"/>
      <c r="B730" s="158"/>
      <c r="C730" s="158"/>
      <c r="D730" s="158"/>
      <c r="E730" s="160"/>
      <c r="F730" s="158"/>
      <c r="G730" s="158"/>
      <c r="H730" s="160"/>
      <c r="I730" s="158"/>
      <c r="J730" s="158"/>
      <c r="K730" s="160"/>
      <c r="L730" s="158"/>
      <c r="M730" s="158"/>
      <c r="N730" s="158"/>
      <c r="O730" s="158"/>
      <c r="P730" s="158"/>
      <c r="Q730" s="158"/>
      <c r="R730" s="160"/>
      <c r="S730" s="158"/>
      <c r="T730" s="158"/>
      <c r="U730" s="158"/>
      <c r="V730" s="158"/>
      <c r="W730" s="158"/>
      <c r="X730" s="158"/>
      <c r="Y730" s="158"/>
      <c r="Z730" s="158"/>
      <c r="AA730" s="158"/>
      <c r="AB730" s="158"/>
      <c r="AC730" s="158"/>
      <c r="AD730" s="158"/>
      <c r="AE730" s="158"/>
    </row>
    <row r="731">
      <c r="A731" s="158"/>
      <c r="B731" s="158"/>
      <c r="C731" s="158"/>
      <c r="D731" s="158"/>
      <c r="E731" s="160"/>
      <c r="F731" s="158"/>
      <c r="G731" s="158"/>
      <c r="H731" s="160"/>
      <c r="I731" s="158"/>
      <c r="J731" s="158"/>
      <c r="K731" s="160"/>
      <c r="L731" s="158"/>
      <c r="M731" s="158"/>
      <c r="N731" s="158"/>
      <c r="O731" s="158"/>
      <c r="P731" s="158"/>
      <c r="Q731" s="158"/>
      <c r="R731" s="160"/>
      <c r="S731" s="158"/>
      <c r="T731" s="158"/>
      <c r="U731" s="158"/>
      <c r="V731" s="158"/>
      <c r="W731" s="158"/>
      <c r="X731" s="158"/>
      <c r="Y731" s="158"/>
      <c r="Z731" s="158"/>
      <c r="AA731" s="158"/>
      <c r="AB731" s="158"/>
      <c r="AC731" s="158"/>
      <c r="AD731" s="158"/>
      <c r="AE731" s="158"/>
    </row>
    <row r="732">
      <c r="A732" s="158"/>
      <c r="B732" s="158"/>
      <c r="C732" s="158"/>
      <c r="D732" s="158"/>
      <c r="E732" s="160"/>
      <c r="F732" s="158"/>
      <c r="G732" s="158"/>
      <c r="H732" s="160"/>
      <c r="I732" s="158"/>
      <c r="J732" s="158"/>
      <c r="K732" s="160"/>
      <c r="L732" s="158"/>
      <c r="M732" s="158"/>
      <c r="N732" s="158"/>
      <c r="O732" s="158"/>
      <c r="P732" s="158"/>
      <c r="Q732" s="158"/>
      <c r="R732" s="160"/>
      <c r="S732" s="158"/>
      <c r="T732" s="158"/>
      <c r="U732" s="158"/>
      <c r="V732" s="158"/>
      <c r="W732" s="158"/>
      <c r="X732" s="158"/>
      <c r="Y732" s="158"/>
      <c r="Z732" s="158"/>
      <c r="AA732" s="158"/>
      <c r="AB732" s="158"/>
      <c r="AC732" s="158"/>
      <c r="AD732" s="158"/>
      <c r="AE732" s="158"/>
    </row>
    <row r="733">
      <c r="A733" s="158"/>
      <c r="B733" s="158"/>
      <c r="C733" s="158"/>
      <c r="D733" s="158"/>
      <c r="E733" s="160"/>
      <c r="F733" s="158"/>
      <c r="G733" s="158"/>
      <c r="H733" s="160"/>
      <c r="I733" s="158"/>
      <c r="J733" s="158"/>
      <c r="K733" s="160"/>
      <c r="L733" s="158"/>
      <c r="M733" s="158"/>
      <c r="N733" s="158"/>
      <c r="O733" s="158"/>
      <c r="P733" s="158"/>
      <c r="Q733" s="158"/>
      <c r="R733" s="160"/>
      <c r="S733" s="158"/>
      <c r="T733" s="158"/>
      <c r="U733" s="158"/>
      <c r="V733" s="158"/>
      <c r="W733" s="158"/>
      <c r="X733" s="158"/>
      <c r="Y733" s="158"/>
      <c r="Z733" s="158"/>
      <c r="AA733" s="158"/>
      <c r="AB733" s="158"/>
      <c r="AC733" s="158"/>
      <c r="AD733" s="158"/>
      <c r="AE733" s="158"/>
    </row>
    <row r="734">
      <c r="A734" s="158"/>
      <c r="B734" s="158"/>
      <c r="C734" s="158"/>
      <c r="D734" s="158"/>
      <c r="E734" s="160"/>
      <c r="F734" s="158"/>
      <c r="G734" s="158"/>
      <c r="H734" s="160"/>
      <c r="I734" s="158"/>
      <c r="J734" s="158"/>
      <c r="K734" s="160"/>
      <c r="L734" s="158"/>
      <c r="M734" s="158"/>
      <c r="N734" s="158"/>
      <c r="O734" s="158"/>
      <c r="P734" s="158"/>
      <c r="Q734" s="158"/>
      <c r="R734" s="160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  <c r="AD734" s="158"/>
      <c r="AE734" s="158"/>
    </row>
    <row r="735">
      <c r="A735" s="158"/>
      <c r="B735" s="158"/>
      <c r="C735" s="158"/>
      <c r="D735" s="158"/>
      <c r="E735" s="160"/>
      <c r="F735" s="158"/>
      <c r="G735" s="158"/>
      <c r="H735" s="160"/>
      <c r="I735" s="158"/>
      <c r="J735" s="158"/>
      <c r="K735" s="160"/>
      <c r="L735" s="158"/>
      <c r="M735" s="158"/>
      <c r="N735" s="158"/>
      <c r="O735" s="158"/>
      <c r="P735" s="158"/>
      <c r="Q735" s="158"/>
      <c r="R735" s="160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  <c r="AD735" s="158"/>
      <c r="AE735" s="158"/>
    </row>
    <row r="736">
      <c r="A736" s="158"/>
      <c r="B736" s="158"/>
      <c r="C736" s="158"/>
      <c r="D736" s="158"/>
      <c r="E736" s="160"/>
      <c r="F736" s="158"/>
      <c r="G736" s="158"/>
      <c r="H736" s="160"/>
      <c r="I736" s="158"/>
      <c r="J736" s="158"/>
      <c r="K736" s="160"/>
      <c r="L736" s="158"/>
      <c r="M736" s="158"/>
      <c r="N736" s="158"/>
      <c r="O736" s="158"/>
      <c r="P736" s="158"/>
      <c r="Q736" s="158"/>
      <c r="R736" s="160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</row>
    <row r="737">
      <c r="A737" s="158"/>
      <c r="B737" s="158"/>
      <c r="C737" s="158"/>
      <c r="D737" s="158"/>
      <c r="E737" s="160"/>
      <c r="F737" s="158"/>
      <c r="G737" s="158"/>
      <c r="H737" s="160"/>
      <c r="I737" s="158"/>
      <c r="J737" s="158"/>
      <c r="K737" s="160"/>
      <c r="L737" s="158"/>
      <c r="M737" s="158"/>
      <c r="N737" s="158"/>
      <c r="O737" s="158"/>
      <c r="P737" s="158"/>
      <c r="Q737" s="158"/>
      <c r="R737" s="160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</row>
    <row r="738">
      <c r="A738" s="158"/>
      <c r="B738" s="158"/>
      <c r="C738" s="158"/>
      <c r="D738" s="158"/>
      <c r="E738" s="160"/>
      <c r="F738" s="158"/>
      <c r="G738" s="158"/>
      <c r="H738" s="160"/>
      <c r="I738" s="158"/>
      <c r="J738" s="158"/>
      <c r="K738" s="160"/>
      <c r="L738" s="158"/>
      <c r="M738" s="158"/>
      <c r="N738" s="158"/>
      <c r="O738" s="158"/>
      <c r="P738" s="158"/>
      <c r="Q738" s="158"/>
      <c r="R738" s="160"/>
      <c r="S738" s="158"/>
      <c r="T738" s="158"/>
      <c r="U738" s="158"/>
      <c r="V738" s="158"/>
      <c r="W738" s="158"/>
      <c r="X738" s="158"/>
      <c r="Y738" s="158"/>
      <c r="Z738" s="158"/>
      <c r="AA738" s="158"/>
      <c r="AB738" s="158"/>
      <c r="AC738" s="158"/>
      <c r="AD738" s="158"/>
      <c r="AE738" s="158"/>
    </row>
    <row r="739">
      <c r="A739" s="158"/>
      <c r="B739" s="158"/>
      <c r="C739" s="158"/>
      <c r="D739" s="158"/>
      <c r="E739" s="160"/>
      <c r="F739" s="158"/>
      <c r="G739" s="158"/>
      <c r="H739" s="160"/>
      <c r="I739" s="158"/>
      <c r="J739" s="158"/>
      <c r="K739" s="160"/>
      <c r="L739" s="158"/>
      <c r="M739" s="158"/>
      <c r="N739" s="158"/>
      <c r="O739" s="158"/>
      <c r="P739" s="158"/>
      <c r="Q739" s="158"/>
      <c r="R739" s="160"/>
      <c r="S739" s="158"/>
      <c r="T739" s="158"/>
      <c r="U739" s="158"/>
      <c r="V739" s="158"/>
      <c r="W739" s="158"/>
      <c r="X739" s="158"/>
      <c r="Y739" s="158"/>
      <c r="Z739" s="158"/>
      <c r="AA739" s="158"/>
      <c r="AB739" s="158"/>
      <c r="AC739" s="158"/>
      <c r="AD739" s="158"/>
      <c r="AE739" s="158"/>
    </row>
    <row r="740">
      <c r="A740" s="158"/>
      <c r="B740" s="158"/>
      <c r="C740" s="158"/>
      <c r="D740" s="158"/>
      <c r="E740" s="160"/>
      <c r="F740" s="158"/>
      <c r="G740" s="158"/>
      <c r="H740" s="160"/>
      <c r="I740" s="158"/>
      <c r="J740" s="158"/>
      <c r="K740" s="160"/>
      <c r="L740" s="158"/>
      <c r="M740" s="158"/>
      <c r="N740" s="158"/>
      <c r="O740" s="158"/>
      <c r="P740" s="158"/>
      <c r="Q740" s="158"/>
      <c r="R740" s="160"/>
      <c r="S740" s="158"/>
      <c r="T740" s="158"/>
      <c r="U740" s="158"/>
      <c r="V740" s="158"/>
      <c r="W740" s="158"/>
      <c r="X740" s="158"/>
      <c r="Y740" s="158"/>
      <c r="Z740" s="158"/>
      <c r="AA740" s="158"/>
      <c r="AB740" s="158"/>
      <c r="AC740" s="158"/>
      <c r="AD740" s="158"/>
      <c r="AE740" s="158"/>
    </row>
    <row r="741">
      <c r="A741" s="158"/>
      <c r="B741" s="158"/>
      <c r="C741" s="158"/>
      <c r="D741" s="158"/>
      <c r="E741" s="160"/>
      <c r="F741" s="158"/>
      <c r="G741" s="158"/>
      <c r="H741" s="160"/>
      <c r="I741" s="158"/>
      <c r="J741" s="158"/>
      <c r="K741" s="160"/>
      <c r="L741" s="158"/>
      <c r="M741" s="158"/>
      <c r="N741" s="158"/>
      <c r="O741" s="158"/>
      <c r="P741" s="158"/>
      <c r="Q741" s="158"/>
      <c r="R741" s="160"/>
      <c r="S741" s="158"/>
      <c r="T741" s="158"/>
      <c r="U741" s="158"/>
      <c r="V741" s="158"/>
      <c r="W741" s="158"/>
      <c r="X741" s="158"/>
      <c r="Y741" s="158"/>
      <c r="Z741" s="158"/>
      <c r="AA741" s="158"/>
      <c r="AB741" s="158"/>
      <c r="AC741" s="158"/>
      <c r="AD741" s="158"/>
      <c r="AE741" s="158"/>
    </row>
    <row r="742">
      <c r="A742" s="158"/>
      <c r="B742" s="158"/>
      <c r="C742" s="158"/>
      <c r="D742" s="158"/>
      <c r="E742" s="160"/>
      <c r="F742" s="158"/>
      <c r="G742" s="158"/>
      <c r="H742" s="160"/>
      <c r="I742" s="158"/>
      <c r="J742" s="158"/>
      <c r="K742" s="160"/>
      <c r="L742" s="158"/>
      <c r="M742" s="158"/>
      <c r="N742" s="158"/>
      <c r="O742" s="158"/>
      <c r="P742" s="158"/>
      <c r="Q742" s="158"/>
      <c r="R742" s="160"/>
      <c r="S742" s="158"/>
      <c r="T742" s="158"/>
      <c r="U742" s="158"/>
      <c r="V742" s="158"/>
      <c r="W742" s="158"/>
      <c r="X742" s="158"/>
      <c r="Y742" s="158"/>
      <c r="Z742" s="158"/>
      <c r="AA742" s="158"/>
      <c r="AB742" s="158"/>
      <c r="AC742" s="158"/>
      <c r="AD742" s="158"/>
      <c r="AE742" s="158"/>
    </row>
    <row r="743">
      <c r="A743" s="158"/>
      <c r="B743" s="158"/>
      <c r="C743" s="158"/>
      <c r="D743" s="158"/>
      <c r="E743" s="160"/>
      <c r="F743" s="158"/>
      <c r="G743" s="158"/>
      <c r="H743" s="160"/>
      <c r="I743" s="158"/>
      <c r="J743" s="158"/>
      <c r="K743" s="160"/>
      <c r="L743" s="158"/>
      <c r="M743" s="158"/>
      <c r="N743" s="158"/>
      <c r="O743" s="158"/>
      <c r="P743" s="158"/>
      <c r="Q743" s="158"/>
      <c r="R743" s="160"/>
      <c r="S743" s="158"/>
      <c r="T743" s="158"/>
      <c r="U743" s="158"/>
      <c r="V743" s="158"/>
      <c r="W743" s="158"/>
      <c r="X743" s="158"/>
      <c r="Y743" s="158"/>
      <c r="Z743" s="158"/>
      <c r="AA743" s="158"/>
      <c r="AB743" s="158"/>
      <c r="AC743" s="158"/>
      <c r="AD743" s="158"/>
      <c r="AE743" s="158"/>
    </row>
    <row r="744">
      <c r="A744" s="158"/>
      <c r="B744" s="158"/>
      <c r="C744" s="158"/>
      <c r="D744" s="158"/>
      <c r="E744" s="160"/>
      <c r="F744" s="158"/>
      <c r="G744" s="158"/>
      <c r="H744" s="160"/>
      <c r="I744" s="158"/>
      <c r="J744" s="158"/>
      <c r="K744" s="160"/>
      <c r="L744" s="158"/>
      <c r="M744" s="158"/>
      <c r="N744" s="158"/>
      <c r="O744" s="158"/>
      <c r="P744" s="158"/>
      <c r="Q744" s="158"/>
      <c r="R744" s="160"/>
      <c r="S744" s="158"/>
      <c r="T744" s="158"/>
      <c r="U744" s="158"/>
      <c r="V744" s="158"/>
      <c r="W744" s="158"/>
      <c r="X744" s="158"/>
      <c r="Y744" s="158"/>
      <c r="Z744" s="158"/>
      <c r="AA744" s="158"/>
      <c r="AB744" s="158"/>
      <c r="AC744" s="158"/>
      <c r="AD744" s="158"/>
      <c r="AE744" s="158"/>
    </row>
    <row r="745">
      <c r="A745" s="158"/>
      <c r="B745" s="158"/>
      <c r="C745" s="158"/>
      <c r="D745" s="158"/>
      <c r="E745" s="160"/>
      <c r="F745" s="158"/>
      <c r="G745" s="158"/>
      <c r="H745" s="160"/>
      <c r="I745" s="158"/>
      <c r="J745" s="158"/>
      <c r="K745" s="160"/>
      <c r="L745" s="158"/>
      <c r="M745" s="158"/>
      <c r="N745" s="158"/>
      <c r="O745" s="158"/>
      <c r="P745" s="158"/>
      <c r="Q745" s="158"/>
      <c r="R745" s="160"/>
      <c r="S745" s="158"/>
      <c r="T745" s="158"/>
      <c r="U745" s="158"/>
      <c r="V745" s="158"/>
      <c r="W745" s="158"/>
      <c r="X745" s="158"/>
      <c r="Y745" s="158"/>
      <c r="Z745" s="158"/>
      <c r="AA745" s="158"/>
      <c r="AB745" s="158"/>
      <c r="AC745" s="158"/>
      <c r="AD745" s="158"/>
      <c r="AE745" s="158"/>
    </row>
    <row r="746">
      <c r="A746" s="158"/>
      <c r="B746" s="158"/>
      <c r="C746" s="158"/>
      <c r="D746" s="158"/>
      <c r="E746" s="160"/>
      <c r="F746" s="158"/>
      <c r="G746" s="158"/>
      <c r="H746" s="160"/>
      <c r="I746" s="158"/>
      <c r="J746" s="158"/>
      <c r="K746" s="160"/>
      <c r="L746" s="158"/>
      <c r="M746" s="158"/>
      <c r="N746" s="158"/>
      <c r="O746" s="158"/>
      <c r="P746" s="158"/>
      <c r="Q746" s="158"/>
      <c r="R746" s="160"/>
      <c r="S746" s="158"/>
      <c r="T746" s="158"/>
      <c r="U746" s="158"/>
      <c r="V746" s="158"/>
      <c r="W746" s="158"/>
      <c r="X746" s="158"/>
      <c r="Y746" s="158"/>
      <c r="Z746" s="158"/>
      <c r="AA746" s="158"/>
      <c r="AB746" s="158"/>
      <c r="AC746" s="158"/>
      <c r="AD746" s="158"/>
      <c r="AE746" s="158"/>
    </row>
    <row r="747">
      <c r="A747" s="158"/>
      <c r="B747" s="158"/>
      <c r="C747" s="158"/>
      <c r="D747" s="158"/>
      <c r="E747" s="160"/>
      <c r="F747" s="158"/>
      <c r="G747" s="158"/>
      <c r="H747" s="160"/>
      <c r="I747" s="158"/>
      <c r="J747" s="158"/>
      <c r="K747" s="160"/>
      <c r="L747" s="158"/>
      <c r="M747" s="158"/>
      <c r="N747" s="158"/>
      <c r="O747" s="158"/>
      <c r="P747" s="158"/>
      <c r="Q747" s="158"/>
      <c r="R747" s="160"/>
      <c r="S747" s="158"/>
      <c r="T747" s="158"/>
      <c r="U747" s="158"/>
      <c r="V747" s="158"/>
      <c r="W747" s="158"/>
      <c r="X747" s="158"/>
      <c r="Y747" s="158"/>
      <c r="Z747" s="158"/>
      <c r="AA747" s="158"/>
      <c r="AB747" s="158"/>
      <c r="AC747" s="158"/>
      <c r="AD747" s="158"/>
      <c r="AE747" s="158"/>
    </row>
    <row r="748">
      <c r="A748" s="158"/>
      <c r="B748" s="158"/>
      <c r="C748" s="158"/>
      <c r="D748" s="158"/>
      <c r="E748" s="160"/>
      <c r="F748" s="158"/>
      <c r="G748" s="158"/>
      <c r="H748" s="160"/>
      <c r="I748" s="158"/>
      <c r="J748" s="158"/>
      <c r="K748" s="160"/>
      <c r="L748" s="158"/>
      <c r="M748" s="158"/>
      <c r="N748" s="158"/>
      <c r="O748" s="158"/>
      <c r="P748" s="158"/>
      <c r="Q748" s="158"/>
      <c r="R748" s="160"/>
      <c r="S748" s="158"/>
      <c r="T748" s="158"/>
      <c r="U748" s="158"/>
      <c r="V748" s="158"/>
      <c r="W748" s="158"/>
      <c r="X748" s="158"/>
      <c r="Y748" s="158"/>
      <c r="Z748" s="158"/>
      <c r="AA748" s="158"/>
      <c r="AB748" s="158"/>
      <c r="AC748" s="158"/>
      <c r="AD748" s="158"/>
      <c r="AE748" s="158"/>
    </row>
    <row r="749">
      <c r="A749" s="158"/>
      <c r="B749" s="158"/>
      <c r="C749" s="158"/>
      <c r="D749" s="158"/>
      <c r="E749" s="160"/>
      <c r="F749" s="158"/>
      <c r="G749" s="158"/>
      <c r="H749" s="160"/>
      <c r="I749" s="158"/>
      <c r="J749" s="158"/>
      <c r="K749" s="160"/>
      <c r="L749" s="158"/>
      <c r="M749" s="158"/>
      <c r="N749" s="158"/>
      <c r="O749" s="158"/>
      <c r="P749" s="158"/>
      <c r="Q749" s="158"/>
      <c r="R749" s="160"/>
      <c r="S749" s="158"/>
      <c r="T749" s="158"/>
      <c r="U749" s="158"/>
      <c r="V749" s="158"/>
      <c r="W749" s="158"/>
      <c r="X749" s="158"/>
      <c r="Y749" s="158"/>
      <c r="Z749" s="158"/>
      <c r="AA749" s="158"/>
      <c r="AB749" s="158"/>
      <c r="AC749" s="158"/>
      <c r="AD749" s="158"/>
      <c r="AE749" s="158"/>
    </row>
    <row r="750">
      <c r="A750" s="158"/>
      <c r="B750" s="158"/>
      <c r="C750" s="158"/>
      <c r="D750" s="158"/>
      <c r="E750" s="160"/>
      <c r="F750" s="158"/>
      <c r="G750" s="158"/>
      <c r="H750" s="160"/>
      <c r="I750" s="158"/>
      <c r="J750" s="158"/>
      <c r="K750" s="160"/>
      <c r="L750" s="158"/>
      <c r="M750" s="158"/>
      <c r="N750" s="158"/>
      <c r="O750" s="158"/>
      <c r="P750" s="158"/>
      <c r="Q750" s="158"/>
      <c r="R750" s="160"/>
      <c r="S750" s="158"/>
      <c r="T750" s="158"/>
      <c r="U750" s="158"/>
      <c r="V750" s="158"/>
      <c r="W750" s="158"/>
      <c r="X750" s="158"/>
      <c r="Y750" s="158"/>
      <c r="Z750" s="158"/>
      <c r="AA750" s="158"/>
      <c r="AB750" s="158"/>
      <c r="AC750" s="158"/>
      <c r="AD750" s="158"/>
      <c r="AE750" s="158"/>
    </row>
    <row r="751">
      <c r="A751" s="158"/>
      <c r="B751" s="158"/>
      <c r="C751" s="158"/>
      <c r="D751" s="158"/>
      <c r="E751" s="160"/>
      <c r="F751" s="158"/>
      <c r="G751" s="158"/>
      <c r="H751" s="160"/>
      <c r="I751" s="158"/>
      <c r="J751" s="158"/>
      <c r="K751" s="160"/>
      <c r="L751" s="158"/>
      <c r="M751" s="158"/>
      <c r="N751" s="158"/>
      <c r="O751" s="158"/>
      <c r="P751" s="158"/>
      <c r="Q751" s="158"/>
      <c r="R751" s="160"/>
      <c r="S751" s="158"/>
      <c r="T751" s="158"/>
      <c r="U751" s="158"/>
      <c r="V751" s="158"/>
      <c r="W751" s="158"/>
      <c r="X751" s="158"/>
      <c r="Y751" s="158"/>
      <c r="Z751" s="158"/>
      <c r="AA751" s="158"/>
      <c r="AB751" s="158"/>
      <c r="AC751" s="158"/>
      <c r="AD751" s="158"/>
      <c r="AE751" s="158"/>
    </row>
    <row r="752">
      <c r="A752" s="158"/>
      <c r="B752" s="158"/>
      <c r="C752" s="158"/>
      <c r="D752" s="158"/>
      <c r="E752" s="160"/>
      <c r="F752" s="158"/>
      <c r="G752" s="158"/>
      <c r="H752" s="160"/>
      <c r="I752" s="158"/>
      <c r="J752" s="158"/>
      <c r="K752" s="160"/>
      <c r="L752" s="158"/>
      <c r="M752" s="158"/>
      <c r="N752" s="158"/>
      <c r="O752" s="158"/>
      <c r="P752" s="158"/>
      <c r="Q752" s="158"/>
      <c r="R752" s="160"/>
      <c r="S752" s="158"/>
      <c r="T752" s="158"/>
      <c r="U752" s="158"/>
      <c r="V752" s="158"/>
      <c r="W752" s="158"/>
      <c r="X752" s="158"/>
      <c r="Y752" s="158"/>
      <c r="Z752" s="158"/>
      <c r="AA752" s="158"/>
      <c r="AB752" s="158"/>
      <c r="AC752" s="158"/>
      <c r="AD752" s="158"/>
      <c r="AE752" s="158"/>
    </row>
    <row r="753">
      <c r="A753" s="158"/>
      <c r="B753" s="158"/>
      <c r="C753" s="158"/>
      <c r="D753" s="158"/>
      <c r="E753" s="160"/>
      <c r="F753" s="158"/>
      <c r="G753" s="158"/>
      <c r="H753" s="160"/>
      <c r="I753" s="158"/>
      <c r="J753" s="158"/>
      <c r="K753" s="160"/>
      <c r="L753" s="158"/>
      <c r="M753" s="158"/>
      <c r="N753" s="158"/>
      <c r="O753" s="158"/>
      <c r="P753" s="158"/>
      <c r="Q753" s="158"/>
      <c r="R753" s="160"/>
      <c r="S753" s="158"/>
      <c r="T753" s="158"/>
      <c r="U753" s="158"/>
      <c r="V753" s="158"/>
      <c r="W753" s="158"/>
      <c r="X753" s="158"/>
      <c r="Y753" s="158"/>
      <c r="Z753" s="158"/>
      <c r="AA753" s="158"/>
      <c r="AB753" s="158"/>
      <c r="AC753" s="158"/>
      <c r="AD753" s="158"/>
      <c r="AE753" s="158"/>
    </row>
    <row r="754">
      <c r="A754" s="158"/>
      <c r="B754" s="158"/>
      <c r="C754" s="158"/>
      <c r="D754" s="158"/>
      <c r="E754" s="160"/>
      <c r="F754" s="158"/>
      <c r="G754" s="158"/>
      <c r="H754" s="160"/>
      <c r="I754" s="158"/>
      <c r="J754" s="158"/>
      <c r="K754" s="160"/>
      <c r="L754" s="158"/>
      <c r="M754" s="158"/>
      <c r="N754" s="158"/>
      <c r="O754" s="158"/>
      <c r="P754" s="158"/>
      <c r="Q754" s="158"/>
      <c r="R754" s="160"/>
      <c r="S754" s="158"/>
      <c r="T754" s="158"/>
      <c r="U754" s="158"/>
      <c r="V754" s="158"/>
      <c r="W754" s="158"/>
      <c r="X754" s="158"/>
      <c r="Y754" s="158"/>
      <c r="Z754" s="158"/>
      <c r="AA754" s="158"/>
      <c r="AB754" s="158"/>
      <c r="AC754" s="158"/>
      <c r="AD754" s="158"/>
      <c r="AE754" s="158"/>
    </row>
    <row r="755">
      <c r="A755" s="158"/>
      <c r="B755" s="158"/>
      <c r="C755" s="158"/>
      <c r="D755" s="158"/>
      <c r="E755" s="160"/>
      <c r="F755" s="158"/>
      <c r="G755" s="158"/>
      <c r="H755" s="160"/>
      <c r="I755" s="158"/>
      <c r="J755" s="158"/>
      <c r="K755" s="160"/>
      <c r="L755" s="158"/>
      <c r="M755" s="158"/>
      <c r="N755" s="158"/>
      <c r="O755" s="158"/>
      <c r="P755" s="158"/>
      <c r="Q755" s="158"/>
      <c r="R755" s="160"/>
      <c r="S755" s="158"/>
      <c r="T755" s="158"/>
      <c r="U755" s="158"/>
      <c r="V755" s="158"/>
      <c r="W755" s="158"/>
      <c r="X755" s="158"/>
      <c r="Y755" s="158"/>
      <c r="Z755" s="158"/>
      <c r="AA755" s="158"/>
      <c r="AB755" s="158"/>
      <c r="AC755" s="158"/>
      <c r="AD755" s="158"/>
      <c r="AE755" s="158"/>
    </row>
    <row r="756">
      <c r="A756" s="158"/>
      <c r="B756" s="158"/>
      <c r="C756" s="158"/>
      <c r="D756" s="158"/>
      <c r="E756" s="160"/>
      <c r="F756" s="158"/>
      <c r="G756" s="158"/>
      <c r="H756" s="160"/>
      <c r="I756" s="158"/>
      <c r="J756" s="158"/>
      <c r="K756" s="160"/>
      <c r="L756" s="158"/>
      <c r="M756" s="158"/>
      <c r="N756" s="158"/>
      <c r="O756" s="158"/>
      <c r="P756" s="158"/>
      <c r="Q756" s="158"/>
      <c r="R756" s="160"/>
      <c r="S756" s="158"/>
      <c r="T756" s="158"/>
      <c r="U756" s="158"/>
      <c r="V756" s="158"/>
      <c r="W756" s="158"/>
      <c r="X756" s="158"/>
      <c r="Y756" s="158"/>
      <c r="Z756" s="158"/>
      <c r="AA756" s="158"/>
      <c r="AB756" s="158"/>
      <c r="AC756" s="158"/>
      <c r="AD756" s="158"/>
      <c r="AE756" s="158"/>
    </row>
    <row r="757">
      <c r="A757" s="158"/>
      <c r="B757" s="158"/>
      <c r="C757" s="158"/>
      <c r="D757" s="158"/>
      <c r="E757" s="160"/>
      <c r="F757" s="158"/>
      <c r="G757" s="158"/>
      <c r="H757" s="160"/>
      <c r="I757" s="158"/>
      <c r="J757" s="158"/>
      <c r="K757" s="160"/>
      <c r="L757" s="158"/>
      <c r="M757" s="158"/>
      <c r="N757" s="158"/>
      <c r="O757" s="158"/>
      <c r="P757" s="158"/>
      <c r="Q757" s="158"/>
      <c r="R757" s="160"/>
      <c r="S757" s="158"/>
      <c r="T757" s="158"/>
      <c r="U757" s="158"/>
      <c r="V757" s="158"/>
      <c r="W757" s="158"/>
      <c r="X757" s="158"/>
      <c r="Y757" s="158"/>
      <c r="Z757" s="158"/>
      <c r="AA757" s="158"/>
      <c r="AB757" s="158"/>
      <c r="AC757" s="158"/>
      <c r="AD757" s="158"/>
      <c r="AE757" s="158"/>
    </row>
    <row r="758">
      <c r="A758" s="158"/>
      <c r="B758" s="158"/>
      <c r="C758" s="158"/>
      <c r="D758" s="158"/>
      <c r="E758" s="160"/>
      <c r="F758" s="158"/>
      <c r="G758" s="158"/>
      <c r="H758" s="160"/>
      <c r="I758" s="158"/>
      <c r="J758" s="158"/>
      <c r="K758" s="160"/>
      <c r="L758" s="158"/>
      <c r="M758" s="158"/>
      <c r="N758" s="158"/>
      <c r="O758" s="158"/>
      <c r="P758" s="158"/>
      <c r="Q758" s="158"/>
      <c r="R758" s="160"/>
      <c r="S758" s="158"/>
      <c r="T758" s="158"/>
      <c r="U758" s="158"/>
      <c r="V758" s="158"/>
      <c r="W758" s="158"/>
      <c r="X758" s="158"/>
      <c r="Y758" s="158"/>
      <c r="Z758" s="158"/>
      <c r="AA758" s="158"/>
      <c r="AB758" s="158"/>
      <c r="AC758" s="158"/>
      <c r="AD758" s="158"/>
      <c r="AE758" s="158"/>
    </row>
    <row r="759">
      <c r="A759" s="158"/>
      <c r="B759" s="158"/>
      <c r="C759" s="158"/>
      <c r="D759" s="158"/>
      <c r="E759" s="160"/>
      <c r="F759" s="158"/>
      <c r="G759" s="158"/>
      <c r="H759" s="160"/>
      <c r="I759" s="158"/>
      <c r="J759" s="158"/>
      <c r="K759" s="160"/>
      <c r="L759" s="158"/>
      <c r="M759" s="158"/>
      <c r="N759" s="158"/>
      <c r="O759" s="158"/>
      <c r="P759" s="158"/>
      <c r="Q759" s="158"/>
      <c r="R759" s="160"/>
      <c r="S759" s="158"/>
      <c r="T759" s="158"/>
      <c r="U759" s="158"/>
      <c r="V759" s="158"/>
      <c r="W759" s="158"/>
      <c r="X759" s="158"/>
      <c r="Y759" s="158"/>
      <c r="Z759" s="158"/>
      <c r="AA759" s="158"/>
      <c r="AB759" s="158"/>
      <c r="AC759" s="158"/>
      <c r="AD759" s="158"/>
      <c r="AE759" s="158"/>
    </row>
    <row r="760">
      <c r="A760" s="158"/>
      <c r="B760" s="158"/>
      <c r="C760" s="158"/>
      <c r="D760" s="158"/>
      <c r="E760" s="160"/>
      <c r="F760" s="158"/>
      <c r="G760" s="158"/>
      <c r="H760" s="160"/>
      <c r="I760" s="158"/>
      <c r="J760" s="158"/>
      <c r="K760" s="160"/>
      <c r="L760" s="158"/>
      <c r="M760" s="158"/>
      <c r="N760" s="158"/>
      <c r="O760" s="158"/>
      <c r="P760" s="158"/>
      <c r="Q760" s="158"/>
      <c r="R760" s="160"/>
      <c r="S760" s="158"/>
      <c r="T760" s="158"/>
      <c r="U760" s="158"/>
      <c r="V760" s="158"/>
      <c r="W760" s="158"/>
      <c r="X760" s="158"/>
      <c r="Y760" s="158"/>
      <c r="Z760" s="158"/>
      <c r="AA760" s="158"/>
      <c r="AB760" s="158"/>
      <c r="AC760" s="158"/>
      <c r="AD760" s="158"/>
      <c r="AE760" s="158"/>
    </row>
    <row r="761">
      <c r="A761" s="158"/>
      <c r="B761" s="158"/>
      <c r="C761" s="158"/>
      <c r="D761" s="158"/>
      <c r="E761" s="160"/>
      <c r="F761" s="158"/>
      <c r="G761" s="158"/>
      <c r="H761" s="160"/>
      <c r="I761" s="158"/>
      <c r="J761" s="158"/>
      <c r="K761" s="160"/>
      <c r="L761" s="158"/>
      <c r="M761" s="158"/>
      <c r="N761" s="158"/>
      <c r="O761" s="158"/>
      <c r="P761" s="158"/>
      <c r="Q761" s="158"/>
      <c r="R761" s="160"/>
      <c r="S761" s="158"/>
      <c r="T761" s="158"/>
      <c r="U761" s="158"/>
      <c r="V761" s="158"/>
      <c r="W761" s="158"/>
      <c r="X761" s="158"/>
      <c r="Y761" s="158"/>
      <c r="Z761" s="158"/>
      <c r="AA761" s="158"/>
      <c r="AB761" s="158"/>
      <c r="AC761" s="158"/>
      <c r="AD761" s="158"/>
      <c r="AE761" s="158"/>
    </row>
    <row r="762">
      <c r="A762" s="158"/>
      <c r="B762" s="158"/>
      <c r="C762" s="158"/>
      <c r="D762" s="158"/>
      <c r="E762" s="160"/>
      <c r="F762" s="158"/>
      <c r="G762" s="158"/>
      <c r="H762" s="160"/>
      <c r="I762" s="158"/>
      <c r="J762" s="158"/>
      <c r="K762" s="160"/>
      <c r="L762" s="158"/>
      <c r="M762" s="158"/>
      <c r="N762" s="158"/>
      <c r="O762" s="158"/>
      <c r="P762" s="158"/>
      <c r="Q762" s="158"/>
      <c r="R762" s="160"/>
      <c r="S762" s="158"/>
      <c r="T762" s="158"/>
      <c r="U762" s="158"/>
      <c r="V762" s="158"/>
      <c r="W762" s="158"/>
      <c r="X762" s="158"/>
      <c r="Y762" s="158"/>
      <c r="Z762" s="158"/>
      <c r="AA762" s="158"/>
      <c r="AB762" s="158"/>
      <c r="AC762" s="158"/>
      <c r="AD762" s="158"/>
      <c r="AE762" s="158"/>
    </row>
    <row r="763">
      <c r="A763" s="158"/>
      <c r="B763" s="158"/>
      <c r="C763" s="158"/>
      <c r="D763" s="158"/>
      <c r="E763" s="160"/>
      <c r="F763" s="158"/>
      <c r="G763" s="158"/>
      <c r="H763" s="160"/>
      <c r="I763" s="158"/>
      <c r="J763" s="158"/>
      <c r="K763" s="160"/>
      <c r="L763" s="158"/>
      <c r="M763" s="158"/>
      <c r="N763" s="158"/>
      <c r="O763" s="158"/>
      <c r="P763" s="158"/>
      <c r="Q763" s="158"/>
      <c r="R763" s="160"/>
      <c r="S763" s="158"/>
      <c r="T763" s="158"/>
      <c r="U763" s="158"/>
      <c r="V763" s="158"/>
      <c r="W763" s="158"/>
      <c r="X763" s="158"/>
      <c r="Y763" s="158"/>
      <c r="Z763" s="158"/>
      <c r="AA763" s="158"/>
      <c r="AB763" s="158"/>
      <c r="AC763" s="158"/>
      <c r="AD763" s="158"/>
      <c r="AE763" s="158"/>
    </row>
    <row r="764">
      <c r="A764" s="158"/>
      <c r="B764" s="158"/>
      <c r="C764" s="158"/>
      <c r="D764" s="158"/>
      <c r="E764" s="160"/>
      <c r="F764" s="158"/>
      <c r="G764" s="158"/>
      <c r="H764" s="160"/>
      <c r="I764" s="158"/>
      <c r="J764" s="158"/>
      <c r="K764" s="160"/>
      <c r="L764" s="158"/>
      <c r="M764" s="158"/>
      <c r="N764" s="158"/>
      <c r="O764" s="158"/>
      <c r="P764" s="158"/>
      <c r="Q764" s="158"/>
      <c r="R764" s="160"/>
      <c r="S764" s="158"/>
      <c r="T764" s="158"/>
      <c r="U764" s="158"/>
      <c r="V764" s="158"/>
      <c r="W764" s="158"/>
      <c r="X764" s="158"/>
      <c r="Y764" s="158"/>
      <c r="Z764" s="158"/>
      <c r="AA764" s="158"/>
      <c r="AB764" s="158"/>
      <c r="AC764" s="158"/>
      <c r="AD764" s="158"/>
      <c r="AE764" s="158"/>
    </row>
    <row r="765">
      <c r="A765" s="158"/>
      <c r="B765" s="158"/>
      <c r="C765" s="158"/>
      <c r="D765" s="158"/>
      <c r="E765" s="160"/>
      <c r="F765" s="158"/>
      <c r="G765" s="158"/>
      <c r="H765" s="160"/>
      <c r="I765" s="158"/>
      <c r="J765" s="158"/>
      <c r="K765" s="160"/>
      <c r="L765" s="158"/>
      <c r="M765" s="158"/>
      <c r="N765" s="158"/>
      <c r="O765" s="158"/>
      <c r="P765" s="158"/>
      <c r="Q765" s="158"/>
      <c r="R765" s="160"/>
      <c r="S765" s="158"/>
      <c r="T765" s="158"/>
      <c r="U765" s="158"/>
      <c r="V765" s="158"/>
      <c r="W765" s="158"/>
      <c r="X765" s="158"/>
      <c r="Y765" s="158"/>
      <c r="Z765" s="158"/>
      <c r="AA765" s="158"/>
      <c r="AB765" s="158"/>
      <c r="AC765" s="158"/>
      <c r="AD765" s="158"/>
      <c r="AE765" s="158"/>
    </row>
    <row r="766">
      <c r="A766" s="158"/>
      <c r="B766" s="158"/>
      <c r="C766" s="158"/>
      <c r="D766" s="158"/>
      <c r="E766" s="160"/>
      <c r="F766" s="158"/>
      <c r="G766" s="158"/>
      <c r="H766" s="160"/>
      <c r="I766" s="158"/>
      <c r="J766" s="158"/>
      <c r="K766" s="160"/>
      <c r="L766" s="158"/>
      <c r="M766" s="158"/>
      <c r="N766" s="158"/>
      <c r="O766" s="158"/>
      <c r="P766" s="158"/>
      <c r="Q766" s="158"/>
      <c r="R766" s="160"/>
      <c r="S766" s="158"/>
      <c r="T766" s="158"/>
      <c r="U766" s="158"/>
      <c r="V766" s="158"/>
      <c r="W766" s="158"/>
      <c r="X766" s="158"/>
      <c r="Y766" s="158"/>
      <c r="Z766" s="158"/>
      <c r="AA766" s="158"/>
      <c r="AB766" s="158"/>
      <c r="AC766" s="158"/>
      <c r="AD766" s="158"/>
      <c r="AE766" s="158"/>
    </row>
    <row r="767">
      <c r="A767" s="158"/>
      <c r="B767" s="158"/>
      <c r="C767" s="158"/>
      <c r="D767" s="158"/>
      <c r="E767" s="160"/>
      <c r="F767" s="158"/>
      <c r="G767" s="158"/>
      <c r="H767" s="160"/>
      <c r="I767" s="158"/>
      <c r="J767" s="158"/>
      <c r="K767" s="160"/>
      <c r="L767" s="158"/>
      <c r="M767" s="158"/>
      <c r="N767" s="158"/>
      <c r="O767" s="158"/>
      <c r="P767" s="158"/>
      <c r="Q767" s="158"/>
      <c r="R767" s="160"/>
      <c r="S767" s="158"/>
      <c r="T767" s="158"/>
      <c r="U767" s="158"/>
      <c r="V767" s="158"/>
      <c r="W767" s="158"/>
      <c r="X767" s="158"/>
      <c r="Y767" s="158"/>
      <c r="Z767" s="158"/>
      <c r="AA767" s="158"/>
      <c r="AB767" s="158"/>
      <c r="AC767" s="158"/>
      <c r="AD767" s="158"/>
      <c r="AE767" s="158"/>
    </row>
    <row r="768">
      <c r="A768" s="158"/>
      <c r="B768" s="158"/>
      <c r="C768" s="158"/>
      <c r="D768" s="158"/>
      <c r="E768" s="160"/>
      <c r="F768" s="158"/>
      <c r="G768" s="158"/>
      <c r="H768" s="160"/>
      <c r="I768" s="158"/>
      <c r="J768" s="158"/>
      <c r="K768" s="160"/>
      <c r="L768" s="158"/>
      <c r="M768" s="158"/>
      <c r="N768" s="158"/>
      <c r="O768" s="158"/>
      <c r="P768" s="158"/>
      <c r="Q768" s="158"/>
      <c r="R768" s="160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  <c r="AD768" s="158"/>
      <c r="AE768" s="158"/>
    </row>
    <row r="769">
      <c r="A769" s="158"/>
      <c r="B769" s="158"/>
      <c r="C769" s="158"/>
      <c r="D769" s="158"/>
      <c r="E769" s="160"/>
      <c r="F769" s="158"/>
      <c r="G769" s="158"/>
      <c r="H769" s="160"/>
      <c r="I769" s="158"/>
      <c r="J769" s="158"/>
      <c r="K769" s="160"/>
      <c r="L769" s="158"/>
      <c r="M769" s="158"/>
      <c r="N769" s="158"/>
      <c r="O769" s="158"/>
      <c r="P769" s="158"/>
      <c r="Q769" s="158"/>
      <c r="R769" s="160"/>
      <c r="S769" s="158"/>
      <c r="T769" s="158"/>
      <c r="U769" s="158"/>
      <c r="V769" s="158"/>
      <c r="W769" s="158"/>
      <c r="X769" s="158"/>
      <c r="Y769" s="158"/>
      <c r="Z769" s="158"/>
      <c r="AA769" s="158"/>
      <c r="AB769" s="158"/>
      <c r="AC769" s="158"/>
      <c r="AD769" s="158"/>
      <c r="AE769" s="158"/>
    </row>
    <row r="770">
      <c r="A770" s="158"/>
      <c r="B770" s="158"/>
      <c r="C770" s="158"/>
      <c r="D770" s="158"/>
      <c r="E770" s="160"/>
      <c r="F770" s="158"/>
      <c r="G770" s="158"/>
      <c r="H770" s="160"/>
      <c r="I770" s="158"/>
      <c r="J770" s="158"/>
      <c r="K770" s="160"/>
      <c r="L770" s="158"/>
      <c r="M770" s="158"/>
      <c r="N770" s="158"/>
      <c r="O770" s="158"/>
      <c r="P770" s="158"/>
      <c r="Q770" s="158"/>
      <c r="R770" s="160"/>
      <c r="S770" s="158"/>
      <c r="T770" s="158"/>
      <c r="U770" s="158"/>
      <c r="V770" s="158"/>
      <c r="W770" s="158"/>
      <c r="X770" s="158"/>
      <c r="Y770" s="158"/>
      <c r="Z770" s="158"/>
      <c r="AA770" s="158"/>
      <c r="AB770" s="158"/>
      <c r="AC770" s="158"/>
      <c r="AD770" s="158"/>
      <c r="AE770" s="158"/>
    </row>
    <row r="771">
      <c r="A771" s="158"/>
      <c r="B771" s="158"/>
      <c r="C771" s="158"/>
      <c r="D771" s="158"/>
      <c r="E771" s="160"/>
      <c r="F771" s="158"/>
      <c r="G771" s="158"/>
      <c r="H771" s="160"/>
      <c r="I771" s="158"/>
      <c r="J771" s="158"/>
      <c r="K771" s="160"/>
      <c r="L771" s="158"/>
      <c r="M771" s="158"/>
      <c r="N771" s="158"/>
      <c r="O771" s="158"/>
      <c r="P771" s="158"/>
      <c r="Q771" s="158"/>
      <c r="R771" s="160"/>
      <c r="S771" s="158"/>
      <c r="T771" s="158"/>
      <c r="U771" s="158"/>
      <c r="V771" s="158"/>
      <c r="W771" s="158"/>
      <c r="X771" s="158"/>
      <c r="Y771" s="158"/>
      <c r="Z771" s="158"/>
      <c r="AA771" s="158"/>
      <c r="AB771" s="158"/>
      <c r="AC771" s="158"/>
      <c r="AD771" s="158"/>
      <c r="AE771" s="158"/>
    </row>
    <row r="772">
      <c r="A772" s="158"/>
      <c r="B772" s="158"/>
      <c r="C772" s="158"/>
      <c r="D772" s="158"/>
      <c r="E772" s="160"/>
      <c r="F772" s="158"/>
      <c r="G772" s="158"/>
      <c r="H772" s="160"/>
      <c r="I772" s="158"/>
      <c r="J772" s="158"/>
      <c r="K772" s="160"/>
      <c r="L772" s="158"/>
      <c r="M772" s="158"/>
      <c r="N772" s="158"/>
      <c r="O772" s="158"/>
      <c r="P772" s="158"/>
      <c r="Q772" s="158"/>
      <c r="R772" s="160"/>
      <c r="S772" s="158"/>
      <c r="T772" s="158"/>
      <c r="U772" s="158"/>
      <c r="V772" s="158"/>
      <c r="W772" s="158"/>
      <c r="X772" s="158"/>
      <c r="Y772" s="158"/>
      <c r="Z772" s="158"/>
      <c r="AA772" s="158"/>
      <c r="AB772" s="158"/>
      <c r="AC772" s="158"/>
      <c r="AD772" s="158"/>
      <c r="AE772" s="158"/>
    </row>
    <row r="773">
      <c r="A773" s="158"/>
      <c r="B773" s="158"/>
      <c r="C773" s="158"/>
      <c r="D773" s="158"/>
      <c r="E773" s="160"/>
      <c r="F773" s="158"/>
      <c r="G773" s="158"/>
      <c r="H773" s="160"/>
      <c r="I773" s="158"/>
      <c r="J773" s="158"/>
      <c r="K773" s="160"/>
      <c r="L773" s="158"/>
      <c r="M773" s="158"/>
      <c r="N773" s="158"/>
      <c r="O773" s="158"/>
      <c r="P773" s="158"/>
      <c r="Q773" s="158"/>
      <c r="R773" s="160"/>
      <c r="S773" s="158"/>
      <c r="T773" s="158"/>
      <c r="U773" s="158"/>
      <c r="V773" s="158"/>
      <c r="W773" s="158"/>
      <c r="X773" s="158"/>
      <c r="Y773" s="158"/>
      <c r="Z773" s="158"/>
      <c r="AA773" s="158"/>
      <c r="AB773" s="158"/>
      <c r="AC773" s="158"/>
      <c r="AD773" s="158"/>
      <c r="AE773" s="158"/>
    </row>
    <row r="774">
      <c r="A774" s="158"/>
      <c r="B774" s="158"/>
      <c r="C774" s="158"/>
      <c r="D774" s="158"/>
      <c r="E774" s="160"/>
      <c r="F774" s="158"/>
      <c r="G774" s="158"/>
      <c r="H774" s="160"/>
      <c r="I774" s="158"/>
      <c r="J774" s="158"/>
      <c r="K774" s="160"/>
      <c r="L774" s="158"/>
      <c r="M774" s="158"/>
      <c r="N774" s="158"/>
      <c r="O774" s="158"/>
      <c r="P774" s="158"/>
      <c r="Q774" s="158"/>
      <c r="R774" s="160"/>
      <c r="S774" s="158"/>
      <c r="T774" s="158"/>
      <c r="U774" s="158"/>
      <c r="V774" s="158"/>
      <c r="W774" s="158"/>
      <c r="X774" s="158"/>
      <c r="Y774" s="158"/>
      <c r="Z774" s="158"/>
      <c r="AA774" s="158"/>
      <c r="AB774" s="158"/>
      <c r="AC774" s="158"/>
      <c r="AD774" s="158"/>
      <c r="AE774" s="158"/>
    </row>
    <row r="775">
      <c r="A775" s="158"/>
      <c r="B775" s="158"/>
      <c r="C775" s="158"/>
      <c r="D775" s="158"/>
      <c r="E775" s="160"/>
      <c r="F775" s="158"/>
      <c r="G775" s="158"/>
      <c r="H775" s="160"/>
      <c r="I775" s="158"/>
      <c r="J775" s="158"/>
      <c r="K775" s="160"/>
      <c r="L775" s="158"/>
      <c r="M775" s="158"/>
      <c r="N775" s="158"/>
      <c r="O775" s="158"/>
      <c r="P775" s="158"/>
      <c r="Q775" s="158"/>
      <c r="R775" s="160"/>
      <c r="S775" s="158"/>
      <c r="T775" s="158"/>
      <c r="U775" s="158"/>
      <c r="V775" s="158"/>
      <c r="W775" s="158"/>
      <c r="X775" s="158"/>
      <c r="Y775" s="158"/>
      <c r="Z775" s="158"/>
      <c r="AA775" s="158"/>
      <c r="AB775" s="158"/>
      <c r="AC775" s="158"/>
      <c r="AD775" s="158"/>
      <c r="AE775" s="158"/>
    </row>
    <row r="776">
      <c r="A776" s="158"/>
      <c r="B776" s="158"/>
      <c r="C776" s="158"/>
      <c r="D776" s="158"/>
      <c r="E776" s="160"/>
      <c r="F776" s="158"/>
      <c r="G776" s="158"/>
      <c r="H776" s="160"/>
      <c r="I776" s="158"/>
      <c r="J776" s="158"/>
      <c r="K776" s="160"/>
      <c r="L776" s="158"/>
      <c r="M776" s="158"/>
      <c r="N776" s="158"/>
      <c r="O776" s="158"/>
      <c r="P776" s="158"/>
      <c r="Q776" s="158"/>
      <c r="R776" s="160"/>
      <c r="S776" s="158"/>
      <c r="T776" s="158"/>
      <c r="U776" s="158"/>
      <c r="V776" s="158"/>
      <c r="W776" s="158"/>
      <c r="X776" s="158"/>
      <c r="Y776" s="158"/>
      <c r="Z776" s="158"/>
      <c r="AA776" s="158"/>
      <c r="AB776" s="158"/>
      <c r="AC776" s="158"/>
      <c r="AD776" s="158"/>
      <c r="AE776" s="158"/>
    </row>
    <row r="777">
      <c r="A777" s="158"/>
      <c r="B777" s="158"/>
      <c r="C777" s="158"/>
      <c r="D777" s="158"/>
      <c r="E777" s="160"/>
      <c r="F777" s="158"/>
      <c r="G777" s="158"/>
      <c r="H777" s="160"/>
      <c r="I777" s="158"/>
      <c r="J777" s="158"/>
      <c r="K777" s="160"/>
      <c r="L777" s="158"/>
      <c r="M777" s="158"/>
      <c r="N777" s="158"/>
      <c r="O777" s="158"/>
      <c r="P777" s="158"/>
      <c r="Q777" s="158"/>
      <c r="R777" s="160"/>
      <c r="S777" s="158"/>
      <c r="T777" s="158"/>
      <c r="U777" s="158"/>
      <c r="V777" s="158"/>
      <c r="W777" s="158"/>
      <c r="X777" s="158"/>
      <c r="Y777" s="158"/>
      <c r="Z777" s="158"/>
      <c r="AA777" s="158"/>
      <c r="AB777" s="158"/>
      <c r="AC777" s="158"/>
      <c r="AD777" s="158"/>
      <c r="AE777" s="158"/>
    </row>
    <row r="778">
      <c r="A778" s="158"/>
      <c r="B778" s="158"/>
      <c r="C778" s="158"/>
      <c r="D778" s="158"/>
      <c r="E778" s="160"/>
      <c r="F778" s="158"/>
      <c r="G778" s="158"/>
      <c r="H778" s="160"/>
      <c r="I778" s="158"/>
      <c r="J778" s="158"/>
      <c r="K778" s="160"/>
      <c r="L778" s="158"/>
      <c r="M778" s="158"/>
      <c r="N778" s="158"/>
      <c r="O778" s="158"/>
      <c r="P778" s="158"/>
      <c r="Q778" s="158"/>
      <c r="R778" s="160"/>
      <c r="S778" s="158"/>
      <c r="T778" s="158"/>
      <c r="U778" s="158"/>
      <c r="V778" s="158"/>
      <c r="W778" s="158"/>
      <c r="X778" s="158"/>
      <c r="Y778" s="158"/>
      <c r="Z778" s="158"/>
      <c r="AA778" s="158"/>
      <c r="AB778" s="158"/>
      <c r="AC778" s="158"/>
      <c r="AD778" s="158"/>
      <c r="AE778" s="158"/>
    </row>
    <row r="779">
      <c r="A779" s="158"/>
      <c r="B779" s="158"/>
      <c r="C779" s="158"/>
      <c r="D779" s="158"/>
      <c r="E779" s="160"/>
      <c r="F779" s="158"/>
      <c r="G779" s="158"/>
      <c r="H779" s="160"/>
      <c r="I779" s="158"/>
      <c r="J779" s="158"/>
      <c r="K779" s="160"/>
      <c r="L779" s="158"/>
      <c r="M779" s="158"/>
      <c r="N779" s="158"/>
      <c r="O779" s="158"/>
      <c r="P779" s="158"/>
      <c r="Q779" s="158"/>
      <c r="R779" s="160"/>
      <c r="S779" s="158"/>
      <c r="T779" s="158"/>
      <c r="U779" s="158"/>
      <c r="V779" s="158"/>
      <c r="W779" s="158"/>
      <c r="X779" s="158"/>
      <c r="Y779" s="158"/>
      <c r="Z779" s="158"/>
      <c r="AA779" s="158"/>
      <c r="AB779" s="158"/>
      <c r="AC779" s="158"/>
      <c r="AD779" s="158"/>
      <c r="AE779" s="158"/>
    </row>
    <row r="780">
      <c r="A780" s="158"/>
      <c r="B780" s="158"/>
      <c r="C780" s="158"/>
      <c r="D780" s="158"/>
      <c r="E780" s="160"/>
      <c r="F780" s="158"/>
      <c r="G780" s="158"/>
      <c r="H780" s="160"/>
      <c r="I780" s="158"/>
      <c r="J780" s="158"/>
      <c r="K780" s="160"/>
      <c r="L780" s="158"/>
      <c r="M780" s="158"/>
      <c r="N780" s="158"/>
      <c r="O780" s="158"/>
      <c r="P780" s="158"/>
      <c r="Q780" s="158"/>
      <c r="R780" s="160"/>
      <c r="S780" s="158"/>
      <c r="T780" s="158"/>
      <c r="U780" s="158"/>
      <c r="V780" s="158"/>
      <c r="W780" s="158"/>
      <c r="X780" s="158"/>
      <c r="Y780" s="158"/>
      <c r="Z780" s="158"/>
      <c r="AA780" s="158"/>
      <c r="AB780" s="158"/>
      <c r="AC780" s="158"/>
      <c r="AD780" s="158"/>
      <c r="AE780" s="158"/>
    </row>
    <row r="781">
      <c r="A781" s="158"/>
      <c r="B781" s="158"/>
      <c r="C781" s="158"/>
      <c r="D781" s="158"/>
      <c r="E781" s="160"/>
      <c r="F781" s="158"/>
      <c r="G781" s="158"/>
      <c r="H781" s="160"/>
      <c r="I781" s="158"/>
      <c r="J781" s="158"/>
      <c r="K781" s="160"/>
      <c r="L781" s="158"/>
      <c r="M781" s="158"/>
      <c r="N781" s="158"/>
      <c r="O781" s="158"/>
      <c r="P781" s="158"/>
      <c r="Q781" s="158"/>
      <c r="R781" s="160"/>
      <c r="S781" s="158"/>
      <c r="T781" s="158"/>
      <c r="U781" s="158"/>
      <c r="V781" s="158"/>
      <c r="W781" s="158"/>
      <c r="X781" s="158"/>
      <c r="Y781" s="158"/>
      <c r="Z781" s="158"/>
      <c r="AA781" s="158"/>
      <c r="AB781" s="158"/>
      <c r="AC781" s="158"/>
      <c r="AD781" s="158"/>
      <c r="AE781" s="158"/>
    </row>
    <row r="782">
      <c r="A782" s="158"/>
      <c r="B782" s="158"/>
      <c r="C782" s="158"/>
      <c r="D782" s="158"/>
      <c r="E782" s="160"/>
      <c r="F782" s="158"/>
      <c r="G782" s="158"/>
      <c r="H782" s="160"/>
      <c r="I782" s="158"/>
      <c r="J782" s="158"/>
      <c r="K782" s="160"/>
      <c r="L782" s="158"/>
      <c r="M782" s="158"/>
      <c r="N782" s="158"/>
      <c r="O782" s="158"/>
      <c r="P782" s="158"/>
      <c r="Q782" s="158"/>
      <c r="R782" s="160"/>
      <c r="S782" s="158"/>
      <c r="T782" s="158"/>
      <c r="U782" s="158"/>
      <c r="V782" s="158"/>
      <c r="W782" s="158"/>
      <c r="X782" s="158"/>
      <c r="Y782" s="158"/>
      <c r="Z782" s="158"/>
      <c r="AA782" s="158"/>
      <c r="AB782" s="158"/>
      <c r="AC782" s="158"/>
      <c r="AD782" s="158"/>
      <c r="AE782" s="158"/>
    </row>
    <row r="783">
      <c r="A783" s="158"/>
      <c r="B783" s="158"/>
      <c r="C783" s="158"/>
      <c r="D783" s="158"/>
      <c r="E783" s="160"/>
      <c r="F783" s="158"/>
      <c r="G783" s="158"/>
      <c r="H783" s="160"/>
      <c r="I783" s="158"/>
      <c r="J783" s="158"/>
      <c r="K783" s="160"/>
      <c r="L783" s="158"/>
      <c r="M783" s="158"/>
      <c r="N783" s="158"/>
      <c r="O783" s="158"/>
      <c r="P783" s="158"/>
      <c r="Q783" s="158"/>
      <c r="R783" s="160"/>
      <c r="S783" s="158"/>
      <c r="T783" s="158"/>
      <c r="U783" s="158"/>
      <c r="V783" s="158"/>
      <c r="W783" s="158"/>
      <c r="X783" s="158"/>
      <c r="Y783" s="158"/>
      <c r="Z783" s="158"/>
      <c r="AA783" s="158"/>
      <c r="AB783" s="158"/>
      <c r="AC783" s="158"/>
      <c r="AD783" s="158"/>
      <c r="AE783" s="158"/>
    </row>
    <row r="784">
      <c r="A784" s="158"/>
      <c r="B784" s="158"/>
      <c r="C784" s="158"/>
      <c r="D784" s="158"/>
      <c r="E784" s="160"/>
      <c r="F784" s="158"/>
      <c r="G784" s="158"/>
      <c r="H784" s="160"/>
      <c r="I784" s="158"/>
      <c r="J784" s="158"/>
      <c r="K784" s="160"/>
      <c r="L784" s="158"/>
      <c r="M784" s="158"/>
      <c r="N784" s="158"/>
      <c r="O784" s="158"/>
      <c r="P784" s="158"/>
      <c r="Q784" s="158"/>
      <c r="R784" s="160"/>
      <c r="S784" s="158"/>
      <c r="T784" s="158"/>
      <c r="U784" s="158"/>
      <c r="V784" s="158"/>
      <c r="W784" s="158"/>
      <c r="X784" s="158"/>
      <c r="Y784" s="158"/>
      <c r="Z784" s="158"/>
      <c r="AA784" s="158"/>
      <c r="AB784" s="158"/>
      <c r="AC784" s="158"/>
      <c r="AD784" s="158"/>
      <c r="AE784" s="158"/>
    </row>
    <row r="785">
      <c r="A785" s="158"/>
      <c r="B785" s="158"/>
      <c r="C785" s="158"/>
      <c r="D785" s="158"/>
      <c r="E785" s="160"/>
      <c r="F785" s="158"/>
      <c r="G785" s="158"/>
      <c r="H785" s="160"/>
      <c r="I785" s="158"/>
      <c r="J785" s="158"/>
      <c r="K785" s="160"/>
      <c r="L785" s="158"/>
      <c r="M785" s="158"/>
      <c r="N785" s="158"/>
      <c r="O785" s="158"/>
      <c r="P785" s="158"/>
      <c r="Q785" s="158"/>
      <c r="R785" s="160"/>
      <c r="S785" s="158"/>
      <c r="T785" s="158"/>
      <c r="U785" s="158"/>
      <c r="V785" s="158"/>
      <c r="W785" s="158"/>
      <c r="X785" s="158"/>
      <c r="Y785" s="158"/>
      <c r="Z785" s="158"/>
      <c r="AA785" s="158"/>
      <c r="AB785" s="158"/>
      <c r="AC785" s="158"/>
      <c r="AD785" s="158"/>
      <c r="AE785" s="158"/>
    </row>
    <row r="786">
      <c r="A786" s="158"/>
      <c r="B786" s="158"/>
      <c r="C786" s="158"/>
      <c r="D786" s="158"/>
      <c r="E786" s="160"/>
      <c r="F786" s="158"/>
      <c r="G786" s="158"/>
      <c r="H786" s="160"/>
      <c r="I786" s="158"/>
      <c r="J786" s="158"/>
      <c r="K786" s="160"/>
      <c r="L786" s="158"/>
      <c r="M786" s="158"/>
      <c r="N786" s="158"/>
      <c r="O786" s="158"/>
      <c r="P786" s="158"/>
      <c r="Q786" s="158"/>
      <c r="R786" s="160"/>
      <c r="S786" s="158"/>
      <c r="T786" s="158"/>
      <c r="U786" s="158"/>
      <c r="V786" s="158"/>
      <c r="W786" s="158"/>
      <c r="X786" s="158"/>
      <c r="Y786" s="158"/>
      <c r="Z786" s="158"/>
      <c r="AA786" s="158"/>
      <c r="AB786" s="158"/>
      <c r="AC786" s="158"/>
      <c r="AD786" s="158"/>
      <c r="AE786" s="158"/>
    </row>
    <row r="787">
      <c r="A787" s="158"/>
      <c r="B787" s="158"/>
      <c r="C787" s="158"/>
      <c r="D787" s="158"/>
      <c r="E787" s="160"/>
      <c r="F787" s="158"/>
      <c r="G787" s="158"/>
      <c r="H787" s="160"/>
      <c r="I787" s="158"/>
      <c r="J787" s="158"/>
      <c r="K787" s="160"/>
      <c r="L787" s="158"/>
      <c r="M787" s="158"/>
      <c r="N787" s="158"/>
      <c r="O787" s="158"/>
      <c r="P787" s="158"/>
      <c r="Q787" s="158"/>
      <c r="R787" s="160"/>
      <c r="S787" s="158"/>
      <c r="T787" s="158"/>
      <c r="U787" s="158"/>
      <c r="V787" s="158"/>
      <c r="W787" s="158"/>
      <c r="X787" s="158"/>
      <c r="Y787" s="158"/>
      <c r="Z787" s="158"/>
      <c r="AA787" s="158"/>
      <c r="AB787" s="158"/>
      <c r="AC787" s="158"/>
      <c r="AD787" s="158"/>
      <c r="AE787" s="158"/>
    </row>
    <row r="788">
      <c r="A788" s="158"/>
      <c r="B788" s="158"/>
      <c r="C788" s="158"/>
      <c r="D788" s="158"/>
      <c r="E788" s="160"/>
      <c r="F788" s="158"/>
      <c r="G788" s="158"/>
      <c r="H788" s="160"/>
      <c r="I788" s="158"/>
      <c r="J788" s="158"/>
      <c r="K788" s="160"/>
      <c r="L788" s="158"/>
      <c r="M788" s="158"/>
      <c r="N788" s="158"/>
      <c r="O788" s="158"/>
      <c r="P788" s="158"/>
      <c r="Q788" s="158"/>
      <c r="R788" s="160"/>
      <c r="S788" s="158"/>
      <c r="T788" s="158"/>
      <c r="U788" s="158"/>
      <c r="V788" s="158"/>
      <c r="W788" s="158"/>
      <c r="X788" s="158"/>
      <c r="Y788" s="158"/>
      <c r="Z788" s="158"/>
      <c r="AA788" s="158"/>
      <c r="AB788" s="158"/>
      <c r="AC788" s="158"/>
      <c r="AD788" s="158"/>
      <c r="AE788" s="158"/>
    </row>
    <row r="789">
      <c r="A789" s="158"/>
      <c r="B789" s="158"/>
      <c r="C789" s="158"/>
      <c r="D789" s="158"/>
      <c r="E789" s="160"/>
      <c r="F789" s="158"/>
      <c r="G789" s="158"/>
      <c r="H789" s="160"/>
      <c r="I789" s="158"/>
      <c r="J789" s="158"/>
      <c r="K789" s="160"/>
      <c r="L789" s="158"/>
      <c r="M789" s="158"/>
      <c r="N789" s="158"/>
      <c r="O789" s="158"/>
      <c r="P789" s="158"/>
      <c r="Q789" s="158"/>
      <c r="R789" s="160"/>
      <c r="S789" s="158"/>
      <c r="T789" s="158"/>
      <c r="U789" s="158"/>
      <c r="V789" s="158"/>
      <c r="W789" s="158"/>
      <c r="X789" s="158"/>
      <c r="Y789" s="158"/>
      <c r="Z789" s="158"/>
      <c r="AA789" s="158"/>
      <c r="AB789" s="158"/>
      <c r="AC789" s="158"/>
      <c r="AD789" s="158"/>
      <c r="AE789" s="158"/>
    </row>
    <row r="790">
      <c r="A790" s="158"/>
      <c r="B790" s="158"/>
      <c r="C790" s="158"/>
      <c r="D790" s="158"/>
      <c r="E790" s="160"/>
      <c r="F790" s="158"/>
      <c r="G790" s="158"/>
      <c r="H790" s="160"/>
      <c r="I790" s="158"/>
      <c r="J790" s="158"/>
      <c r="K790" s="160"/>
      <c r="L790" s="158"/>
      <c r="M790" s="158"/>
      <c r="N790" s="158"/>
      <c r="O790" s="158"/>
      <c r="P790" s="158"/>
      <c r="Q790" s="158"/>
      <c r="R790" s="160"/>
      <c r="S790" s="158"/>
      <c r="T790" s="158"/>
      <c r="U790" s="158"/>
      <c r="V790" s="158"/>
      <c r="W790" s="158"/>
      <c r="X790" s="158"/>
      <c r="Y790" s="158"/>
      <c r="Z790" s="158"/>
      <c r="AA790" s="158"/>
      <c r="AB790" s="158"/>
      <c r="AC790" s="158"/>
      <c r="AD790" s="158"/>
      <c r="AE790" s="158"/>
    </row>
    <row r="791">
      <c r="A791" s="158"/>
      <c r="B791" s="158"/>
      <c r="C791" s="158"/>
      <c r="D791" s="158"/>
      <c r="E791" s="160"/>
      <c r="F791" s="158"/>
      <c r="G791" s="158"/>
      <c r="H791" s="160"/>
      <c r="I791" s="158"/>
      <c r="J791" s="158"/>
      <c r="K791" s="160"/>
      <c r="L791" s="158"/>
      <c r="M791" s="158"/>
      <c r="N791" s="158"/>
      <c r="O791" s="158"/>
      <c r="P791" s="158"/>
      <c r="Q791" s="158"/>
      <c r="R791" s="160"/>
      <c r="S791" s="158"/>
      <c r="T791" s="158"/>
      <c r="U791" s="158"/>
      <c r="V791" s="158"/>
      <c r="W791" s="158"/>
      <c r="X791" s="158"/>
      <c r="Y791" s="158"/>
      <c r="Z791" s="158"/>
      <c r="AA791" s="158"/>
      <c r="AB791" s="158"/>
      <c r="AC791" s="158"/>
      <c r="AD791" s="158"/>
      <c r="AE791" s="158"/>
    </row>
    <row r="792">
      <c r="A792" s="158"/>
      <c r="B792" s="158"/>
      <c r="C792" s="158"/>
      <c r="D792" s="158"/>
      <c r="E792" s="160"/>
      <c r="F792" s="158"/>
      <c r="G792" s="158"/>
      <c r="H792" s="160"/>
      <c r="I792" s="158"/>
      <c r="J792" s="158"/>
      <c r="K792" s="160"/>
      <c r="L792" s="158"/>
      <c r="M792" s="158"/>
      <c r="N792" s="158"/>
      <c r="O792" s="158"/>
      <c r="P792" s="158"/>
      <c r="Q792" s="158"/>
      <c r="R792" s="160"/>
      <c r="S792" s="158"/>
      <c r="T792" s="158"/>
      <c r="U792" s="158"/>
      <c r="V792" s="158"/>
      <c r="W792" s="158"/>
      <c r="X792" s="158"/>
      <c r="Y792" s="158"/>
      <c r="Z792" s="158"/>
      <c r="AA792" s="158"/>
      <c r="AB792" s="158"/>
      <c r="AC792" s="158"/>
      <c r="AD792" s="158"/>
      <c r="AE792" s="158"/>
    </row>
    <row r="793">
      <c r="A793" s="158"/>
      <c r="B793" s="158"/>
      <c r="C793" s="158"/>
      <c r="D793" s="158"/>
      <c r="E793" s="160"/>
      <c r="F793" s="158"/>
      <c r="G793" s="158"/>
      <c r="H793" s="160"/>
      <c r="I793" s="158"/>
      <c r="J793" s="158"/>
      <c r="K793" s="160"/>
      <c r="L793" s="158"/>
      <c r="M793" s="158"/>
      <c r="N793" s="158"/>
      <c r="O793" s="158"/>
      <c r="P793" s="158"/>
      <c r="Q793" s="158"/>
      <c r="R793" s="160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  <c r="AD793" s="158"/>
      <c r="AE793" s="158"/>
    </row>
    <row r="794">
      <c r="A794" s="158"/>
      <c r="B794" s="158"/>
      <c r="C794" s="158"/>
      <c r="D794" s="158"/>
      <c r="E794" s="160"/>
      <c r="F794" s="158"/>
      <c r="G794" s="158"/>
      <c r="H794" s="160"/>
      <c r="I794" s="158"/>
      <c r="J794" s="158"/>
      <c r="K794" s="160"/>
      <c r="L794" s="158"/>
      <c r="M794" s="158"/>
      <c r="N794" s="158"/>
      <c r="O794" s="158"/>
      <c r="P794" s="158"/>
      <c r="Q794" s="158"/>
      <c r="R794" s="160"/>
      <c r="S794" s="158"/>
      <c r="T794" s="158"/>
      <c r="U794" s="158"/>
      <c r="V794" s="158"/>
      <c r="W794" s="158"/>
      <c r="X794" s="158"/>
      <c r="Y794" s="158"/>
      <c r="Z794" s="158"/>
      <c r="AA794" s="158"/>
      <c r="AB794" s="158"/>
      <c r="AC794" s="158"/>
      <c r="AD794" s="158"/>
      <c r="AE794" s="158"/>
    </row>
    <row r="795">
      <c r="A795" s="158"/>
      <c r="B795" s="158"/>
      <c r="C795" s="158"/>
      <c r="D795" s="158"/>
      <c r="E795" s="160"/>
      <c r="F795" s="158"/>
      <c r="G795" s="158"/>
      <c r="H795" s="160"/>
      <c r="I795" s="158"/>
      <c r="J795" s="158"/>
      <c r="K795" s="160"/>
      <c r="L795" s="158"/>
      <c r="M795" s="158"/>
      <c r="N795" s="158"/>
      <c r="O795" s="158"/>
      <c r="P795" s="158"/>
      <c r="Q795" s="158"/>
      <c r="R795" s="160"/>
      <c r="S795" s="158"/>
      <c r="T795" s="158"/>
      <c r="U795" s="158"/>
      <c r="V795" s="158"/>
      <c r="W795" s="158"/>
      <c r="X795" s="158"/>
      <c r="Y795" s="158"/>
      <c r="Z795" s="158"/>
      <c r="AA795" s="158"/>
      <c r="AB795" s="158"/>
      <c r="AC795" s="158"/>
      <c r="AD795" s="158"/>
      <c r="AE795" s="158"/>
    </row>
    <row r="796">
      <c r="A796" s="158"/>
      <c r="B796" s="158"/>
      <c r="C796" s="158"/>
      <c r="D796" s="158"/>
      <c r="E796" s="160"/>
      <c r="F796" s="158"/>
      <c r="G796" s="158"/>
      <c r="H796" s="160"/>
      <c r="I796" s="158"/>
      <c r="J796" s="158"/>
      <c r="K796" s="160"/>
      <c r="L796" s="158"/>
      <c r="M796" s="158"/>
      <c r="N796" s="158"/>
      <c r="O796" s="158"/>
      <c r="P796" s="158"/>
      <c r="Q796" s="158"/>
      <c r="R796" s="160"/>
      <c r="S796" s="158"/>
      <c r="T796" s="158"/>
      <c r="U796" s="158"/>
      <c r="V796" s="158"/>
      <c r="W796" s="158"/>
      <c r="X796" s="158"/>
      <c r="Y796" s="158"/>
      <c r="Z796" s="158"/>
      <c r="AA796" s="158"/>
      <c r="AB796" s="158"/>
      <c r="AC796" s="158"/>
      <c r="AD796" s="158"/>
      <c r="AE796" s="158"/>
    </row>
    <row r="797">
      <c r="A797" s="158"/>
      <c r="B797" s="158"/>
      <c r="C797" s="158"/>
      <c r="D797" s="158"/>
      <c r="E797" s="160"/>
      <c r="F797" s="158"/>
      <c r="G797" s="158"/>
      <c r="H797" s="160"/>
      <c r="I797" s="158"/>
      <c r="J797" s="158"/>
      <c r="K797" s="160"/>
      <c r="L797" s="158"/>
      <c r="M797" s="158"/>
      <c r="N797" s="158"/>
      <c r="O797" s="158"/>
      <c r="P797" s="158"/>
      <c r="Q797" s="158"/>
      <c r="R797" s="160"/>
      <c r="S797" s="158"/>
      <c r="T797" s="158"/>
      <c r="U797" s="158"/>
      <c r="V797" s="158"/>
      <c r="W797" s="158"/>
      <c r="X797" s="158"/>
      <c r="Y797" s="158"/>
      <c r="Z797" s="158"/>
      <c r="AA797" s="158"/>
      <c r="AB797" s="158"/>
      <c r="AC797" s="158"/>
      <c r="AD797" s="158"/>
      <c r="AE797" s="158"/>
    </row>
    <row r="798">
      <c r="A798" s="158"/>
      <c r="B798" s="158"/>
      <c r="C798" s="158"/>
      <c r="D798" s="158"/>
      <c r="E798" s="160"/>
      <c r="F798" s="158"/>
      <c r="G798" s="158"/>
      <c r="H798" s="160"/>
      <c r="I798" s="158"/>
      <c r="J798" s="158"/>
      <c r="K798" s="160"/>
      <c r="L798" s="158"/>
      <c r="M798" s="158"/>
      <c r="N798" s="158"/>
      <c r="O798" s="158"/>
      <c r="P798" s="158"/>
      <c r="Q798" s="158"/>
      <c r="R798" s="160"/>
      <c r="S798" s="158"/>
      <c r="T798" s="158"/>
      <c r="U798" s="158"/>
      <c r="V798" s="158"/>
      <c r="W798" s="158"/>
      <c r="X798" s="158"/>
      <c r="Y798" s="158"/>
      <c r="Z798" s="158"/>
      <c r="AA798" s="158"/>
      <c r="AB798" s="158"/>
      <c r="AC798" s="158"/>
      <c r="AD798" s="158"/>
      <c r="AE798" s="158"/>
    </row>
    <row r="799">
      <c r="A799" s="158"/>
      <c r="B799" s="158"/>
      <c r="C799" s="158"/>
      <c r="D799" s="158"/>
      <c r="E799" s="160"/>
      <c r="F799" s="158"/>
      <c r="G799" s="158"/>
      <c r="H799" s="160"/>
      <c r="I799" s="158"/>
      <c r="J799" s="158"/>
      <c r="K799" s="160"/>
      <c r="L799" s="158"/>
      <c r="M799" s="158"/>
      <c r="N799" s="158"/>
      <c r="O799" s="158"/>
      <c r="P799" s="158"/>
      <c r="Q799" s="158"/>
      <c r="R799" s="160"/>
      <c r="S799" s="158"/>
      <c r="T799" s="158"/>
      <c r="U799" s="158"/>
      <c r="V799" s="158"/>
      <c r="W799" s="158"/>
      <c r="X799" s="158"/>
      <c r="Y799" s="158"/>
      <c r="Z799" s="158"/>
      <c r="AA799" s="158"/>
      <c r="AB799" s="158"/>
      <c r="AC799" s="158"/>
      <c r="AD799" s="158"/>
      <c r="AE799" s="158"/>
    </row>
    <row r="800">
      <c r="A800" s="158"/>
      <c r="B800" s="158"/>
      <c r="C800" s="158"/>
      <c r="D800" s="158"/>
      <c r="E800" s="160"/>
      <c r="F800" s="158"/>
      <c r="G800" s="158"/>
      <c r="H800" s="160"/>
      <c r="I800" s="158"/>
      <c r="J800" s="158"/>
      <c r="K800" s="160"/>
      <c r="L800" s="158"/>
      <c r="M800" s="158"/>
      <c r="N800" s="158"/>
      <c r="O800" s="158"/>
      <c r="P800" s="158"/>
      <c r="Q800" s="158"/>
      <c r="R800" s="160"/>
      <c r="S800" s="158"/>
      <c r="T800" s="158"/>
      <c r="U800" s="158"/>
      <c r="V800" s="158"/>
      <c r="W800" s="158"/>
      <c r="X800" s="158"/>
      <c r="Y800" s="158"/>
      <c r="Z800" s="158"/>
      <c r="AA800" s="158"/>
      <c r="AB800" s="158"/>
      <c r="AC800" s="158"/>
      <c r="AD800" s="158"/>
      <c r="AE800" s="158"/>
    </row>
    <row r="801">
      <c r="A801" s="158"/>
      <c r="B801" s="158"/>
      <c r="C801" s="158"/>
      <c r="D801" s="158"/>
      <c r="E801" s="160"/>
      <c r="F801" s="158"/>
      <c r="G801" s="158"/>
      <c r="H801" s="160"/>
      <c r="I801" s="158"/>
      <c r="J801" s="158"/>
      <c r="K801" s="160"/>
      <c r="L801" s="158"/>
      <c r="M801" s="158"/>
      <c r="N801" s="158"/>
      <c r="O801" s="158"/>
      <c r="P801" s="158"/>
      <c r="Q801" s="158"/>
      <c r="R801" s="160"/>
      <c r="S801" s="158"/>
      <c r="T801" s="158"/>
      <c r="U801" s="158"/>
      <c r="V801" s="158"/>
      <c r="W801" s="158"/>
      <c r="X801" s="158"/>
      <c r="Y801" s="158"/>
      <c r="Z801" s="158"/>
      <c r="AA801" s="158"/>
      <c r="AB801" s="158"/>
      <c r="AC801" s="158"/>
      <c r="AD801" s="158"/>
      <c r="AE801" s="158"/>
    </row>
    <row r="802">
      <c r="A802" s="158"/>
      <c r="B802" s="158"/>
      <c r="C802" s="158"/>
      <c r="D802" s="158"/>
      <c r="E802" s="160"/>
      <c r="F802" s="158"/>
      <c r="G802" s="158"/>
      <c r="H802" s="160"/>
      <c r="I802" s="158"/>
      <c r="J802" s="158"/>
      <c r="K802" s="160"/>
      <c r="L802" s="158"/>
      <c r="M802" s="158"/>
      <c r="N802" s="158"/>
      <c r="O802" s="158"/>
      <c r="P802" s="158"/>
      <c r="Q802" s="158"/>
      <c r="R802" s="160"/>
      <c r="S802" s="158"/>
      <c r="T802" s="158"/>
      <c r="U802" s="158"/>
      <c r="V802" s="158"/>
      <c r="W802" s="158"/>
      <c r="X802" s="158"/>
      <c r="Y802" s="158"/>
      <c r="Z802" s="158"/>
      <c r="AA802" s="158"/>
      <c r="AB802" s="158"/>
      <c r="AC802" s="158"/>
      <c r="AD802" s="158"/>
      <c r="AE802" s="158"/>
    </row>
    <row r="803">
      <c r="A803" s="158"/>
      <c r="B803" s="158"/>
      <c r="C803" s="158"/>
      <c r="D803" s="158"/>
      <c r="E803" s="160"/>
      <c r="F803" s="158"/>
      <c r="G803" s="158"/>
      <c r="H803" s="160"/>
      <c r="I803" s="158"/>
      <c r="J803" s="158"/>
      <c r="K803" s="160"/>
      <c r="L803" s="158"/>
      <c r="M803" s="158"/>
      <c r="N803" s="158"/>
      <c r="O803" s="158"/>
      <c r="P803" s="158"/>
      <c r="Q803" s="158"/>
      <c r="R803" s="160"/>
      <c r="S803" s="158"/>
      <c r="T803" s="158"/>
      <c r="U803" s="158"/>
      <c r="V803" s="158"/>
      <c r="W803" s="158"/>
      <c r="X803" s="158"/>
      <c r="Y803" s="158"/>
      <c r="Z803" s="158"/>
      <c r="AA803" s="158"/>
      <c r="AB803" s="158"/>
      <c r="AC803" s="158"/>
      <c r="AD803" s="158"/>
      <c r="AE803" s="158"/>
    </row>
    <row r="804">
      <c r="A804" s="158"/>
      <c r="B804" s="158"/>
      <c r="C804" s="158"/>
      <c r="D804" s="158"/>
      <c r="E804" s="160"/>
      <c r="F804" s="158"/>
      <c r="G804" s="158"/>
      <c r="H804" s="160"/>
      <c r="I804" s="158"/>
      <c r="J804" s="158"/>
      <c r="K804" s="160"/>
      <c r="L804" s="158"/>
      <c r="M804" s="158"/>
      <c r="N804" s="158"/>
      <c r="O804" s="158"/>
      <c r="P804" s="158"/>
      <c r="Q804" s="158"/>
      <c r="R804" s="160"/>
      <c r="S804" s="158"/>
      <c r="T804" s="158"/>
      <c r="U804" s="158"/>
      <c r="V804" s="158"/>
      <c r="W804" s="158"/>
      <c r="X804" s="158"/>
      <c r="Y804" s="158"/>
      <c r="Z804" s="158"/>
      <c r="AA804" s="158"/>
      <c r="AB804" s="158"/>
      <c r="AC804" s="158"/>
      <c r="AD804" s="158"/>
      <c r="AE804" s="158"/>
    </row>
    <row r="805">
      <c r="A805" s="158"/>
      <c r="B805" s="158"/>
      <c r="C805" s="158"/>
      <c r="D805" s="158"/>
      <c r="E805" s="160"/>
      <c r="F805" s="158"/>
      <c r="G805" s="158"/>
      <c r="H805" s="160"/>
      <c r="I805" s="158"/>
      <c r="J805" s="158"/>
      <c r="K805" s="160"/>
      <c r="L805" s="158"/>
      <c r="M805" s="158"/>
      <c r="N805" s="158"/>
      <c r="O805" s="158"/>
      <c r="P805" s="158"/>
      <c r="Q805" s="158"/>
      <c r="R805" s="160"/>
      <c r="S805" s="158"/>
      <c r="T805" s="158"/>
      <c r="U805" s="158"/>
      <c r="V805" s="158"/>
      <c r="W805" s="158"/>
      <c r="X805" s="158"/>
      <c r="Y805" s="158"/>
      <c r="Z805" s="158"/>
      <c r="AA805" s="158"/>
      <c r="AB805" s="158"/>
      <c r="AC805" s="158"/>
      <c r="AD805" s="158"/>
      <c r="AE805" s="158"/>
    </row>
    <row r="806">
      <c r="A806" s="158"/>
      <c r="B806" s="158"/>
      <c r="C806" s="158"/>
      <c r="D806" s="158"/>
      <c r="E806" s="160"/>
      <c r="F806" s="158"/>
      <c r="G806" s="158"/>
      <c r="H806" s="160"/>
      <c r="I806" s="158"/>
      <c r="J806" s="158"/>
      <c r="K806" s="160"/>
      <c r="L806" s="158"/>
      <c r="M806" s="158"/>
      <c r="N806" s="158"/>
      <c r="O806" s="158"/>
      <c r="P806" s="158"/>
      <c r="Q806" s="158"/>
      <c r="R806" s="160"/>
      <c r="S806" s="158"/>
      <c r="T806" s="158"/>
      <c r="U806" s="158"/>
      <c r="V806" s="158"/>
      <c r="W806" s="158"/>
      <c r="X806" s="158"/>
      <c r="Y806" s="158"/>
      <c r="Z806" s="158"/>
      <c r="AA806" s="158"/>
      <c r="AB806" s="158"/>
      <c r="AC806" s="158"/>
      <c r="AD806" s="158"/>
      <c r="AE806" s="158"/>
    </row>
    <row r="807">
      <c r="A807" s="158"/>
      <c r="B807" s="158"/>
      <c r="C807" s="158"/>
      <c r="D807" s="158"/>
      <c r="E807" s="160"/>
      <c r="F807" s="158"/>
      <c r="G807" s="158"/>
      <c r="H807" s="160"/>
      <c r="I807" s="158"/>
      <c r="J807" s="158"/>
      <c r="K807" s="160"/>
      <c r="L807" s="158"/>
      <c r="M807" s="158"/>
      <c r="N807" s="158"/>
      <c r="O807" s="158"/>
      <c r="P807" s="158"/>
      <c r="Q807" s="158"/>
      <c r="R807" s="160"/>
      <c r="S807" s="158"/>
      <c r="T807" s="158"/>
      <c r="U807" s="158"/>
      <c r="V807" s="158"/>
      <c r="W807" s="158"/>
      <c r="X807" s="158"/>
      <c r="Y807" s="158"/>
      <c r="Z807" s="158"/>
      <c r="AA807" s="158"/>
      <c r="AB807" s="158"/>
      <c r="AC807" s="158"/>
      <c r="AD807" s="158"/>
      <c r="AE807" s="158"/>
    </row>
    <row r="808">
      <c r="A808" s="158"/>
      <c r="B808" s="158"/>
      <c r="C808" s="158"/>
      <c r="D808" s="158"/>
      <c r="E808" s="160"/>
      <c r="F808" s="158"/>
      <c r="G808" s="158"/>
      <c r="H808" s="160"/>
      <c r="I808" s="158"/>
      <c r="J808" s="158"/>
      <c r="K808" s="160"/>
      <c r="L808" s="158"/>
      <c r="M808" s="158"/>
      <c r="N808" s="158"/>
      <c r="O808" s="158"/>
      <c r="P808" s="158"/>
      <c r="Q808" s="158"/>
      <c r="R808" s="160"/>
      <c r="S808" s="158"/>
      <c r="T808" s="158"/>
      <c r="U808" s="158"/>
      <c r="V808" s="158"/>
      <c r="W808" s="158"/>
      <c r="X808" s="158"/>
      <c r="Y808" s="158"/>
      <c r="Z808" s="158"/>
      <c r="AA808" s="158"/>
      <c r="AB808" s="158"/>
      <c r="AC808" s="158"/>
      <c r="AD808" s="158"/>
      <c r="AE808" s="158"/>
    </row>
    <row r="809">
      <c r="A809" s="158"/>
      <c r="B809" s="158"/>
      <c r="C809" s="158"/>
      <c r="D809" s="158"/>
      <c r="E809" s="160"/>
      <c r="F809" s="158"/>
      <c r="G809" s="158"/>
      <c r="H809" s="160"/>
      <c r="I809" s="158"/>
      <c r="J809" s="158"/>
      <c r="K809" s="160"/>
      <c r="L809" s="158"/>
      <c r="M809" s="158"/>
      <c r="N809" s="158"/>
      <c r="O809" s="158"/>
      <c r="P809" s="158"/>
      <c r="Q809" s="158"/>
      <c r="R809" s="160"/>
      <c r="S809" s="158"/>
      <c r="T809" s="158"/>
      <c r="U809" s="158"/>
      <c r="V809" s="158"/>
      <c r="W809" s="158"/>
      <c r="X809" s="158"/>
      <c r="Y809" s="158"/>
      <c r="Z809" s="158"/>
      <c r="AA809" s="158"/>
      <c r="AB809" s="158"/>
      <c r="AC809" s="158"/>
      <c r="AD809" s="158"/>
      <c r="AE809" s="158"/>
    </row>
    <row r="810">
      <c r="A810" s="158"/>
      <c r="B810" s="158"/>
      <c r="C810" s="158"/>
      <c r="D810" s="158"/>
      <c r="E810" s="160"/>
      <c r="F810" s="158"/>
      <c r="G810" s="158"/>
      <c r="H810" s="160"/>
      <c r="I810" s="158"/>
      <c r="J810" s="158"/>
      <c r="K810" s="160"/>
      <c r="L810" s="158"/>
      <c r="M810" s="158"/>
      <c r="N810" s="158"/>
      <c r="O810" s="158"/>
      <c r="P810" s="158"/>
      <c r="Q810" s="158"/>
      <c r="R810" s="160"/>
      <c r="S810" s="158"/>
      <c r="T810" s="158"/>
      <c r="U810" s="158"/>
      <c r="V810" s="158"/>
      <c r="W810" s="158"/>
      <c r="X810" s="158"/>
      <c r="Y810" s="158"/>
      <c r="Z810" s="158"/>
      <c r="AA810" s="158"/>
      <c r="AB810" s="158"/>
      <c r="AC810" s="158"/>
      <c r="AD810" s="158"/>
      <c r="AE810" s="158"/>
    </row>
    <row r="811">
      <c r="A811" s="158"/>
      <c r="B811" s="158"/>
      <c r="C811" s="158"/>
      <c r="D811" s="158"/>
      <c r="E811" s="160"/>
      <c r="F811" s="158"/>
      <c r="G811" s="158"/>
      <c r="H811" s="160"/>
      <c r="I811" s="158"/>
      <c r="J811" s="158"/>
      <c r="K811" s="160"/>
      <c r="L811" s="158"/>
      <c r="M811" s="158"/>
      <c r="N811" s="158"/>
      <c r="O811" s="158"/>
      <c r="P811" s="158"/>
      <c r="Q811" s="158"/>
      <c r="R811" s="160"/>
      <c r="S811" s="158"/>
      <c r="T811" s="158"/>
      <c r="U811" s="158"/>
      <c r="V811" s="158"/>
      <c r="W811" s="158"/>
      <c r="X811" s="158"/>
      <c r="Y811" s="158"/>
      <c r="Z811" s="158"/>
      <c r="AA811" s="158"/>
      <c r="AB811" s="158"/>
      <c r="AC811" s="158"/>
      <c r="AD811" s="158"/>
      <c r="AE811" s="158"/>
    </row>
    <row r="812">
      <c r="A812" s="158"/>
      <c r="B812" s="158"/>
      <c r="C812" s="158"/>
      <c r="D812" s="158"/>
      <c r="E812" s="160"/>
      <c r="F812" s="158"/>
      <c r="G812" s="158"/>
      <c r="H812" s="160"/>
      <c r="I812" s="158"/>
      <c r="J812" s="158"/>
      <c r="K812" s="160"/>
      <c r="L812" s="158"/>
      <c r="M812" s="158"/>
      <c r="N812" s="158"/>
      <c r="O812" s="158"/>
      <c r="P812" s="158"/>
      <c r="Q812" s="158"/>
      <c r="R812" s="160"/>
      <c r="S812" s="158"/>
      <c r="T812" s="158"/>
      <c r="U812" s="158"/>
      <c r="V812" s="158"/>
      <c r="W812" s="158"/>
      <c r="X812" s="158"/>
      <c r="Y812" s="158"/>
      <c r="Z812" s="158"/>
      <c r="AA812" s="158"/>
      <c r="AB812" s="158"/>
      <c r="AC812" s="158"/>
      <c r="AD812" s="158"/>
      <c r="AE812" s="158"/>
    </row>
    <row r="813">
      <c r="A813" s="158"/>
      <c r="B813" s="158"/>
      <c r="C813" s="158"/>
      <c r="D813" s="158"/>
      <c r="E813" s="160"/>
      <c r="F813" s="158"/>
      <c r="G813" s="158"/>
      <c r="H813" s="160"/>
      <c r="I813" s="158"/>
      <c r="J813" s="158"/>
      <c r="K813" s="160"/>
      <c r="L813" s="158"/>
      <c r="M813" s="158"/>
      <c r="N813" s="158"/>
      <c r="O813" s="158"/>
      <c r="P813" s="158"/>
      <c r="Q813" s="158"/>
      <c r="R813" s="160"/>
      <c r="S813" s="158"/>
      <c r="T813" s="158"/>
      <c r="U813" s="158"/>
      <c r="V813" s="158"/>
      <c r="W813" s="158"/>
      <c r="X813" s="158"/>
      <c r="Y813" s="158"/>
      <c r="Z813" s="158"/>
      <c r="AA813" s="158"/>
      <c r="AB813" s="158"/>
      <c r="AC813" s="158"/>
      <c r="AD813" s="158"/>
      <c r="AE813" s="158"/>
    </row>
    <row r="814">
      <c r="A814" s="158"/>
      <c r="B814" s="158"/>
      <c r="C814" s="158"/>
      <c r="D814" s="158"/>
      <c r="E814" s="160"/>
      <c r="F814" s="158"/>
      <c r="G814" s="158"/>
      <c r="H814" s="160"/>
      <c r="I814" s="158"/>
      <c r="J814" s="158"/>
      <c r="K814" s="160"/>
      <c r="L814" s="158"/>
      <c r="M814" s="158"/>
      <c r="N814" s="158"/>
      <c r="O814" s="158"/>
      <c r="P814" s="158"/>
      <c r="Q814" s="158"/>
      <c r="R814" s="160"/>
      <c r="S814" s="158"/>
      <c r="T814" s="158"/>
      <c r="U814" s="158"/>
      <c r="V814" s="158"/>
      <c r="W814" s="158"/>
      <c r="X814" s="158"/>
      <c r="Y814" s="158"/>
      <c r="Z814" s="158"/>
      <c r="AA814" s="158"/>
      <c r="AB814" s="158"/>
      <c r="AC814" s="158"/>
      <c r="AD814" s="158"/>
      <c r="AE814" s="158"/>
    </row>
    <row r="815">
      <c r="A815" s="158"/>
      <c r="B815" s="158"/>
      <c r="C815" s="158"/>
      <c r="D815" s="158"/>
      <c r="E815" s="160"/>
      <c r="F815" s="158"/>
      <c r="G815" s="158"/>
      <c r="H815" s="160"/>
      <c r="I815" s="158"/>
      <c r="J815" s="158"/>
      <c r="K815" s="160"/>
      <c r="L815" s="158"/>
      <c r="M815" s="158"/>
      <c r="N815" s="158"/>
      <c r="O815" s="158"/>
      <c r="P815" s="158"/>
      <c r="Q815" s="158"/>
      <c r="R815" s="160"/>
      <c r="S815" s="158"/>
      <c r="T815" s="158"/>
      <c r="U815" s="158"/>
      <c r="V815" s="158"/>
      <c r="W815" s="158"/>
      <c r="X815" s="158"/>
      <c r="Y815" s="158"/>
      <c r="Z815" s="158"/>
      <c r="AA815" s="158"/>
      <c r="AB815" s="158"/>
      <c r="AC815" s="158"/>
      <c r="AD815" s="158"/>
      <c r="AE815" s="158"/>
    </row>
    <row r="816">
      <c r="A816" s="158"/>
      <c r="B816" s="158"/>
      <c r="C816" s="158"/>
      <c r="D816" s="158"/>
      <c r="E816" s="160"/>
      <c r="F816" s="158"/>
      <c r="G816" s="158"/>
      <c r="H816" s="160"/>
      <c r="I816" s="158"/>
      <c r="J816" s="158"/>
      <c r="K816" s="160"/>
      <c r="L816" s="158"/>
      <c r="M816" s="158"/>
      <c r="N816" s="158"/>
      <c r="O816" s="158"/>
      <c r="P816" s="158"/>
      <c r="Q816" s="158"/>
      <c r="R816" s="160"/>
      <c r="S816" s="158"/>
      <c r="T816" s="158"/>
      <c r="U816" s="158"/>
      <c r="V816" s="158"/>
      <c r="W816" s="158"/>
      <c r="X816" s="158"/>
      <c r="Y816" s="158"/>
      <c r="Z816" s="158"/>
      <c r="AA816" s="158"/>
      <c r="AB816" s="158"/>
      <c r="AC816" s="158"/>
      <c r="AD816" s="158"/>
      <c r="AE816" s="158"/>
    </row>
    <row r="817">
      <c r="A817" s="158"/>
      <c r="B817" s="158"/>
      <c r="C817" s="158"/>
      <c r="D817" s="158"/>
      <c r="E817" s="160"/>
      <c r="F817" s="158"/>
      <c r="G817" s="158"/>
      <c r="H817" s="160"/>
      <c r="I817" s="158"/>
      <c r="J817" s="158"/>
      <c r="K817" s="160"/>
      <c r="L817" s="158"/>
      <c r="M817" s="158"/>
      <c r="N817" s="158"/>
      <c r="O817" s="158"/>
      <c r="P817" s="158"/>
      <c r="Q817" s="158"/>
      <c r="R817" s="160"/>
      <c r="S817" s="158"/>
      <c r="T817" s="158"/>
      <c r="U817" s="158"/>
      <c r="V817" s="158"/>
      <c r="W817" s="158"/>
      <c r="X817" s="158"/>
      <c r="Y817" s="158"/>
      <c r="Z817" s="158"/>
      <c r="AA817" s="158"/>
      <c r="AB817" s="158"/>
      <c r="AC817" s="158"/>
      <c r="AD817" s="158"/>
      <c r="AE817" s="158"/>
    </row>
    <row r="818">
      <c r="A818" s="158"/>
      <c r="B818" s="158"/>
      <c r="C818" s="158"/>
      <c r="D818" s="158"/>
      <c r="E818" s="160"/>
      <c r="F818" s="158"/>
      <c r="G818" s="158"/>
      <c r="H818" s="160"/>
      <c r="I818" s="158"/>
      <c r="J818" s="158"/>
      <c r="K818" s="160"/>
      <c r="L818" s="158"/>
      <c r="M818" s="158"/>
      <c r="N818" s="158"/>
      <c r="O818" s="158"/>
      <c r="P818" s="158"/>
      <c r="Q818" s="158"/>
      <c r="R818" s="160"/>
      <c r="S818" s="158"/>
      <c r="T818" s="158"/>
      <c r="U818" s="158"/>
      <c r="V818" s="158"/>
      <c r="W818" s="158"/>
      <c r="X818" s="158"/>
      <c r="Y818" s="158"/>
      <c r="Z818" s="158"/>
      <c r="AA818" s="158"/>
      <c r="AB818" s="158"/>
      <c r="AC818" s="158"/>
      <c r="AD818" s="158"/>
      <c r="AE818" s="158"/>
    </row>
    <row r="819">
      <c r="A819" s="158"/>
      <c r="B819" s="158"/>
      <c r="C819" s="158"/>
      <c r="D819" s="158"/>
      <c r="E819" s="160"/>
      <c r="F819" s="158"/>
      <c r="G819" s="158"/>
      <c r="H819" s="160"/>
      <c r="I819" s="158"/>
      <c r="J819" s="158"/>
      <c r="K819" s="160"/>
      <c r="L819" s="158"/>
      <c r="M819" s="158"/>
      <c r="N819" s="158"/>
      <c r="O819" s="158"/>
      <c r="P819" s="158"/>
      <c r="Q819" s="158"/>
      <c r="R819" s="160"/>
      <c r="S819" s="158"/>
      <c r="T819" s="158"/>
      <c r="U819" s="158"/>
      <c r="V819" s="158"/>
      <c r="W819" s="158"/>
      <c r="X819" s="158"/>
      <c r="Y819" s="158"/>
      <c r="Z819" s="158"/>
      <c r="AA819" s="158"/>
      <c r="AB819" s="158"/>
      <c r="AC819" s="158"/>
      <c r="AD819" s="158"/>
      <c r="AE819" s="158"/>
    </row>
    <row r="820">
      <c r="A820" s="158"/>
      <c r="B820" s="158"/>
      <c r="C820" s="158"/>
      <c r="D820" s="158"/>
      <c r="E820" s="160"/>
      <c r="F820" s="158"/>
      <c r="G820" s="158"/>
      <c r="H820" s="160"/>
      <c r="I820" s="158"/>
      <c r="J820" s="158"/>
      <c r="K820" s="160"/>
      <c r="L820" s="158"/>
      <c r="M820" s="158"/>
      <c r="N820" s="158"/>
      <c r="O820" s="158"/>
      <c r="P820" s="158"/>
      <c r="Q820" s="158"/>
      <c r="R820" s="160"/>
      <c r="S820" s="158"/>
      <c r="T820" s="158"/>
      <c r="U820" s="158"/>
      <c r="V820" s="158"/>
      <c r="W820" s="158"/>
      <c r="X820" s="158"/>
      <c r="Y820" s="158"/>
      <c r="Z820" s="158"/>
      <c r="AA820" s="158"/>
      <c r="AB820" s="158"/>
      <c r="AC820" s="158"/>
      <c r="AD820" s="158"/>
      <c r="AE820" s="158"/>
    </row>
    <row r="821">
      <c r="A821" s="158"/>
      <c r="B821" s="158"/>
      <c r="C821" s="158"/>
      <c r="D821" s="158"/>
      <c r="E821" s="160"/>
      <c r="F821" s="158"/>
      <c r="G821" s="158"/>
      <c r="H821" s="160"/>
      <c r="I821" s="158"/>
      <c r="J821" s="158"/>
      <c r="K821" s="160"/>
      <c r="L821" s="158"/>
      <c r="M821" s="158"/>
      <c r="N821" s="158"/>
      <c r="O821" s="158"/>
      <c r="P821" s="158"/>
      <c r="Q821" s="158"/>
      <c r="R821" s="160"/>
      <c r="S821" s="158"/>
      <c r="T821" s="158"/>
      <c r="U821" s="158"/>
      <c r="V821" s="158"/>
      <c r="W821" s="158"/>
      <c r="X821" s="158"/>
      <c r="Y821" s="158"/>
      <c r="Z821" s="158"/>
      <c r="AA821" s="158"/>
      <c r="AB821" s="158"/>
      <c r="AC821" s="158"/>
      <c r="AD821" s="158"/>
      <c r="AE821" s="158"/>
    </row>
    <row r="822">
      <c r="A822" s="158"/>
      <c r="B822" s="158"/>
      <c r="C822" s="158"/>
      <c r="D822" s="158"/>
      <c r="E822" s="160"/>
      <c r="F822" s="158"/>
      <c r="G822" s="158"/>
      <c r="H822" s="160"/>
      <c r="I822" s="158"/>
      <c r="J822" s="158"/>
      <c r="K822" s="160"/>
      <c r="L822" s="158"/>
      <c r="M822" s="158"/>
      <c r="N822" s="158"/>
      <c r="O822" s="158"/>
      <c r="P822" s="158"/>
      <c r="Q822" s="158"/>
      <c r="R822" s="160"/>
      <c r="S822" s="158"/>
      <c r="T822" s="158"/>
      <c r="U822" s="158"/>
      <c r="V822" s="158"/>
      <c r="W822" s="158"/>
      <c r="X822" s="158"/>
      <c r="Y822" s="158"/>
      <c r="Z822" s="158"/>
      <c r="AA822" s="158"/>
      <c r="AB822" s="158"/>
      <c r="AC822" s="158"/>
      <c r="AD822" s="158"/>
      <c r="AE822" s="158"/>
    </row>
    <row r="823">
      <c r="A823" s="158"/>
      <c r="B823" s="158"/>
      <c r="C823" s="158"/>
      <c r="D823" s="158"/>
      <c r="E823" s="160"/>
      <c r="F823" s="158"/>
      <c r="G823" s="158"/>
      <c r="H823" s="160"/>
      <c r="I823" s="158"/>
      <c r="J823" s="158"/>
      <c r="K823" s="160"/>
      <c r="L823" s="158"/>
      <c r="M823" s="158"/>
      <c r="N823" s="158"/>
      <c r="O823" s="158"/>
      <c r="P823" s="158"/>
      <c r="Q823" s="158"/>
      <c r="R823" s="160"/>
      <c r="S823" s="158"/>
      <c r="T823" s="158"/>
      <c r="U823" s="158"/>
      <c r="V823" s="158"/>
      <c r="W823" s="158"/>
      <c r="X823" s="158"/>
      <c r="Y823" s="158"/>
      <c r="Z823" s="158"/>
      <c r="AA823" s="158"/>
      <c r="AB823" s="158"/>
      <c r="AC823" s="158"/>
      <c r="AD823" s="158"/>
      <c r="AE823" s="158"/>
    </row>
    <row r="824">
      <c r="A824" s="158"/>
      <c r="B824" s="158"/>
      <c r="C824" s="158"/>
      <c r="D824" s="158"/>
      <c r="E824" s="160"/>
      <c r="F824" s="158"/>
      <c r="G824" s="158"/>
      <c r="H824" s="160"/>
      <c r="I824" s="158"/>
      <c r="J824" s="158"/>
      <c r="K824" s="160"/>
      <c r="L824" s="158"/>
      <c r="M824" s="158"/>
      <c r="N824" s="158"/>
      <c r="O824" s="158"/>
      <c r="P824" s="158"/>
      <c r="Q824" s="158"/>
      <c r="R824" s="160"/>
      <c r="S824" s="158"/>
      <c r="T824" s="158"/>
      <c r="U824" s="158"/>
      <c r="V824" s="158"/>
      <c r="W824" s="158"/>
      <c r="X824" s="158"/>
      <c r="Y824" s="158"/>
      <c r="Z824" s="158"/>
      <c r="AA824" s="158"/>
      <c r="AB824" s="158"/>
      <c r="AC824" s="158"/>
      <c r="AD824" s="158"/>
      <c r="AE824" s="158"/>
    </row>
    <row r="825">
      <c r="A825" s="158"/>
      <c r="B825" s="158"/>
      <c r="C825" s="158"/>
      <c r="D825" s="158"/>
      <c r="E825" s="160"/>
      <c r="F825" s="158"/>
      <c r="G825" s="158"/>
      <c r="H825" s="160"/>
      <c r="I825" s="158"/>
      <c r="J825" s="158"/>
      <c r="K825" s="160"/>
      <c r="L825" s="158"/>
      <c r="M825" s="158"/>
      <c r="N825" s="158"/>
      <c r="O825" s="158"/>
      <c r="P825" s="158"/>
      <c r="Q825" s="158"/>
      <c r="R825" s="160"/>
      <c r="S825" s="158"/>
      <c r="T825" s="158"/>
      <c r="U825" s="158"/>
      <c r="V825" s="158"/>
      <c r="W825" s="158"/>
      <c r="X825" s="158"/>
      <c r="Y825" s="158"/>
      <c r="Z825" s="158"/>
      <c r="AA825" s="158"/>
      <c r="AB825" s="158"/>
      <c r="AC825" s="158"/>
      <c r="AD825" s="158"/>
      <c r="AE825" s="158"/>
    </row>
    <row r="826">
      <c r="A826" s="158"/>
      <c r="B826" s="158"/>
      <c r="C826" s="158"/>
      <c r="D826" s="158"/>
      <c r="E826" s="160"/>
      <c r="F826" s="158"/>
      <c r="G826" s="158"/>
      <c r="H826" s="160"/>
      <c r="I826" s="158"/>
      <c r="J826" s="158"/>
      <c r="K826" s="160"/>
      <c r="L826" s="158"/>
      <c r="M826" s="158"/>
      <c r="N826" s="158"/>
      <c r="O826" s="158"/>
      <c r="P826" s="158"/>
      <c r="Q826" s="158"/>
      <c r="R826" s="160"/>
      <c r="S826" s="158"/>
      <c r="T826" s="158"/>
      <c r="U826" s="158"/>
      <c r="V826" s="158"/>
      <c r="W826" s="158"/>
      <c r="X826" s="158"/>
      <c r="Y826" s="158"/>
      <c r="Z826" s="158"/>
      <c r="AA826" s="158"/>
      <c r="AB826" s="158"/>
      <c r="AC826" s="158"/>
      <c r="AD826" s="158"/>
      <c r="AE826" s="158"/>
    </row>
    <row r="827">
      <c r="A827" s="158"/>
      <c r="B827" s="158"/>
      <c r="C827" s="158"/>
      <c r="D827" s="158"/>
      <c r="E827" s="160"/>
      <c r="F827" s="158"/>
      <c r="G827" s="158"/>
      <c r="H827" s="160"/>
      <c r="I827" s="158"/>
      <c r="J827" s="158"/>
      <c r="K827" s="160"/>
      <c r="L827" s="158"/>
      <c r="M827" s="158"/>
      <c r="N827" s="158"/>
      <c r="O827" s="158"/>
      <c r="P827" s="158"/>
      <c r="Q827" s="158"/>
      <c r="R827" s="160"/>
      <c r="S827" s="158"/>
      <c r="T827" s="158"/>
      <c r="U827" s="158"/>
      <c r="V827" s="158"/>
      <c r="W827" s="158"/>
      <c r="X827" s="158"/>
      <c r="Y827" s="158"/>
      <c r="Z827" s="158"/>
      <c r="AA827" s="158"/>
      <c r="AB827" s="158"/>
      <c r="AC827" s="158"/>
      <c r="AD827" s="158"/>
      <c r="AE827" s="158"/>
    </row>
    <row r="828">
      <c r="A828" s="158"/>
      <c r="B828" s="158"/>
      <c r="C828" s="158"/>
      <c r="D828" s="158"/>
      <c r="E828" s="160"/>
      <c r="F828" s="158"/>
      <c r="G828" s="158"/>
      <c r="H828" s="160"/>
      <c r="I828" s="158"/>
      <c r="J828" s="158"/>
      <c r="K828" s="160"/>
      <c r="L828" s="158"/>
      <c r="M828" s="158"/>
      <c r="N828" s="158"/>
      <c r="O828" s="158"/>
      <c r="P828" s="158"/>
      <c r="Q828" s="158"/>
      <c r="R828" s="160"/>
      <c r="S828" s="158"/>
      <c r="T828" s="158"/>
      <c r="U828" s="158"/>
      <c r="V828" s="158"/>
      <c r="W828" s="158"/>
      <c r="X828" s="158"/>
      <c r="Y828" s="158"/>
      <c r="Z828" s="158"/>
      <c r="AA828" s="158"/>
      <c r="AB828" s="158"/>
      <c r="AC828" s="158"/>
      <c r="AD828" s="158"/>
      <c r="AE828" s="158"/>
    </row>
    <row r="829">
      <c r="A829" s="158"/>
      <c r="B829" s="158"/>
      <c r="C829" s="158"/>
      <c r="D829" s="158"/>
      <c r="E829" s="160"/>
      <c r="F829" s="158"/>
      <c r="G829" s="158"/>
      <c r="H829" s="160"/>
      <c r="I829" s="158"/>
      <c r="J829" s="158"/>
      <c r="K829" s="160"/>
      <c r="L829" s="158"/>
      <c r="M829" s="158"/>
      <c r="N829" s="158"/>
      <c r="O829" s="158"/>
      <c r="P829" s="158"/>
      <c r="Q829" s="158"/>
      <c r="R829" s="160"/>
      <c r="S829" s="158"/>
      <c r="T829" s="158"/>
      <c r="U829" s="158"/>
      <c r="V829" s="158"/>
      <c r="W829" s="158"/>
      <c r="X829" s="158"/>
      <c r="Y829" s="158"/>
      <c r="Z829" s="158"/>
      <c r="AA829" s="158"/>
      <c r="AB829" s="158"/>
      <c r="AC829" s="158"/>
      <c r="AD829" s="158"/>
      <c r="AE829" s="158"/>
    </row>
    <row r="830">
      <c r="A830" s="158"/>
      <c r="B830" s="158"/>
      <c r="C830" s="158"/>
      <c r="D830" s="158"/>
      <c r="E830" s="160"/>
      <c r="F830" s="158"/>
      <c r="G830" s="158"/>
      <c r="H830" s="160"/>
      <c r="I830" s="158"/>
      <c r="J830" s="158"/>
      <c r="K830" s="160"/>
      <c r="L830" s="158"/>
      <c r="M830" s="158"/>
      <c r="N830" s="158"/>
      <c r="O830" s="158"/>
      <c r="P830" s="158"/>
      <c r="Q830" s="158"/>
      <c r="R830" s="160"/>
      <c r="S830" s="158"/>
      <c r="T830" s="158"/>
      <c r="U830" s="158"/>
      <c r="V830" s="158"/>
      <c r="W830" s="158"/>
      <c r="X830" s="158"/>
      <c r="Y830" s="158"/>
      <c r="Z830" s="158"/>
      <c r="AA830" s="158"/>
      <c r="AB830" s="158"/>
      <c r="AC830" s="158"/>
      <c r="AD830" s="158"/>
      <c r="AE830" s="158"/>
    </row>
    <row r="831">
      <c r="A831" s="158"/>
      <c r="B831" s="158"/>
      <c r="C831" s="158"/>
      <c r="D831" s="158"/>
      <c r="E831" s="160"/>
      <c r="F831" s="158"/>
      <c r="G831" s="158"/>
      <c r="H831" s="160"/>
      <c r="I831" s="158"/>
      <c r="J831" s="158"/>
      <c r="K831" s="160"/>
      <c r="L831" s="158"/>
      <c r="M831" s="158"/>
      <c r="N831" s="158"/>
      <c r="O831" s="158"/>
      <c r="P831" s="158"/>
      <c r="Q831" s="158"/>
      <c r="R831" s="160"/>
      <c r="S831" s="158"/>
      <c r="T831" s="158"/>
      <c r="U831" s="158"/>
      <c r="V831" s="158"/>
      <c r="W831" s="158"/>
      <c r="X831" s="158"/>
      <c r="Y831" s="158"/>
      <c r="Z831" s="158"/>
      <c r="AA831" s="158"/>
      <c r="AB831" s="158"/>
      <c r="AC831" s="158"/>
      <c r="AD831" s="158"/>
      <c r="AE831" s="158"/>
    </row>
    <row r="832">
      <c r="A832" s="158"/>
      <c r="B832" s="158"/>
      <c r="C832" s="158"/>
      <c r="D832" s="158"/>
      <c r="E832" s="160"/>
      <c r="F832" s="158"/>
      <c r="G832" s="158"/>
      <c r="H832" s="160"/>
      <c r="I832" s="158"/>
      <c r="J832" s="158"/>
      <c r="K832" s="160"/>
      <c r="L832" s="158"/>
      <c r="M832" s="158"/>
      <c r="N832" s="158"/>
      <c r="O832" s="158"/>
      <c r="P832" s="158"/>
      <c r="Q832" s="158"/>
      <c r="R832" s="160"/>
      <c r="S832" s="158"/>
      <c r="T832" s="158"/>
      <c r="U832" s="158"/>
      <c r="V832" s="158"/>
      <c r="W832" s="158"/>
      <c r="X832" s="158"/>
      <c r="Y832" s="158"/>
      <c r="Z832" s="158"/>
      <c r="AA832" s="158"/>
      <c r="AB832" s="158"/>
      <c r="AC832" s="158"/>
      <c r="AD832" s="158"/>
      <c r="AE832" s="158"/>
    </row>
    <row r="833">
      <c r="A833" s="158"/>
      <c r="B833" s="158"/>
      <c r="C833" s="158"/>
      <c r="D833" s="158"/>
      <c r="E833" s="160"/>
      <c r="F833" s="158"/>
      <c r="G833" s="158"/>
      <c r="H833" s="160"/>
      <c r="I833" s="158"/>
      <c r="J833" s="158"/>
      <c r="K833" s="160"/>
      <c r="L833" s="158"/>
      <c r="M833" s="158"/>
      <c r="N833" s="158"/>
      <c r="O833" s="158"/>
      <c r="P833" s="158"/>
      <c r="Q833" s="158"/>
      <c r="R833" s="160"/>
      <c r="S833" s="158"/>
      <c r="T833" s="158"/>
      <c r="U833" s="158"/>
      <c r="V833" s="158"/>
      <c r="W833" s="158"/>
      <c r="X833" s="158"/>
      <c r="Y833" s="158"/>
      <c r="Z833" s="158"/>
      <c r="AA833" s="158"/>
      <c r="AB833" s="158"/>
      <c r="AC833" s="158"/>
      <c r="AD833" s="158"/>
      <c r="AE833" s="158"/>
    </row>
    <row r="834">
      <c r="A834" s="158"/>
      <c r="B834" s="158"/>
      <c r="C834" s="158"/>
      <c r="D834" s="158"/>
      <c r="E834" s="160"/>
      <c r="F834" s="158"/>
      <c r="G834" s="158"/>
      <c r="H834" s="160"/>
      <c r="I834" s="158"/>
      <c r="J834" s="158"/>
      <c r="K834" s="160"/>
      <c r="L834" s="158"/>
      <c r="M834" s="158"/>
      <c r="N834" s="158"/>
      <c r="O834" s="158"/>
      <c r="P834" s="158"/>
      <c r="Q834" s="158"/>
      <c r="R834" s="160"/>
      <c r="S834" s="158"/>
      <c r="T834" s="158"/>
      <c r="U834" s="158"/>
      <c r="V834" s="158"/>
      <c r="W834" s="158"/>
      <c r="X834" s="158"/>
      <c r="Y834" s="158"/>
      <c r="Z834" s="158"/>
      <c r="AA834" s="158"/>
      <c r="AB834" s="158"/>
      <c r="AC834" s="158"/>
      <c r="AD834" s="158"/>
      <c r="AE834" s="158"/>
    </row>
    <row r="835">
      <c r="A835" s="158"/>
      <c r="B835" s="158"/>
      <c r="C835" s="158"/>
      <c r="D835" s="158"/>
      <c r="E835" s="160"/>
      <c r="F835" s="158"/>
      <c r="G835" s="158"/>
      <c r="H835" s="160"/>
      <c r="I835" s="158"/>
      <c r="J835" s="158"/>
      <c r="K835" s="160"/>
      <c r="L835" s="158"/>
      <c r="M835" s="158"/>
      <c r="N835" s="158"/>
      <c r="O835" s="158"/>
      <c r="P835" s="158"/>
      <c r="Q835" s="158"/>
      <c r="R835" s="160"/>
      <c r="S835" s="158"/>
      <c r="T835" s="158"/>
      <c r="U835" s="158"/>
      <c r="V835" s="158"/>
      <c r="W835" s="158"/>
      <c r="X835" s="158"/>
      <c r="Y835" s="158"/>
      <c r="Z835" s="158"/>
      <c r="AA835" s="158"/>
      <c r="AB835" s="158"/>
      <c r="AC835" s="158"/>
      <c r="AD835" s="158"/>
      <c r="AE835" s="158"/>
    </row>
    <row r="836">
      <c r="A836" s="158"/>
      <c r="B836" s="158"/>
      <c r="C836" s="158"/>
      <c r="D836" s="158"/>
      <c r="E836" s="160"/>
      <c r="F836" s="158"/>
      <c r="G836" s="158"/>
      <c r="H836" s="160"/>
      <c r="I836" s="158"/>
      <c r="J836" s="158"/>
      <c r="K836" s="160"/>
      <c r="L836" s="158"/>
      <c r="M836" s="158"/>
      <c r="N836" s="158"/>
      <c r="O836" s="158"/>
      <c r="P836" s="158"/>
      <c r="Q836" s="158"/>
      <c r="R836" s="160"/>
      <c r="S836" s="158"/>
      <c r="T836" s="158"/>
      <c r="U836" s="158"/>
      <c r="V836" s="158"/>
      <c r="W836" s="158"/>
      <c r="X836" s="158"/>
      <c r="Y836" s="158"/>
      <c r="Z836" s="158"/>
      <c r="AA836" s="158"/>
      <c r="AB836" s="158"/>
      <c r="AC836" s="158"/>
      <c r="AD836" s="158"/>
      <c r="AE836" s="158"/>
    </row>
    <row r="837">
      <c r="A837" s="158"/>
      <c r="B837" s="158"/>
      <c r="C837" s="158"/>
      <c r="D837" s="158"/>
      <c r="E837" s="160"/>
      <c r="F837" s="158"/>
      <c r="G837" s="158"/>
      <c r="H837" s="160"/>
      <c r="I837" s="158"/>
      <c r="J837" s="158"/>
      <c r="K837" s="160"/>
      <c r="L837" s="158"/>
      <c r="M837" s="158"/>
      <c r="N837" s="158"/>
      <c r="O837" s="158"/>
      <c r="P837" s="158"/>
      <c r="Q837" s="158"/>
      <c r="R837" s="160"/>
      <c r="S837" s="158"/>
      <c r="T837" s="158"/>
      <c r="U837" s="158"/>
      <c r="V837" s="158"/>
      <c r="W837" s="158"/>
      <c r="X837" s="158"/>
      <c r="Y837" s="158"/>
      <c r="Z837" s="158"/>
      <c r="AA837" s="158"/>
      <c r="AB837" s="158"/>
      <c r="AC837" s="158"/>
      <c r="AD837" s="158"/>
      <c r="AE837" s="158"/>
    </row>
    <row r="838">
      <c r="A838" s="158"/>
      <c r="B838" s="158"/>
      <c r="C838" s="158"/>
      <c r="D838" s="158"/>
      <c r="E838" s="160"/>
      <c r="F838" s="158"/>
      <c r="G838" s="158"/>
      <c r="H838" s="160"/>
      <c r="I838" s="158"/>
      <c r="J838" s="158"/>
      <c r="K838" s="160"/>
      <c r="L838" s="158"/>
      <c r="M838" s="158"/>
      <c r="N838" s="158"/>
      <c r="O838" s="158"/>
      <c r="P838" s="158"/>
      <c r="Q838" s="158"/>
      <c r="R838" s="160"/>
      <c r="S838" s="158"/>
      <c r="T838" s="158"/>
      <c r="U838" s="158"/>
      <c r="V838" s="158"/>
      <c r="W838" s="158"/>
      <c r="X838" s="158"/>
      <c r="Y838" s="158"/>
      <c r="Z838" s="158"/>
      <c r="AA838" s="158"/>
      <c r="AB838" s="158"/>
      <c r="AC838" s="158"/>
      <c r="AD838" s="158"/>
      <c r="AE838" s="158"/>
    </row>
    <row r="839">
      <c r="A839" s="158"/>
      <c r="B839" s="158"/>
      <c r="C839" s="158"/>
      <c r="D839" s="158"/>
      <c r="E839" s="160"/>
      <c r="F839" s="158"/>
      <c r="G839" s="158"/>
      <c r="H839" s="160"/>
      <c r="I839" s="158"/>
      <c r="J839" s="158"/>
      <c r="K839" s="160"/>
      <c r="L839" s="158"/>
      <c r="M839" s="158"/>
      <c r="N839" s="158"/>
      <c r="O839" s="158"/>
      <c r="P839" s="158"/>
      <c r="Q839" s="158"/>
      <c r="R839" s="160"/>
      <c r="S839" s="158"/>
      <c r="T839" s="158"/>
      <c r="U839" s="158"/>
      <c r="V839" s="158"/>
      <c r="W839" s="158"/>
      <c r="X839" s="158"/>
      <c r="Y839" s="158"/>
      <c r="Z839" s="158"/>
      <c r="AA839" s="158"/>
      <c r="AB839" s="158"/>
      <c r="AC839" s="158"/>
      <c r="AD839" s="158"/>
      <c r="AE839" s="158"/>
    </row>
    <row r="840">
      <c r="A840" s="158"/>
      <c r="B840" s="158"/>
      <c r="C840" s="158"/>
      <c r="D840" s="158"/>
      <c r="E840" s="160"/>
      <c r="F840" s="158"/>
      <c r="G840" s="158"/>
      <c r="H840" s="160"/>
      <c r="I840" s="158"/>
      <c r="J840" s="158"/>
      <c r="K840" s="160"/>
      <c r="L840" s="158"/>
      <c r="M840" s="158"/>
      <c r="N840" s="158"/>
      <c r="O840" s="158"/>
      <c r="P840" s="158"/>
      <c r="Q840" s="158"/>
      <c r="R840" s="160"/>
      <c r="S840" s="158"/>
      <c r="T840" s="158"/>
      <c r="U840" s="158"/>
      <c r="V840" s="158"/>
      <c r="W840" s="158"/>
      <c r="X840" s="158"/>
      <c r="Y840" s="158"/>
      <c r="Z840" s="158"/>
      <c r="AA840" s="158"/>
      <c r="AB840" s="158"/>
      <c r="AC840" s="158"/>
      <c r="AD840" s="158"/>
      <c r="AE840" s="158"/>
    </row>
    <row r="841">
      <c r="A841" s="158"/>
      <c r="B841" s="158"/>
      <c r="C841" s="158"/>
      <c r="D841" s="158"/>
      <c r="E841" s="160"/>
      <c r="F841" s="158"/>
      <c r="G841" s="158"/>
      <c r="H841" s="160"/>
      <c r="I841" s="158"/>
      <c r="J841" s="158"/>
      <c r="K841" s="160"/>
      <c r="L841" s="158"/>
      <c r="M841" s="158"/>
      <c r="N841" s="158"/>
      <c r="O841" s="158"/>
      <c r="P841" s="158"/>
      <c r="Q841" s="158"/>
      <c r="R841" s="160"/>
      <c r="S841" s="158"/>
      <c r="T841" s="158"/>
      <c r="U841" s="158"/>
      <c r="V841" s="158"/>
      <c r="W841" s="158"/>
      <c r="X841" s="158"/>
      <c r="Y841" s="158"/>
      <c r="Z841" s="158"/>
      <c r="AA841" s="158"/>
      <c r="AB841" s="158"/>
      <c r="AC841" s="158"/>
      <c r="AD841" s="158"/>
      <c r="AE841" s="158"/>
    </row>
    <row r="842">
      <c r="A842" s="158"/>
      <c r="B842" s="158"/>
      <c r="C842" s="158"/>
      <c r="D842" s="158"/>
      <c r="E842" s="160"/>
      <c r="F842" s="158"/>
      <c r="G842" s="158"/>
      <c r="H842" s="160"/>
      <c r="I842" s="158"/>
      <c r="J842" s="158"/>
      <c r="K842" s="160"/>
      <c r="L842" s="158"/>
      <c r="M842" s="158"/>
      <c r="N842" s="158"/>
      <c r="O842" s="158"/>
      <c r="P842" s="158"/>
      <c r="Q842" s="158"/>
      <c r="R842" s="160"/>
      <c r="S842" s="158"/>
      <c r="T842" s="158"/>
      <c r="U842" s="158"/>
      <c r="V842" s="158"/>
      <c r="W842" s="158"/>
      <c r="X842" s="158"/>
      <c r="Y842" s="158"/>
      <c r="Z842" s="158"/>
      <c r="AA842" s="158"/>
      <c r="AB842" s="158"/>
      <c r="AC842" s="158"/>
      <c r="AD842" s="158"/>
      <c r="AE842" s="158"/>
    </row>
    <row r="843">
      <c r="A843" s="158"/>
      <c r="B843" s="158"/>
      <c r="C843" s="158"/>
      <c r="D843" s="158"/>
      <c r="E843" s="160"/>
      <c r="F843" s="158"/>
      <c r="G843" s="158"/>
      <c r="H843" s="160"/>
      <c r="I843" s="158"/>
      <c r="J843" s="158"/>
      <c r="K843" s="160"/>
      <c r="L843" s="158"/>
      <c r="M843" s="158"/>
      <c r="N843" s="158"/>
      <c r="O843" s="158"/>
      <c r="P843" s="158"/>
      <c r="Q843" s="158"/>
      <c r="R843" s="160"/>
      <c r="S843" s="158"/>
      <c r="T843" s="158"/>
      <c r="U843" s="158"/>
      <c r="V843" s="158"/>
      <c r="W843" s="158"/>
      <c r="X843" s="158"/>
      <c r="Y843" s="158"/>
      <c r="Z843" s="158"/>
      <c r="AA843" s="158"/>
      <c r="AB843" s="158"/>
      <c r="AC843" s="158"/>
      <c r="AD843" s="158"/>
      <c r="AE843" s="158"/>
    </row>
    <row r="844">
      <c r="A844" s="158"/>
      <c r="B844" s="158"/>
      <c r="C844" s="158"/>
      <c r="D844" s="158"/>
      <c r="E844" s="160"/>
      <c r="F844" s="158"/>
      <c r="G844" s="158"/>
      <c r="H844" s="160"/>
      <c r="I844" s="158"/>
      <c r="J844" s="158"/>
      <c r="K844" s="160"/>
      <c r="L844" s="158"/>
      <c r="M844" s="158"/>
      <c r="N844" s="158"/>
      <c r="O844" s="158"/>
      <c r="P844" s="158"/>
      <c r="Q844" s="158"/>
      <c r="R844" s="160"/>
      <c r="S844" s="158"/>
      <c r="T844" s="158"/>
      <c r="U844" s="158"/>
      <c r="V844" s="158"/>
      <c r="W844" s="158"/>
      <c r="X844" s="158"/>
      <c r="Y844" s="158"/>
      <c r="Z844" s="158"/>
      <c r="AA844" s="158"/>
      <c r="AB844" s="158"/>
      <c r="AC844" s="158"/>
      <c r="AD844" s="158"/>
      <c r="AE844" s="158"/>
    </row>
    <row r="845">
      <c r="A845" s="158"/>
      <c r="B845" s="158"/>
      <c r="C845" s="158"/>
      <c r="D845" s="158"/>
      <c r="E845" s="160"/>
      <c r="F845" s="158"/>
      <c r="G845" s="158"/>
      <c r="H845" s="160"/>
      <c r="I845" s="158"/>
      <c r="J845" s="158"/>
      <c r="K845" s="160"/>
      <c r="L845" s="158"/>
      <c r="M845" s="158"/>
      <c r="N845" s="158"/>
      <c r="O845" s="158"/>
      <c r="P845" s="158"/>
      <c r="Q845" s="158"/>
      <c r="R845" s="160"/>
      <c r="S845" s="158"/>
      <c r="T845" s="158"/>
      <c r="U845" s="158"/>
      <c r="V845" s="158"/>
      <c r="W845" s="158"/>
      <c r="X845" s="158"/>
      <c r="Y845" s="158"/>
      <c r="Z845" s="158"/>
      <c r="AA845" s="158"/>
      <c r="AB845" s="158"/>
      <c r="AC845" s="158"/>
      <c r="AD845" s="158"/>
      <c r="AE845" s="158"/>
    </row>
    <row r="846">
      <c r="A846" s="158"/>
      <c r="B846" s="158"/>
      <c r="C846" s="158"/>
      <c r="D846" s="158"/>
      <c r="E846" s="160"/>
      <c r="F846" s="158"/>
      <c r="G846" s="158"/>
      <c r="H846" s="160"/>
      <c r="I846" s="158"/>
      <c r="J846" s="158"/>
      <c r="K846" s="160"/>
      <c r="L846" s="158"/>
      <c r="M846" s="158"/>
      <c r="N846" s="158"/>
      <c r="O846" s="158"/>
      <c r="P846" s="158"/>
      <c r="Q846" s="158"/>
      <c r="R846" s="160"/>
      <c r="S846" s="158"/>
      <c r="T846" s="158"/>
      <c r="U846" s="158"/>
      <c r="V846" s="158"/>
      <c r="W846" s="158"/>
      <c r="X846" s="158"/>
      <c r="Y846" s="158"/>
      <c r="Z846" s="158"/>
      <c r="AA846" s="158"/>
      <c r="AB846" s="158"/>
      <c r="AC846" s="158"/>
      <c r="AD846" s="158"/>
      <c r="AE846" s="158"/>
    </row>
    <row r="847">
      <c r="A847" s="158"/>
      <c r="B847" s="158"/>
      <c r="C847" s="158"/>
      <c r="D847" s="158"/>
      <c r="E847" s="160"/>
      <c r="F847" s="158"/>
      <c r="G847" s="158"/>
      <c r="H847" s="160"/>
      <c r="I847" s="158"/>
      <c r="J847" s="158"/>
      <c r="K847" s="160"/>
      <c r="L847" s="158"/>
      <c r="M847" s="158"/>
      <c r="N847" s="158"/>
      <c r="O847" s="158"/>
      <c r="P847" s="158"/>
      <c r="Q847" s="158"/>
      <c r="R847" s="160"/>
      <c r="S847" s="158"/>
      <c r="T847" s="158"/>
      <c r="U847" s="158"/>
      <c r="V847" s="158"/>
      <c r="W847" s="158"/>
      <c r="X847" s="158"/>
      <c r="Y847" s="158"/>
      <c r="Z847" s="158"/>
      <c r="AA847" s="158"/>
      <c r="AB847" s="158"/>
      <c r="AC847" s="158"/>
      <c r="AD847" s="158"/>
      <c r="AE847" s="158"/>
    </row>
    <row r="848">
      <c r="A848" s="158"/>
      <c r="B848" s="158"/>
      <c r="C848" s="158"/>
      <c r="D848" s="158"/>
      <c r="E848" s="160"/>
      <c r="F848" s="158"/>
      <c r="G848" s="158"/>
      <c r="H848" s="160"/>
      <c r="I848" s="158"/>
      <c r="J848" s="158"/>
      <c r="K848" s="160"/>
      <c r="L848" s="158"/>
      <c r="M848" s="158"/>
      <c r="N848" s="158"/>
      <c r="O848" s="158"/>
      <c r="P848" s="158"/>
      <c r="Q848" s="158"/>
      <c r="R848" s="160"/>
      <c r="S848" s="158"/>
      <c r="T848" s="158"/>
      <c r="U848" s="158"/>
      <c r="V848" s="158"/>
      <c r="W848" s="158"/>
      <c r="X848" s="158"/>
      <c r="Y848" s="158"/>
      <c r="Z848" s="158"/>
      <c r="AA848" s="158"/>
      <c r="AB848" s="158"/>
      <c r="AC848" s="158"/>
      <c r="AD848" s="158"/>
      <c r="AE848" s="158"/>
    </row>
    <row r="849">
      <c r="A849" s="158"/>
      <c r="B849" s="158"/>
      <c r="C849" s="158"/>
      <c r="D849" s="158"/>
      <c r="E849" s="160"/>
      <c r="F849" s="158"/>
      <c r="G849" s="158"/>
      <c r="H849" s="160"/>
      <c r="I849" s="158"/>
      <c r="J849" s="158"/>
      <c r="K849" s="160"/>
      <c r="L849" s="158"/>
      <c r="M849" s="158"/>
      <c r="N849" s="158"/>
      <c r="O849" s="158"/>
      <c r="P849" s="158"/>
      <c r="Q849" s="158"/>
      <c r="R849" s="160"/>
      <c r="S849" s="158"/>
      <c r="T849" s="158"/>
      <c r="U849" s="158"/>
      <c r="V849" s="158"/>
      <c r="W849" s="158"/>
      <c r="X849" s="158"/>
      <c r="Y849" s="158"/>
      <c r="Z849" s="158"/>
      <c r="AA849" s="158"/>
      <c r="AB849" s="158"/>
      <c r="AC849" s="158"/>
      <c r="AD849" s="158"/>
      <c r="AE849" s="158"/>
    </row>
    <row r="850">
      <c r="A850" s="158"/>
      <c r="B850" s="158"/>
      <c r="C850" s="158"/>
      <c r="D850" s="158"/>
      <c r="E850" s="160"/>
      <c r="F850" s="158"/>
      <c r="G850" s="158"/>
      <c r="H850" s="160"/>
      <c r="I850" s="158"/>
      <c r="J850" s="158"/>
      <c r="K850" s="160"/>
      <c r="L850" s="158"/>
      <c r="M850" s="158"/>
      <c r="N850" s="158"/>
      <c r="O850" s="158"/>
      <c r="P850" s="158"/>
      <c r="Q850" s="158"/>
      <c r="R850" s="160"/>
      <c r="S850" s="158"/>
      <c r="T850" s="158"/>
      <c r="U850" s="158"/>
      <c r="V850" s="158"/>
      <c r="W850" s="158"/>
      <c r="X850" s="158"/>
      <c r="Y850" s="158"/>
      <c r="Z850" s="158"/>
      <c r="AA850" s="158"/>
      <c r="AB850" s="158"/>
      <c r="AC850" s="158"/>
      <c r="AD850" s="158"/>
      <c r="AE850" s="158"/>
    </row>
    <row r="851">
      <c r="A851" s="158"/>
      <c r="B851" s="158"/>
      <c r="C851" s="158"/>
      <c r="D851" s="158"/>
      <c r="E851" s="160"/>
      <c r="F851" s="158"/>
      <c r="G851" s="158"/>
      <c r="H851" s="160"/>
      <c r="I851" s="158"/>
      <c r="J851" s="158"/>
      <c r="K851" s="160"/>
      <c r="L851" s="158"/>
      <c r="M851" s="158"/>
      <c r="N851" s="158"/>
      <c r="O851" s="158"/>
      <c r="P851" s="158"/>
      <c r="Q851" s="158"/>
      <c r="R851" s="160"/>
      <c r="S851" s="158"/>
      <c r="T851" s="158"/>
      <c r="U851" s="158"/>
      <c r="V851" s="158"/>
      <c r="W851" s="158"/>
      <c r="X851" s="158"/>
      <c r="Y851" s="158"/>
      <c r="Z851" s="158"/>
      <c r="AA851" s="158"/>
      <c r="AB851" s="158"/>
      <c r="AC851" s="158"/>
      <c r="AD851" s="158"/>
      <c r="AE851" s="158"/>
    </row>
    <row r="852">
      <c r="A852" s="158"/>
      <c r="B852" s="158"/>
      <c r="C852" s="158"/>
      <c r="D852" s="158"/>
      <c r="E852" s="160"/>
      <c r="F852" s="158"/>
      <c r="G852" s="158"/>
      <c r="H852" s="160"/>
      <c r="I852" s="158"/>
      <c r="J852" s="158"/>
      <c r="K852" s="160"/>
      <c r="L852" s="158"/>
      <c r="M852" s="158"/>
      <c r="N852" s="158"/>
      <c r="O852" s="158"/>
      <c r="P852" s="158"/>
      <c r="Q852" s="158"/>
      <c r="R852" s="160"/>
      <c r="S852" s="158"/>
      <c r="T852" s="158"/>
      <c r="U852" s="158"/>
      <c r="V852" s="158"/>
      <c r="W852" s="158"/>
      <c r="X852" s="158"/>
      <c r="Y852" s="158"/>
      <c r="Z852" s="158"/>
      <c r="AA852" s="158"/>
      <c r="AB852" s="158"/>
      <c r="AC852" s="158"/>
      <c r="AD852" s="158"/>
      <c r="AE852" s="158"/>
    </row>
    <row r="853">
      <c r="A853" s="158"/>
      <c r="B853" s="158"/>
      <c r="C853" s="158"/>
      <c r="D853" s="158"/>
      <c r="E853" s="160"/>
      <c r="F853" s="158"/>
      <c r="G853" s="158"/>
      <c r="H853" s="160"/>
      <c r="I853" s="158"/>
      <c r="J853" s="158"/>
      <c r="K853" s="160"/>
      <c r="L853" s="158"/>
      <c r="M853" s="158"/>
      <c r="N853" s="158"/>
      <c r="O853" s="158"/>
      <c r="P853" s="158"/>
      <c r="Q853" s="158"/>
      <c r="R853" s="160"/>
      <c r="S853" s="158"/>
      <c r="T853" s="158"/>
      <c r="U853" s="158"/>
      <c r="V853" s="158"/>
      <c r="W853" s="158"/>
      <c r="X853" s="158"/>
      <c r="Y853" s="158"/>
      <c r="Z853" s="158"/>
      <c r="AA853" s="158"/>
      <c r="AB853" s="158"/>
      <c r="AC853" s="158"/>
      <c r="AD853" s="158"/>
      <c r="AE853" s="158"/>
    </row>
    <row r="854">
      <c r="A854" s="158"/>
      <c r="B854" s="158"/>
      <c r="C854" s="158"/>
      <c r="D854" s="158"/>
      <c r="E854" s="160"/>
      <c r="F854" s="158"/>
      <c r="G854" s="158"/>
      <c r="H854" s="160"/>
      <c r="I854" s="158"/>
      <c r="J854" s="158"/>
      <c r="K854" s="160"/>
      <c r="L854" s="158"/>
      <c r="M854" s="158"/>
      <c r="N854" s="158"/>
      <c r="O854" s="158"/>
      <c r="P854" s="158"/>
      <c r="Q854" s="158"/>
      <c r="R854" s="160"/>
      <c r="S854" s="158"/>
      <c r="T854" s="158"/>
      <c r="U854" s="158"/>
      <c r="V854" s="158"/>
      <c r="W854" s="158"/>
      <c r="X854" s="158"/>
      <c r="Y854" s="158"/>
      <c r="Z854" s="158"/>
      <c r="AA854" s="158"/>
      <c r="AB854" s="158"/>
      <c r="AC854" s="158"/>
      <c r="AD854" s="158"/>
      <c r="AE854" s="158"/>
    </row>
    <row r="855">
      <c r="A855" s="158"/>
      <c r="B855" s="158"/>
      <c r="C855" s="158"/>
      <c r="D855" s="158"/>
      <c r="E855" s="160"/>
      <c r="F855" s="158"/>
      <c r="G855" s="158"/>
      <c r="H855" s="160"/>
      <c r="I855" s="158"/>
      <c r="J855" s="158"/>
      <c r="K855" s="160"/>
      <c r="L855" s="158"/>
      <c r="M855" s="158"/>
      <c r="N855" s="158"/>
      <c r="O855" s="158"/>
      <c r="P855" s="158"/>
      <c r="Q855" s="158"/>
      <c r="R855" s="160"/>
      <c r="S855" s="158"/>
      <c r="T855" s="158"/>
      <c r="U855" s="158"/>
      <c r="V855" s="158"/>
      <c r="W855" s="158"/>
      <c r="X855" s="158"/>
      <c r="Y855" s="158"/>
      <c r="Z855" s="158"/>
      <c r="AA855" s="158"/>
      <c r="AB855" s="158"/>
      <c r="AC855" s="158"/>
      <c r="AD855" s="158"/>
      <c r="AE855" s="158"/>
    </row>
    <row r="856">
      <c r="A856" s="158"/>
      <c r="B856" s="158"/>
      <c r="C856" s="158"/>
      <c r="D856" s="158"/>
      <c r="E856" s="160"/>
      <c r="F856" s="158"/>
      <c r="G856" s="158"/>
      <c r="H856" s="160"/>
      <c r="I856" s="158"/>
      <c r="J856" s="158"/>
      <c r="K856" s="160"/>
      <c r="L856" s="158"/>
      <c r="M856" s="158"/>
      <c r="N856" s="158"/>
      <c r="O856" s="158"/>
      <c r="P856" s="158"/>
      <c r="Q856" s="158"/>
      <c r="R856" s="160"/>
      <c r="S856" s="158"/>
      <c r="T856" s="158"/>
      <c r="U856" s="158"/>
      <c r="V856" s="158"/>
      <c r="W856" s="158"/>
      <c r="X856" s="158"/>
      <c r="Y856" s="158"/>
      <c r="Z856" s="158"/>
      <c r="AA856" s="158"/>
      <c r="AB856" s="158"/>
      <c r="AC856" s="158"/>
      <c r="AD856" s="158"/>
      <c r="AE856" s="158"/>
    </row>
    <row r="857">
      <c r="A857" s="158"/>
      <c r="B857" s="158"/>
      <c r="C857" s="158"/>
      <c r="D857" s="158"/>
      <c r="E857" s="160"/>
      <c r="F857" s="158"/>
      <c r="G857" s="158"/>
      <c r="H857" s="160"/>
      <c r="I857" s="158"/>
      <c r="J857" s="158"/>
      <c r="K857" s="160"/>
      <c r="L857" s="158"/>
      <c r="M857" s="158"/>
      <c r="N857" s="158"/>
      <c r="O857" s="158"/>
      <c r="P857" s="158"/>
      <c r="Q857" s="158"/>
      <c r="R857" s="160"/>
      <c r="S857" s="158"/>
      <c r="T857" s="158"/>
      <c r="U857" s="158"/>
      <c r="V857" s="158"/>
      <c r="W857" s="158"/>
      <c r="X857" s="158"/>
      <c r="Y857" s="158"/>
      <c r="Z857" s="158"/>
      <c r="AA857" s="158"/>
      <c r="AB857" s="158"/>
      <c r="AC857" s="158"/>
      <c r="AD857" s="158"/>
      <c r="AE857" s="158"/>
    </row>
    <row r="858">
      <c r="A858" s="158"/>
      <c r="B858" s="158"/>
      <c r="C858" s="158"/>
      <c r="D858" s="158"/>
      <c r="E858" s="160"/>
      <c r="F858" s="158"/>
      <c r="G858" s="158"/>
      <c r="H858" s="160"/>
      <c r="I858" s="158"/>
      <c r="J858" s="158"/>
      <c r="K858" s="160"/>
      <c r="L858" s="158"/>
      <c r="M858" s="158"/>
      <c r="N858" s="158"/>
      <c r="O858" s="158"/>
      <c r="P858" s="158"/>
      <c r="Q858" s="158"/>
      <c r="R858" s="160"/>
      <c r="S858" s="158"/>
      <c r="T858" s="158"/>
      <c r="U858" s="158"/>
      <c r="V858" s="158"/>
      <c r="W858" s="158"/>
      <c r="X858" s="158"/>
      <c r="Y858" s="158"/>
      <c r="Z858" s="158"/>
      <c r="AA858" s="158"/>
      <c r="AB858" s="158"/>
      <c r="AC858" s="158"/>
      <c r="AD858" s="158"/>
      <c r="AE858" s="158"/>
    </row>
    <row r="859">
      <c r="A859" s="158"/>
      <c r="B859" s="158"/>
      <c r="C859" s="158"/>
      <c r="D859" s="158"/>
      <c r="E859" s="160"/>
      <c r="F859" s="158"/>
      <c r="G859" s="158"/>
      <c r="H859" s="160"/>
      <c r="I859" s="158"/>
      <c r="J859" s="158"/>
      <c r="K859" s="160"/>
      <c r="L859" s="158"/>
      <c r="M859" s="158"/>
      <c r="N859" s="158"/>
      <c r="O859" s="158"/>
      <c r="P859" s="158"/>
      <c r="Q859" s="158"/>
      <c r="R859" s="160"/>
      <c r="S859" s="158"/>
      <c r="T859" s="158"/>
      <c r="U859" s="158"/>
      <c r="V859" s="158"/>
      <c r="W859" s="158"/>
      <c r="X859" s="158"/>
      <c r="Y859" s="158"/>
      <c r="Z859" s="158"/>
      <c r="AA859" s="158"/>
      <c r="AB859" s="158"/>
      <c r="AC859" s="158"/>
      <c r="AD859" s="158"/>
      <c r="AE859" s="158"/>
    </row>
    <row r="860">
      <c r="A860" s="158"/>
      <c r="B860" s="158"/>
      <c r="C860" s="158"/>
      <c r="D860" s="158"/>
      <c r="E860" s="160"/>
      <c r="F860" s="158"/>
      <c r="G860" s="158"/>
      <c r="H860" s="160"/>
      <c r="I860" s="158"/>
      <c r="J860" s="158"/>
      <c r="K860" s="160"/>
      <c r="L860" s="158"/>
      <c r="M860" s="158"/>
      <c r="N860" s="158"/>
      <c r="O860" s="158"/>
      <c r="P860" s="158"/>
      <c r="Q860" s="158"/>
      <c r="R860" s="160"/>
      <c r="S860" s="158"/>
      <c r="T860" s="158"/>
      <c r="U860" s="158"/>
      <c r="V860" s="158"/>
      <c r="W860" s="158"/>
      <c r="X860" s="158"/>
      <c r="Y860" s="158"/>
      <c r="Z860" s="158"/>
      <c r="AA860" s="158"/>
      <c r="AB860" s="158"/>
      <c r="AC860" s="158"/>
      <c r="AD860" s="158"/>
      <c r="AE860" s="158"/>
    </row>
    <row r="861">
      <c r="A861" s="158"/>
      <c r="B861" s="158"/>
      <c r="C861" s="158"/>
      <c r="D861" s="158"/>
      <c r="E861" s="160"/>
      <c r="F861" s="158"/>
      <c r="G861" s="158"/>
      <c r="H861" s="160"/>
      <c r="I861" s="158"/>
      <c r="J861" s="158"/>
      <c r="K861" s="160"/>
      <c r="L861" s="158"/>
      <c r="M861" s="158"/>
      <c r="N861" s="158"/>
      <c r="O861" s="158"/>
      <c r="P861" s="158"/>
      <c r="Q861" s="158"/>
      <c r="R861" s="160"/>
      <c r="S861" s="158"/>
      <c r="T861" s="158"/>
      <c r="U861" s="158"/>
      <c r="V861" s="158"/>
      <c r="W861" s="158"/>
      <c r="X861" s="158"/>
      <c r="Y861" s="158"/>
      <c r="Z861" s="158"/>
      <c r="AA861" s="158"/>
      <c r="AB861" s="158"/>
      <c r="AC861" s="158"/>
      <c r="AD861" s="158"/>
      <c r="AE861" s="158"/>
    </row>
    <row r="862">
      <c r="A862" s="158"/>
      <c r="B862" s="158"/>
      <c r="C862" s="158"/>
      <c r="D862" s="158"/>
      <c r="E862" s="160"/>
      <c r="F862" s="158"/>
      <c r="G862" s="158"/>
      <c r="H862" s="160"/>
      <c r="I862" s="158"/>
      <c r="J862" s="158"/>
      <c r="K862" s="160"/>
      <c r="L862" s="158"/>
      <c r="M862" s="158"/>
      <c r="N862" s="158"/>
      <c r="O862" s="158"/>
      <c r="P862" s="158"/>
      <c r="Q862" s="158"/>
      <c r="R862" s="160"/>
      <c r="S862" s="158"/>
      <c r="T862" s="158"/>
      <c r="U862" s="158"/>
      <c r="V862" s="158"/>
      <c r="W862" s="158"/>
      <c r="X862" s="158"/>
      <c r="Y862" s="158"/>
      <c r="Z862" s="158"/>
      <c r="AA862" s="158"/>
      <c r="AB862" s="158"/>
      <c r="AC862" s="158"/>
      <c r="AD862" s="158"/>
      <c r="AE862" s="158"/>
    </row>
    <row r="863">
      <c r="A863" s="158"/>
      <c r="B863" s="158"/>
      <c r="C863" s="158"/>
      <c r="D863" s="158"/>
      <c r="E863" s="160"/>
      <c r="F863" s="158"/>
      <c r="G863" s="158"/>
      <c r="H863" s="160"/>
      <c r="I863" s="158"/>
      <c r="J863" s="158"/>
      <c r="K863" s="160"/>
      <c r="L863" s="158"/>
      <c r="M863" s="158"/>
      <c r="N863" s="158"/>
      <c r="O863" s="158"/>
      <c r="P863" s="158"/>
      <c r="Q863" s="158"/>
      <c r="R863" s="160"/>
      <c r="S863" s="158"/>
      <c r="T863" s="158"/>
      <c r="U863" s="158"/>
      <c r="V863" s="158"/>
      <c r="W863" s="158"/>
      <c r="X863" s="158"/>
      <c r="Y863" s="158"/>
      <c r="Z863" s="158"/>
      <c r="AA863" s="158"/>
      <c r="AB863" s="158"/>
      <c r="AC863" s="158"/>
      <c r="AD863" s="158"/>
      <c r="AE863" s="158"/>
    </row>
    <row r="864">
      <c r="A864" s="158"/>
      <c r="B864" s="158"/>
      <c r="C864" s="158"/>
      <c r="D864" s="158"/>
      <c r="E864" s="160"/>
      <c r="F864" s="158"/>
      <c r="G864" s="158"/>
      <c r="H864" s="160"/>
      <c r="I864" s="158"/>
      <c r="J864" s="158"/>
      <c r="K864" s="160"/>
      <c r="L864" s="158"/>
      <c r="M864" s="158"/>
      <c r="N864" s="158"/>
      <c r="O864" s="158"/>
      <c r="P864" s="158"/>
      <c r="Q864" s="158"/>
      <c r="R864" s="160"/>
      <c r="S864" s="158"/>
      <c r="T864" s="158"/>
      <c r="U864" s="158"/>
      <c r="V864" s="158"/>
      <c r="W864" s="158"/>
      <c r="X864" s="158"/>
      <c r="Y864" s="158"/>
      <c r="Z864" s="158"/>
      <c r="AA864" s="158"/>
      <c r="AB864" s="158"/>
      <c r="AC864" s="158"/>
      <c r="AD864" s="158"/>
      <c r="AE864" s="158"/>
    </row>
    <row r="865">
      <c r="A865" s="158"/>
      <c r="B865" s="158"/>
      <c r="C865" s="158"/>
      <c r="D865" s="158"/>
      <c r="E865" s="160"/>
      <c r="F865" s="158"/>
      <c r="G865" s="158"/>
      <c r="H865" s="160"/>
      <c r="I865" s="158"/>
      <c r="J865" s="158"/>
      <c r="K865" s="160"/>
      <c r="L865" s="158"/>
      <c r="M865" s="158"/>
      <c r="N865" s="158"/>
      <c r="O865" s="158"/>
      <c r="P865" s="158"/>
      <c r="Q865" s="158"/>
      <c r="R865" s="160"/>
      <c r="S865" s="158"/>
      <c r="T865" s="158"/>
      <c r="U865" s="158"/>
      <c r="V865" s="158"/>
      <c r="W865" s="158"/>
      <c r="X865" s="158"/>
      <c r="Y865" s="158"/>
      <c r="Z865" s="158"/>
      <c r="AA865" s="158"/>
      <c r="AB865" s="158"/>
      <c r="AC865" s="158"/>
      <c r="AD865" s="158"/>
      <c r="AE865" s="158"/>
    </row>
    <row r="866">
      <c r="A866" s="158"/>
      <c r="B866" s="158"/>
      <c r="C866" s="158"/>
      <c r="D866" s="158"/>
      <c r="E866" s="160"/>
      <c r="F866" s="158"/>
      <c r="G866" s="158"/>
      <c r="H866" s="160"/>
      <c r="I866" s="158"/>
      <c r="J866" s="158"/>
      <c r="K866" s="160"/>
      <c r="L866" s="158"/>
      <c r="M866" s="158"/>
      <c r="N866" s="158"/>
      <c r="O866" s="158"/>
      <c r="P866" s="158"/>
      <c r="Q866" s="158"/>
      <c r="R866" s="160"/>
      <c r="S866" s="158"/>
      <c r="T866" s="158"/>
      <c r="U866" s="158"/>
      <c r="V866" s="158"/>
      <c r="W866" s="158"/>
      <c r="X866" s="158"/>
      <c r="Y866" s="158"/>
      <c r="Z866" s="158"/>
      <c r="AA866" s="158"/>
      <c r="AB866" s="158"/>
      <c r="AC866" s="158"/>
      <c r="AD866" s="158"/>
      <c r="AE866" s="158"/>
    </row>
    <row r="867">
      <c r="A867" s="158"/>
      <c r="B867" s="158"/>
      <c r="C867" s="158"/>
      <c r="D867" s="158"/>
      <c r="E867" s="160"/>
      <c r="F867" s="158"/>
      <c r="G867" s="158"/>
      <c r="H867" s="160"/>
      <c r="I867" s="158"/>
      <c r="J867" s="158"/>
      <c r="K867" s="160"/>
      <c r="L867" s="158"/>
      <c r="M867" s="158"/>
      <c r="N867" s="158"/>
      <c r="O867" s="158"/>
      <c r="P867" s="158"/>
      <c r="Q867" s="158"/>
      <c r="R867" s="160"/>
      <c r="S867" s="158"/>
      <c r="T867" s="158"/>
      <c r="U867" s="158"/>
      <c r="V867" s="158"/>
      <c r="W867" s="158"/>
      <c r="X867" s="158"/>
      <c r="Y867" s="158"/>
      <c r="Z867" s="158"/>
      <c r="AA867" s="158"/>
      <c r="AB867" s="158"/>
      <c r="AC867" s="158"/>
      <c r="AD867" s="158"/>
      <c r="AE867" s="158"/>
    </row>
    <row r="868">
      <c r="A868" s="158"/>
      <c r="B868" s="158"/>
      <c r="C868" s="158"/>
      <c r="D868" s="158"/>
      <c r="E868" s="160"/>
      <c r="F868" s="158"/>
      <c r="G868" s="158"/>
      <c r="H868" s="160"/>
      <c r="I868" s="158"/>
      <c r="J868" s="158"/>
      <c r="K868" s="160"/>
      <c r="L868" s="158"/>
      <c r="M868" s="158"/>
      <c r="N868" s="158"/>
      <c r="O868" s="158"/>
      <c r="P868" s="158"/>
      <c r="Q868" s="158"/>
      <c r="R868" s="160"/>
      <c r="S868" s="158"/>
      <c r="T868" s="158"/>
      <c r="U868" s="158"/>
      <c r="V868" s="158"/>
      <c r="W868" s="158"/>
      <c r="X868" s="158"/>
      <c r="Y868" s="158"/>
      <c r="Z868" s="158"/>
      <c r="AA868" s="158"/>
      <c r="AB868" s="158"/>
      <c r="AC868" s="158"/>
      <c r="AD868" s="158"/>
      <c r="AE868" s="158"/>
    </row>
    <row r="869">
      <c r="A869" s="158"/>
      <c r="B869" s="158"/>
      <c r="C869" s="158"/>
      <c r="D869" s="158"/>
      <c r="E869" s="160"/>
      <c r="F869" s="158"/>
      <c r="G869" s="158"/>
      <c r="H869" s="160"/>
      <c r="I869" s="158"/>
      <c r="J869" s="158"/>
      <c r="K869" s="160"/>
      <c r="L869" s="158"/>
      <c r="M869" s="158"/>
      <c r="N869" s="158"/>
      <c r="O869" s="158"/>
      <c r="P869" s="158"/>
      <c r="Q869" s="158"/>
      <c r="R869" s="160"/>
      <c r="S869" s="158"/>
      <c r="T869" s="158"/>
      <c r="U869" s="158"/>
      <c r="V869" s="158"/>
      <c r="W869" s="158"/>
      <c r="X869" s="158"/>
      <c r="Y869" s="158"/>
      <c r="Z869" s="158"/>
      <c r="AA869" s="158"/>
      <c r="AB869" s="158"/>
      <c r="AC869" s="158"/>
      <c r="AD869" s="158"/>
      <c r="AE869" s="158"/>
    </row>
    <row r="870">
      <c r="A870" s="158"/>
      <c r="B870" s="158"/>
      <c r="C870" s="158"/>
      <c r="D870" s="158"/>
      <c r="E870" s="160"/>
      <c r="F870" s="158"/>
      <c r="G870" s="158"/>
      <c r="H870" s="160"/>
      <c r="I870" s="158"/>
      <c r="J870" s="158"/>
      <c r="K870" s="160"/>
      <c r="L870" s="158"/>
      <c r="M870" s="158"/>
      <c r="N870" s="158"/>
      <c r="O870" s="158"/>
      <c r="P870" s="158"/>
      <c r="Q870" s="158"/>
      <c r="R870" s="160"/>
      <c r="S870" s="158"/>
      <c r="T870" s="158"/>
      <c r="U870" s="158"/>
      <c r="V870" s="158"/>
      <c r="W870" s="158"/>
      <c r="X870" s="158"/>
      <c r="Y870" s="158"/>
      <c r="Z870" s="158"/>
      <c r="AA870" s="158"/>
      <c r="AB870" s="158"/>
      <c r="AC870" s="158"/>
      <c r="AD870" s="158"/>
      <c r="AE870" s="158"/>
    </row>
    <row r="871">
      <c r="A871" s="158"/>
      <c r="B871" s="158"/>
      <c r="C871" s="158"/>
      <c r="D871" s="158"/>
      <c r="E871" s="160"/>
      <c r="F871" s="158"/>
      <c r="G871" s="158"/>
      <c r="H871" s="160"/>
      <c r="I871" s="158"/>
      <c r="J871" s="158"/>
      <c r="K871" s="160"/>
      <c r="L871" s="158"/>
      <c r="M871" s="158"/>
      <c r="N871" s="158"/>
      <c r="O871" s="158"/>
      <c r="P871" s="158"/>
      <c r="Q871" s="158"/>
      <c r="R871" s="160"/>
      <c r="S871" s="158"/>
      <c r="T871" s="158"/>
      <c r="U871" s="158"/>
      <c r="V871" s="158"/>
      <c r="W871" s="158"/>
      <c r="X871" s="158"/>
      <c r="Y871" s="158"/>
      <c r="Z871" s="158"/>
      <c r="AA871" s="158"/>
      <c r="AB871" s="158"/>
      <c r="AC871" s="158"/>
      <c r="AD871" s="158"/>
      <c r="AE871" s="158"/>
    </row>
    <row r="872">
      <c r="A872" s="158"/>
      <c r="B872" s="158"/>
      <c r="C872" s="158"/>
      <c r="D872" s="158"/>
      <c r="E872" s="160"/>
      <c r="F872" s="158"/>
      <c r="G872" s="158"/>
      <c r="H872" s="160"/>
      <c r="I872" s="158"/>
      <c r="J872" s="158"/>
      <c r="K872" s="160"/>
      <c r="L872" s="158"/>
      <c r="M872" s="158"/>
      <c r="N872" s="158"/>
      <c r="O872" s="158"/>
      <c r="P872" s="158"/>
      <c r="Q872" s="158"/>
      <c r="R872" s="160"/>
      <c r="S872" s="158"/>
      <c r="T872" s="158"/>
      <c r="U872" s="158"/>
      <c r="V872" s="158"/>
      <c r="W872" s="158"/>
      <c r="X872" s="158"/>
      <c r="Y872" s="158"/>
      <c r="Z872" s="158"/>
      <c r="AA872" s="158"/>
      <c r="AB872" s="158"/>
      <c r="AC872" s="158"/>
      <c r="AD872" s="158"/>
      <c r="AE872" s="158"/>
    </row>
    <row r="873">
      <c r="A873" s="158"/>
      <c r="B873" s="158"/>
      <c r="C873" s="158"/>
      <c r="D873" s="158"/>
      <c r="E873" s="160"/>
      <c r="F873" s="158"/>
      <c r="G873" s="158"/>
      <c r="H873" s="160"/>
      <c r="I873" s="158"/>
      <c r="J873" s="158"/>
      <c r="K873" s="160"/>
      <c r="L873" s="158"/>
      <c r="M873" s="158"/>
      <c r="N873" s="158"/>
      <c r="O873" s="158"/>
      <c r="P873" s="158"/>
      <c r="Q873" s="158"/>
      <c r="R873" s="160"/>
      <c r="S873" s="158"/>
      <c r="T873" s="158"/>
      <c r="U873" s="158"/>
      <c r="V873" s="158"/>
      <c r="W873" s="158"/>
      <c r="X873" s="158"/>
      <c r="Y873" s="158"/>
      <c r="Z873" s="158"/>
      <c r="AA873" s="158"/>
      <c r="AB873" s="158"/>
      <c r="AC873" s="158"/>
      <c r="AD873" s="158"/>
      <c r="AE873" s="158"/>
    </row>
    <row r="874">
      <c r="A874" s="158"/>
      <c r="B874" s="158"/>
      <c r="C874" s="158"/>
      <c r="D874" s="158"/>
      <c r="E874" s="160"/>
      <c r="F874" s="158"/>
      <c r="G874" s="158"/>
      <c r="H874" s="160"/>
      <c r="I874" s="158"/>
      <c r="J874" s="158"/>
      <c r="K874" s="160"/>
      <c r="L874" s="158"/>
      <c r="M874" s="158"/>
      <c r="N874" s="158"/>
      <c r="O874" s="158"/>
      <c r="P874" s="158"/>
      <c r="Q874" s="158"/>
      <c r="R874" s="160"/>
      <c r="S874" s="158"/>
      <c r="T874" s="158"/>
      <c r="U874" s="158"/>
      <c r="V874" s="158"/>
      <c r="W874" s="158"/>
      <c r="X874" s="158"/>
      <c r="Y874" s="158"/>
      <c r="Z874" s="158"/>
      <c r="AA874" s="158"/>
      <c r="AB874" s="158"/>
      <c r="AC874" s="158"/>
      <c r="AD874" s="158"/>
      <c r="AE874" s="158"/>
    </row>
    <row r="875">
      <c r="A875" s="158"/>
      <c r="B875" s="158"/>
      <c r="C875" s="158"/>
      <c r="D875" s="158"/>
      <c r="E875" s="160"/>
      <c r="F875" s="158"/>
      <c r="G875" s="158"/>
      <c r="H875" s="160"/>
      <c r="I875" s="158"/>
      <c r="J875" s="158"/>
      <c r="K875" s="160"/>
      <c r="L875" s="158"/>
      <c r="M875" s="158"/>
      <c r="N875" s="158"/>
      <c r="O875" s="158"/>
      <c r="P875" s="158"/>
      <c r="Q875" s="158"/>
      <c r="R875" s="160"/>
      <c r="S875" s="158"/>
      <c r="T875" s="158"/>
      <c r="U875" s="158"/>
      <c r="V875" s="158"/>
      <c r="W875" s="158"/>
      <c r="X875" s="158"/>
      <c r="Y875" s="158"/>
      <c r="Z875" s="158"/>
      <c r="AA875" s="158"/>
      <c r="AB875" s="158"/>
      <c r="AC875" s="158"/>
      <c r="AD875" s="158"/>
      <c r="AE875" s="158"/>
    </row>
    <row r="876">
      <c r="A876" s="158"/>
      <c r="B876" s="158"/>
      <c r="C876" s="158"/>
      <c r="D876" s="158"/>
      <c r="E876" s="160"/>
      <c r="F876" s="158"/>
      <c r="G876" s="158"/>
      <c r="H876" s="160"/>
      <c r="I876" s="158"/>
      <c r="J876" s="158"/>
      <c r="K876" s="160"/>
      <c r="L876" s="158"/>
      <c r="M876" s="158"/>
      <c r="N876" s="158"/>
      <c r="O876" s="158"/>
      <c r="P876" s="158"/>
      <c r="Q876" s="158"/>
      <c r="R876" s="160"/>
      <c r="S876" s="158"/>
      <c r="T876" s="158"/>
      <c r="U876" s="158"/>
      <c r="V876" s="158"/>
      <c r="W876" s="158"/>
      <c r="X876" s="158"/>
      <c r="Y876" s="158"/>
      <c r="Z876" s="158"/>
      <c r="AA876" s="158"/>
      <c r="AB876" s="158"/>
      <c r="AC876" s="158"/>
      <c r="AD876" s="158"/>
      <c r="AE876" s="158"/>
    </row>
    <row r="877">
      <c r="A877" s="158"/>
      <c r="B877" s="158"/>
      <c r="C877" s="158"/>
      <c r="D877" s="158"/>
      <c r="E877" s="160"/>
      <c r="F877" s="158"/>
      <c r="G877" s="158"/>
      <c r="H877" s="160"/>
      <c r="I877" s="158"/>
      <c r="J877" s="158"/>
      <c r="K877" s="160"/>
      <c r="L877" s="158"/>
      <c r="M877" s="158"/>
      <c r="N877" s="158"/>
      <c r="O877" s="158"/>
      <c r="P877" s="158"/>
      <c r="Q877" s="158"/>
      <c r="R877" s="160"/>
      <c r="S877" s="158"/>
      <c r="T877" s="158"/>
      <c r="U877" s="158"/>
      <c r="V877" s="158"/>
      <c r="W877" s="158"/>
      <c r="X877" s="158"/>
      <c r="Y877" s="158"/>
      <c r="Z877" s="158"/>
      <c r="AA877" s="158"/>
      <c r="AB877" s="158"/>
      <c r="AC877" s="158"/>
      <c r="AD877" s="158"/>
      <c r="AE877" s="158"/>
    </row>
    <row r="878">
      <c r="A878" s="158"/>
      <c r="B878" s="158"/>
      <c r="C878" s="158"/>
      <c r="D878" s="158"/>
      <c r="E878" s="160"/>
      <c r="F878" s="158"/>
      <c r="G878" s="158"/>
      <c r="H878" s="160"/>
      <c r="I878" s="158"/>
      <c r="J878" s="158"/>
      <c r="K878" s="160"/>
      <c r="L878" s="158"/>
      <c r="M878" s="158"/>
      <c r="N878" s="158"/>
      <c r="O878" s="158"/>
      <c r="P878" s="158"/>
      <c r="Q878" s="158"/>
      <c r="R878" s="160"/>
      <c r="S878" s="158"/>
      <c r="T878" s="158"/>
      <c r="U878" s="158"/>
      <c r="V878" s="158"/>
      <c r="W878" s="158"/>
      <c r="X878" s="158"/>
      <c r="Y878" s="158"/>
      <c r="Z878" s="158"/>
      <c r="AA878" s="158"/>
      <c r="AB878" s="158"/>
      <c r="AC878" s="158"/>
      <c r="AD878" s="158"/>
      <c r="AE878" s="158"/>
    </row>
    <row r="879">
      <c r="A879" s="158"/>
      <c r="B879" s="158"/>
      <c r="C879" s="158"/>
      <c r="D879" s="158"/>
      <c r="E879" s="160"/>
      <c r="F879" s="158"/>
      <c r="G879" s="158"/>
      <c r="H879" s="160"/>
      <c r="I879" s="158"/>
      <c r="J879" s="158"/>
      <c r="K879" s="160"/>
      <c r="L879" s="158"/>
      <c r="M879" s="158"/>
      <c r="N879" s="158"/>
      <c r="O879" s="158"/>
      <c r="P879" s="158"/>
      <c r="Q879" s="158"/>
      <c r="R879" s="160"/>
      <c r="S879" s="158"/>
      <c r="T879" s="158"/>
      <c r="U879" s="158"/>
      <c r="V879" s="158"/>
      <c r="W879" s="158"/>
      <c r="X879" s="158"/>
      <c r="Y879" s="158"/>
      <c r="Z879" s="158"/>
      <c r="AA879" s="158"/>
      <c r="AB879" s="158"/>
      <c r="AC879" s="158"/>
      <c r="AD879" s="158"/>
      <c r="AE879" s="158"/>
    </row>
    <row r="880">
      <c r="A880" s="158"/>
      <c r="B880" s="158"/>
      <c r="C880" s="158"/>
      <c r="D880" s="158"/>
      <c r="E880" s="160"/>
      <c r="F880" s="158"/>
      <c r="G880" s="158"/>
      <c r="H880" s="160"/>
      <c r="I880" s="158"/>
      <c r="J880" s="158"/>
      <c r="K880" s="160"/>
      <c r="L880" s="158"/>
      <c r="M880" s="158"/>
      <c r="N880" s="158"/>
      <c r="O880" s="158"/>
      <c r="P880" s="158"/>
      <c r="Q880" s="158"/>
      <c r="R880" s="160"/>
      <c r="S880" s="158"/>
      <c r="T880" s="158"/>
      <c r="U880" s="158"/>
      <c r="V880" s="158"/>
      <c r="W880" s="158"/>
      <c r="X880" s="158"/>
      <c r="Y880" s="158"/>
      <c r="Z880" s="158"/>
      <c r="AA880" s="158"/>
      <c r="AB880" s="158"/>
      <c r="AC880" s="158"/>
      <c r="AD880" s="158"/>
      <c r="AE880" s="158"/>
    </row>
    <row r="881">
      <c r="A881" s="158"/>
      <c r="B881" s="158"/>
      <c r="C881" s="158"/>
      <c r="D881" s="158"/>
      <c r="E881" s="160"/>
      <c r="F881" s="158"/>
      <c r="G881" s="158"/>
      <c r="H881" s="160"/>
      <c r="I881" s="158"/>
      <c r="J881" s="158"/>
      <c r="K881" s="160"/>
      <c r="L881" s="158"/>
      <c r="M881" s="158"/>
      <c r="N881" s="158"/>
      <c r="O881" s="158"/>
      <c r="P881" s="158"/>
      <c r="Q881" s="158"/>
      <c r="R881" s="160"/>
      <c r="S881" s="158"/>
      <c r="T881" s="158"/>
      <c r="U881" s="158"/>
      <c r="V881" s="158"/>
      <c r="W881" s="158"/>
      <c r="X881" s="158"/>
      <c r="Y881" s="158"/>
      <c r="Z881" s="158"/>
      <c r="AA881" s="158"/>
      <c r="AB881" s="158"/>
      <c r="AC881" s="158"/>
      <c r="AD881" s="158"/>
      <c r="AE881" s="158"/>
    </row>
    <row r="882">
      <c r="A882" s="158"/>
      <c r="B882" s="158"/>
      <c r="C882" s="158"/>
      <c r="D882" s="158"/>
      <c r="E882" s="160"/>
      <c r="F882" s="158"/>
      <c r="G882" s="158"/>
      <c r="H882" s="160"/>
      <c r="I882" s="158"/>
      <c r="J882" s="158"/>
      <c r="K882" s="160"/>
      <c r="L882" s="158"/>
      <c r="M882" s="158"/>
      <c r="N882" s="158"/>
      <c r="O882" s="158"/>
      <c r="P882" s="158"/>
      <c r="Q882" s="158"/>
      <c r="R882" s="160"/>
      <c r="S882" s="158"/>
      <c r="T882" s="158"/>
      <c r="U882" s="158"/>
      <c r="V882" s="158"/>
      <c r="W882" s="158"/>
      <c r="X882" s="158"/>
      <c r="Y882" s="158"/>
      <c r="Z882" s="158"/>
      <c r="AA882" s="158"/>
      <c r="AB882" s="158"/>
      <c r="AC882" s="158"/>
      <c r="AD882" s="158"/>
      <c r="AE882" s="158"/>
    </row>
    <row r="883">
      <c r="A883" s="158"/>
      <c r="B883" s="158"/>
      <c r="C883" s="158"/>
      <c r="D883" s="158"/>
      <c r="E883" s="160"/>
      <c r="F883" s="158"/>
      <c r="G883" s="158"/>
      <c r="H883" s="160"/>
      <c r="I883" s="158"/>
      <c r="J883" s="158"/>
      <c r="K883" s="160"/>
      <c r="L883" s="158"/>
      <c r="M883" s="158"/>
      <c r="N883" s="158"/>
      <c r="O883" s="158"/>
      <c r="P883" s="158"/>
      <c r="Q883" s="158"/>
      <c r="R883" s="160"/>
      <c r="S883" s="158"/>
      <c r="T883" s="158"/>
      <c r="U883" s="158"/>
      <c r="V883" s="158"/>
      <c r="W883" s="158"/>
      <c r="X883" s="158"/>
      <c r="Y883" s="158"/>
      <c r="Z883" s="158"/>
      <c r="AA883" s="158"/>
      <c r="AB883" s="158"/>
      <c r="AC883" s="158"/>
      <c r="AD883" s="158"/>
      <c r="AE883" s="158"/>
    </row>
    <row r="884">
      <c r="A884" s="158"/>
      <c r="B884" s="158"/>
      <c r="C884" s="158"/>
      <c r="D884" s="158"/>
      <c r="E884" s="160"/>
      <c r="F884" s="158"/>
      <c r="G884" s="158"/>
      <c r="H884" s="160"/>
      <c r="I884" s="158"/>
      <c r="J884" s="158"/>
      <c r="K884" s="160"/>
      <c r="L884" s="158"/>
      <c r="M884" s="158"/>
      <c r="N884" s="158"/>
      <c r="O884" s="158"/>
      <c r="P884" s="158"/>
      <c r="Q884" s="158"/>
      <c r="R884" s="160"/>
      <c r="S884" s="158"/>
      <c r="T884" s="158"/>
      <c r="U884" s="158"/>
      <c r="V884" s="158"/>
      <c r="W884" s="158"/>
      <c r="X884" s="158"/>
      <c r="Y884" s="158"/>
      <c r="Z884" s="158"/>
      <c r="AA884" s="158"/>
      <c r="AB884" s="158"/>
      <c r="AC884" s="158"/>
      <c r="AD884" s="158"/>
      <c r="AE884" s="158"/>
    </row>
    <row r="885">
      <c r="A885" s="158"/>
      <c r="B885" s="158"/>
      <c r="C885" s="158"/>
      <c r="D885" s="158"/>
      <c r="E885" s="160"/>
      <c r="F885" s="158"/>
      <c r="G885" s="158"/>
      <c r="H885" s="160"/>
      <c r="I885" s="158"/>
      <c r="J885" s="158"/>
      <c r="K885" s="160"/>
      <c r="L885" s="158"/>
      <c r="M885" s="158"/>
      <c r="N885" s="158"/>
      <c r="O885" s="158"/>
      <c r="P885" s="158"/>
      <c r="Q885" s="158"/>
      <c r="R885" s="160"/>
      <c r="S885" s="158"/>
      <c r="T885" s="158"/>
      <c r="U885" s="158"/>
      <c r="V885" s="158"/>
      <c r="W885" s="158"/>
      <c r="X885" s="158"/>
      <c r="Y885" s="158"/>
      <c r="Z885" s="158"/>
      <c r="AA885" s="158"/>
      <c r="AB885" s="158"/>
      <c r="AC885" s="158"/>
      <c r="AD885" s="158"/>
      <c r="AE885" s="158"/>
    </row>
    <row r="886">
      <c r="A886" s="158"/>
      <c r="B886" s="158"/>
      <c r="C886" s="158"/>
      <c r="D886" s="158"/>
      <c r="E886" s="160"/>
      <c r="F886" s="158"/>
      <c r="G886" s="158"/>
      <c r="H886" s="160"/>
      <c r="I886" s="158"/>
      <c r="J886" s="158"/>
      <c r="K886" s="160"/>
      <c r="L886" s="158"/>
      <c r="M886" s="158"/>
      <c r="N886" s="158"/>
      <c r="O886" s="158"/>
      <c r="P886" s="158"/>
      <c r="Q886" s="158"/>
      <c r="R886" s="160"/>
      <c r="S886" s="158"/>
      <c r="T886" s="158"/>
      <c r="U886" s="158"/>
      <c r="V886" s="158"/>
      <c r="W886" s="158"/>
      <c r="X886" s="158"/>
      <c r="Y886" s="158"/>
      <c r="Z886" s="158"/>
      <c r="AA886" s="158"/>
      <c r="AB886" s="158"/>
      <c r="AC886" s="158"/>
      <c r="AD886" s="158"/>
      <c r="AE886" s="158"/>
    </row>
    <row r="887">
      <c r="A887" s="158"/>
      <c r="B887" s="158"/>
      <c r="C887" s="158"/>
      <c r="D887" s="158"/>
      <c r="E887" s="160"/>
      <c r="F887" s="158"/>
      <c r="G887" s="158"/>
      <c r="H887" s="160"/>
      <c r="I887" s="158"/>
      <c r="J887" s="158"/>
      <c r="K887" s="160"/>
      <c r="L887" s="158"/>
      <c r="M887" s="158"/>
      <c r="N887" s="158"/>
      <c r="O887" s="158"/>
      <c r="P887" s="158"/>
      <c r="Q887" s="158"/>
      <c r="R887" s="160"/>
      <c r="S887" s="158"/>
      <c r="T887" s="158"/>
      <c r="U887" s="158"/>
      <c r="V887" s="158"/>
      <c r="W887" s="158"/>
      <c r="X887" s="158"/>
      <c r="Y887" s="158"/>
      <c r="Z887" s="158"/>
      <c r="AA887" s="158"/>
      <c r="AB887" s="158"/>
      <c r="AC887" s="158"/>
      <c r="AD887" s="158"/>
      <c r="AE887" s="158"/>
    </row>
    <row r="888">
      <c r="A888" s="158"/>
      <c r="B888" s="158"/>
      <c r="C888" s="158"/>
      <c r="D888" s="158"/>
      <c r="E888" s="160"/>
      <c r="F888" s="158"/>
      <c r="G888" s="158"/>
      <c r="H888" s="160"/>
      <c r="I888" s="158"/>
      <c r="J888" s="158"/>
      <c r="K888" s="160"/>
      <c r="L888" s="158"/>
      <c r="M888" s="158"/>
      <c r="N888" s="158"/>
      <c r="O888" s="158"/>
      <c r="P888" s="158"/>
      <c r="Q888" s="158"/>
      <c r="R888" s="160"/>
      <c r="S888" s="158"/>
      <c r="T888" s="158"/>
      <c r="U888" s="158"/>
      <c r="V888" s="158"/>
      <c r="W888" s="158"/>
      <c r="X888" s="158"/>
      <c r="Y888" s="158"/>
      <c r="Z888" s="158"/>
      <c r="AA888" s="158"/>
      <c r="AB888" s="158"/>
      <c r="AC888" s="158"/>
      <c r="AD888" s="158"/>
      <c r="AE888" s="158"/>
    </row>
    <row r="889">
      <c r="A889" s="158"/>
      <c r="B889" s="158"/>
      <c r="C889" s="158"/>
      <c r="D889" s="158"/>
      <c r="E889" s="160"/>
      <c r="F889" s="158"/>
      <c r="G889" s="158"/>
      <c r="H889" s="160"/>
      <c r="I889" s="158"/>
      <c r="J889" s="158"/>
      <c r="K889" s="160"/>
      <c r="L889" s="158"/>
      <c r="M889" s="158"/>
      <c r="N889" s="158"/>
      <c r="O889" s="158"/>
      <c r="P889" s="158"/>
      <c r="Q889" s="158"/>
      <c r="R889" s="160"/>
      <c r="S889" s="158"/>
      <c r="T889" s="158"/>
      <c r="U889" s="158"/>
      <c r="V889" s="158"/>
      <c r="W889" s="158"/>
      <c r="X889" s="158"/>
      <c r="Y889" s="158"/>
      <c r="Z889" s="158"/>
      <c r="AA889" s="158"/>
      <c r="AB889" s="158"/>
      <c r="AC889" s="158"/>
      <c r="AD889" s="158"/>
      <c r="AE889" s="158"/>
    </row>
    <row r="890">
      <c r="A890" s="158"/>
      <c r="B890" s="158"/>
      <c r="C890" s="158"/>
      <c r="D890" s="158"/>
      <c r="E890" s="160"/>
      <c r="F890" s="158"/>
      <c r="G890" s="158"/>
      <c r="H890" s="160"/>
      <c r="I890" s="158"/>
      <c r="J890" s="158"/>
      <c r="K890" s="160"/>
      <c r="L890" s="158"/>
      <c r="M890" s="158"/>
      <c r="N890" s="158"/>
      <c r="O890" s="158"/>
      <c r="P890" s="158"/>
      <c r="Q890" s="158"/>
      <c r="R890" s="160"/>
      <c r="S890" s="158"/>
      <c r="T890" s="158"/>
      <c r="U890" s="158"/>
      <c r="V890" s="158"/>
      <c r="W890" s="158"/>
      <c r="X890" s="158"/>
      <c r="Y890" s="158"/>
      <c r="Z890" s="158"/>
      <c r="AA890" s="158"/>
      <c r="AB890" s="158"/>
      <c r="AC890" s="158"/>
      <c r="AD890" s="158"/>
      <c r="AE890" s="158"/>
    </row>
    <row r="891">
      <c r="A891" s="158"/>
      <c r="B891" s="158"/>
      <c r="C891" s="158"/>
      <c r="D891" s="158"/>
      <c r="E891" s="160"/>
      <c r="F891" s="158"/>
      <c r="G891" s="158"/>
      <c r="H891" s="160"/>
      <c r="I891" s="158"/>
      <c r="J891" s="158"/>
      <c r="K891" s="160"/>
      <c r="L891" s="158"/>
      <c r="M891" s="158"/>
      <c r="N891" s="158"/>
      <c r="O891" s="158"/>
      <c r="P891" s="158"/>
      <c r="Q891" s="158"/>
      <c r="R891" s="160"/>
      <c r="S891" s="158"/>
      <c r="T891" s="158"/>
      <c r="U891" s="158"/>
      <c r="V891" s="158"/>
      <c r="W891" s="158"/>
      <c r="X891" s="158"/>
      <c r="Y891" s="158"/>
      <c r="Z891" s="158"/>
      <c r="AA891" s="158"/>
      <c r="AB891" s="158"/>
      <c r="AC891" s="158"/>
      <c r="AD891" s="158"/>
      <c r="AE891" s="158"/>
    </row>
    <row r="892">
      <c r="A892" s="158"/>
      <c r="B892" s="158"/>
      <c r="C892" s="158"/>
      <c r="D892" s="158"/>
      <c r="E892" s="160"/>
      <c r="F892" s="158"/>
      <c r="G892" s="158"/>
      <c r="H892" s="160"/>
      <c r="I892" s="158"/>
      <c r="J892" s="158"/>
      <c r="K892" s="160"/>
      <c r="L892" s="158"/>
      <c r="M892" s="158"/>
      <c r="N892" s="158"/>
      <c r="O892" s="158"/>
      <c r="P892" s="158"/>
      <c r="Q892" s="158"/>
      <c r="R892" s="160"/>
      <c r="S892" s="158"/>
      <c r="T892" s="158"/>
      <c r="U892" s="158"/>
      <c r="V892" s="158"/>
      <c r="W892" s="158"/>
      <c r="X892" s="158"/>
      <c r="Y892" s="158"/>
      <c r="Z892" s="158"/>
      <c r="AA892" s="158"/>
      <c r="AB892" s="158"/>
      <c r="AC892" s="158"/>
      <c r="AD892" s="158"/>
      <c r="AE892" s="158"/>
    </row>
    <row r="893">
      <c r="A893" s="158"/>
      <c r="B893" s="158"/>
      <c r="C893" s="158"/>
      <c r="D893" s="158"/>
      <c r="E893" s="160"/>
      <c r="F893" s="158"/>
      <c r="G893" s="158"/>
      <c r="H893" s="160"/>
      <c r="I893" s="158"/>
      <c r="J893" s="158"/>
      <c r="K893" s="160"/>
      <c r="L893" s="158"/>
      <c r="M893" s="158"/>
      <c r="N893" s="158"/>
      <c r="O893" s="158"/>
      <c r="P893" s="158"/>
      <c r="Q893" s="158"/>
      <c r="R893" s="160"/>
      <c r="S893" s="158"/>
      <c r="T893" s="158"/>
      <c r="U893" s="158"/>
      <c r="V893" s="158"/>
      <c r="W893" s="158"/>
      <c r="X893" s="158"/>
      <c r="Y893" s="158"/>
      <c r="Z893" s="158"/>
      <c r="AA893" s="158"/>
      <c r="AB893" s="158"/>
      <c r="AC893" s="158"/>
      <c r="AD893" s="158"/>
      <c r="AE893" s="158"/>
    </row>
    <row r="894">
      <c r="A894" s="158"/>
      <c r="B894" s="158"/>
      <c r="C894" s="158"/>
      <c r="D894" s="158"/>
      <c r="E894" s="160"/>
      <c r="F894" s="158"/>
      <c r="G894" s="158"/>
      <c r="H894" s="160"/>
      <c r="I894" s="158"/>
      <c r="J894" s="158"/>
      <c r="K894" s="160"/>
      <c r="L894" s="158"/>
      <c r="M894" s="158"/>
      <c r="N894" s="158"/>
      <c r="O894" s="158"/>
      <c r="P894" s="158"/>
      <c r="Q894" s="158"/>
      <c r="R894" s="160"/>
      <c r="S894" s="158"/>
      <c r="T894" s="158"/>
      <c r="U894" s="158"/>
      <c r="V894" s="158"/>
      <c r="W894" s="158"/>
      <c r="X894" s="158"/>
      <c r="Y894" s="158"/>
      <c r="Z894" s="158"/>
      <c r="AA894" s="158"/>
      <c r="AB894" s="158"/>
      <c r="AC894" s="158"/>
      <c r="AD894" s="158"/>
      <c r="AE894" s="158"/>
    </row>
    <row r="895">
      <c r="A895" s="158"/>
      <c r="B895" s="158"/>
      <c r="C895" s="158"/>
      <c r="D895" s="158"/>
      <c r="E895" s="160"/>
      <c r="F895" s="158"/>
      <c r="G895" s="158"/>
      <c r="H895" s="160"/>
      <c r="I895" s="158"/>
      <c r="J895" s="158"/>
      <c r="K895" s="160"/>
      <c r="L895" s="158"/>
      <c r="M895" s="158"/>
      <c r="N895" s="158"/>
      <c r="O895" s="158"/>
      <c r="P895" s="158"/>
      <c r="Q895" s="158"/>
      <c r="R895" s="160"/>
      <c r="S895" s="158"/>
      <c r="T895" s="158"/>
      <c r="U895" s="158"/>
      <c r="V895" s="158"/>
      <c r="W895" s="158"/>
      <c r="X895" s="158"/>
      <c r="Y895" s="158"/>
      <c r="Z895" s="158"/>
      <c r="AA895" s="158"/>
      <c r="AB895" s="158"/>
      <c r="AC895" s="158"/>
      <c r="AD895" s="158"/>
      <c r="AE895" s="158"/>
    </row>
    <row r="896">
      <c r="A896" s="158"/>
      <c r="B896" s="158"/>
      <c r="C896" s="158"/>
      <c r="D896" s="158"/>
      <c r="E896" s="160"/>
      <c r="F896" s="158"/>
      <c r="G896" s="158"/>
      <c r="H896" s="160"/>
      <c r="I896" s="158"/>
      <c r="J896" s="158"/>
      <c r="K896" s="160"/>
      <c r="L896" s="158"/>
      <c r="M896" s="158"/>
      <c r="N896" s="158"/>
      <c r="O896" s="158"/>
      <c r="P896" s="158"/>
      <c r="Q896" s="158"/>
      <c r="R896" s="160"/>
      <c r="S896" s="158"/>
      <c r="T896" s="158"/>
      <c r="U896" s="158"/>
      <c r="V896" s="158"/>
      <c r="W896" s="158"/>
      <c r="X896" s="158"/>
      <c r="Y896" s="158"/>
      <c r="Z896" s="158"/>
      <c r="AA896" s="158"/>
      <c r="AB896" s="158"/>
      <c r="AC896" s="158"/>
      <c r="AD896" s="158"/>
      <c r="AE896" s="158"/>
    </row>
    <row r="897">
      <c r="A897" s="158"/>
      <c r="B897" s="158"/>
      <c r="C897" s="158"/>
      <c r="D897" s="158"/>
      <c r="E897" s="160"/>
      <c r="F897" s="158"/>
      <c r="G897" s="158"/>
      <c r="H897" s="160"/>
      <c r="I897" s="158"/>
      <c r="J897" s="158"/>
      <c r="K897" s="160"/>
      <c r="L897" s="158"/>
      <c r="M897" s="158"/>
      <c r="N897" s="158"/>
      <c r="O897" s="158"/>
      <c r="P897" s="158"/>
      <c r="Q897" s="158"/>
      <c r="R897" s="160"/>
      <c r="S897" s="158"/>
      <c r="T897" s="158"/>
      <c r="U897" s="158"/>
      <c r="V897" s="158"/>
      <c r="W897" s="158"/>
      <c r="X897" s="158"/>
      <c r="Y897" s="158"/>
      <c r="Z897" s="158"/>
      <c r="AA897" s="158"/>
      <c r="AB897" s="158"/>
      <c r="AC897" s="158"/>
      <c r="AD897" s="158"/>
      <c r="AE897" s="158"/>
    </row>
    <row r="898">
      <c r="A898" s="158"/>
      <c r="B898" s="158"/>
      <c r="C898" s="158"/>
      <c r="D898" s="158"/>
      <c r="E898" s="160"/>
      <c r="F898" s="158"/>
      <c r="G898" s="158"/>
      <c r="H898" s="160"/>
      <c r="I898" s="158"/>
      <c r="J898" s="158"/>
      <c r="K898" s="160"/>
      <c r="L898" s="158"/>
      <c r="M898" s="158"/>
      <c r="N898" s="158"/>
      <c r="O898" s="158"/>
      <c r="P898" s="158"/>
      <c r="Q898" s="158"/>
      <c r="R898" s="160"/>
      <c r="S898" s="158"/>
      <c r="T898" s="158"/>
      <c r="U898" s="158"/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</row>
    <row r="899">
      <c r="A899" s="158"/>
      <c r="B899" s="158"/>
      <c r="C899" s="158"/>
      <c r="D899" s="158"/>
      <c r="E899" s="160"/>
      <c r="F899" s="158"/>
      <c r="G899" s="158"/>
      <c r="H899" s="160"/>
      <c r="I899" s="158"/>
      <c r="J899" s="158"/>
      <c r="K899" s="160"/>
      <c r="L899" s="158"/>
      <c r="M899" s="158"/>
      <c r="N899" s="158"/>
      <c r="O899" s="158"/>
      <c r="P899" s="158"/>
      <c r="Q899" s="158"/>
      <c r="R899" s="160"/>
      <c r="S899" s="158"/>
      <c r="T899" s="158"/>
      <c r="U899" s="158"/>
      <c r="V899" s="158"/>
      <c r="W899" s="158"/>
      <c r="X899" s="158"/>
      <c r="Y899" s="158"/>
      <c r="Z899" s="158"/>
      <c r="AA899" s="158"/>
      <c r="AB899" s="158"/>
      <c r="AC899" s="158"/>
      <c r="AD899" s="158"/>
      <c r="AE899" s="158"/>
    </row>
    <row r="900">
      <c r="A900" s="158"/>
      <c r="B900" s="158"/>
      <c r="C900" s="158"/>
      <c r="D900" s="158"/>
      <c r="E900" s="160"/>
      <c r="F900" s="158"/>
      <c r="G900" s="158"/>
      <c r="H900" s="160"/>
      <c r="I900" s="158"/>
      <c r="J900" s="158"/>
      <c r="K900" s="160"/>
      <c r="L900" s="158"/>
      <c r="M900" s="158"/>
      <c r="N900" s="158"/>
      <c r="O900" s="158"/>
      <c r="P900" s="158"/>
      <c r="Q900" s="158"/>
      <c r="R900" s="160"/>
      <c r="S900" s="158"/>
      <c r="T900" s="158"/>
      <c r="U900" s="158"/>
      <c r="V900" s="158"/>
      <c r="W900" s="158"/>
      <c r="X900" s="158"/>
      <c r="Y900" s="158"/>
      <c r="Z900" s="158"/>
      <c r="AA900" s="158"/>
      <c r="AB900" s="158"/>
      <c r="AC900" s="158"/>
      <c r="AD900" s="158"/>
      <c r="AE900" s="158"/>
    </row>
    <row r="901">
      <c r="A901" s="158"/>
      <c r="B901" s="158"/>
      <c r="C901" s="158"/>
      <c r="D901" s="158"/>
      <c r="E901" s="160"/>
      <c r="F901" s="158"/>
      <c r="G901" s="158"/>
      <c r="H901" s="160"/>
      <c r="I901" s="158"/>
      <c r="J901" s="158"/>
      <c r="K901" s="160"/>
      <c r="L901" s="158"/>
      <c r="M901" s="158"/>
      <c r="N901" s="158"/>
      <c r="O901" s="158"/>
      <c r="P901" s="158"/>
      <c r="Q901" s="158"/>
      <c r="R901" s="160"/>
      <c r="S901" s="158"/>
      <c r="T901" s="158"/>
      <c r="U901" s="158"/>
      <c r="V901" s="158"/>
      <c r="W901" s="158"/>
      <c r="X901" s="158"/>
      <c r="Y901" s="158"/>
      <c r="Z901" s="158"/>
      <c r="AA901" s="158"/>
      <c r="AB901" s="158"/>
      <c r="AC901" s="158"/>
      <c r="AD901" s="158"/>
      <c r="AE901" s="158"/>
    </row>
    <row r="902">
      <c r="A902" s="158"/>
      <c r="B902" s="158"/>
      <c r="C902" s="158"/>
      <c r="D902" s="158"/>
      <c r="E902" s="160"/>
      <c r="F902" s="158"/>
      <c r="G902" s="158"/>
      <c r="H902" s="160"/>
      <c r="I902" s="158"/>
      <c r="J902" s="158"/>
      <c r="K902" s="160"/>
      <c r="L902" s="158"/>
      <c r="M902" s="158"/>
      <c r="N902" s="158"/>
      <c r="O902" s="158"/>
      <c r="P902" s="158"/>
      <c r="Q902" s="158"/>
      <c r="R902" s="160"/>
      <c r="S902" s="158"/>
      <c r="T902" s="158"/>
      <c r="U902" s="158"/>
      <c r="V902" s="158"/>
      <c r="W902" s="158"/>
      <c r="X902" s="158"/>
      <c r="Y902" s="158"/>
      <c r="Z902" s="158"/>
      <c r="AA902" s="158"/>
      <c r="AB902" s="158"/>
      <c r="AC902" s="158"/>
      <c r="AD902" s="158"/>
      <c r="AE902" s="158"/>
    </row>
    <row r="903">
      <c r="A903" s="158"/>
      <c r="B903" s="158"/>
      <c r="C903" s="158"/>
      <c r="D903" s="158"/>
      <c r="E903" s="160"/>
      <c r="F903" s="158"/>
      <c r="G903" s="158"/>
      <c r="H903" s="160"/>
      <c r="I903" s="158"/>
      <c r="J903" s="158"/>
      <c r="K903" s="160"/>
      <c r="L903" s="158"/>
      <c r="M903" s="158"/>
      <c r="N903" s="158"/>
      <c r="O903" s="158"/>
      <c r="P903" s="158"/>
      <c r="Q903" s="158"/>
      <c r="R903" s="160"/>
      <c r="S903" s="158"/>
      <c r="T903" s="158"/>
      <c r="U903" s="158"/>
      <c r="V903" s="158"/>
      <c r="W903" s="158"/>
      <c r="X903" s="158"/>
      <c r="Y903" s="158"/>
      <c r="Z903" s="158"/>
      <c r="AA903" s="158"/>
      <c r="AB903" s="158"/>
      <c r="AC903" s="158"/>
      <c r="AD903" s="158"/>
      <c r="AE903" s="158"/>
    </row>
    <row r="904">
      <c r="A904" s="158"/>
      <c r="B904" s="158"/>
      <c r="C904" s="158"/>
      <c r="D904" s="158"/>
      <c r="E904" s="160"/>
      <c r="F904" s="158"/>
      <c r="G904" s="158"/>
      <c r="H904" s="160"/>
      <c r="I904" s="158"/>
      <c r="J904" s="158"/>
      <c r="K904" s="160"/>
      <c r="L904" s="158"/>
      <c r="M904" s="158"/>
      <c r="N904" s="158"/>
      <c r="O904" s="158"/>
      <c r="P904" s="158"/>
      <c r="Q904" s="158"/>
      <c r="R904" s="160"/>
      <c r="S904" s="158"/>
      <c r="T904" s="158"/>
      <c r="U904" s="158"/>
      <c r="V904" s="158"/>
      <c r="W904" s="158"/>
      <c r="X904" s="158"/>
      <c r="Y904" s="158"/>
      <c r="Z904" s="158"/>
      <c r="AA904" s="158"/>
      <c r="AB904" s="158"/>
      <c r="AC904" s="158"/>
      <c r="AD904" s="158"/>
      <c r="AE904" s="158"/>
    </row>
    <row r="905">
      <c r="A905" s="158"/>
      <c r="B905" s="158"/>
      <c r="C905" s="158"/>
      <c r="D905" s="158"/>
      <c r="E905" s="160"/>
      <c r="F905" s="158"/>
      <c r="G905" s="158"/>
      <c r="H905" s="160"/>
      <c r="I905" s="158"/>
      <c r="J905" s="158"/>
      <c r="K905" s="160"/>
      <c r="L905" s="158"/>
      <c r="M905" s="158"/>
      <c r="N905" s="158"/>
      <c r="O905" s="158"/>
      <c r="P905" s="158"/>
      <c r="Q905" s="158"/>
      <c r="R905" s="160"/>
      <c r="S905" s="158"/>
      <c r="T905" s="158"/>
      <c r="U905" s="158"/>
      <c r="V905" s="158"/>
      <c r="W905" s="158"/>
      <c r="X905" s="158"/>
      <c r="Y905" s="158"/>
      <c r="Z905" s="158"/>
      <c r="AA905" s="158"/>
      <c r="AB905" s="158"/>
      <c r="AC905" s="158"/>
      <c r="AD905" s="158"/>
      <c r="AE905" s="158"/>
    </row>
    <row r="906">
      <c r="A906" s="158"/>
      <c r="B906" s="158"/>
      <c r="C906" s="158"/>
      <c r="D906" s="158"/>
      <c r="E906" s="160"/>
      <c r="F906" s="158"/>
      <c r="G906" s="158"/>
      <c r="H906" s="160"/>
      <c r="I906" s="158"/>
      <c r="J906" s="158"/>
      <c r="K906" s="160"/>
      <c r="L906" s="158"/>
      <c r="M906" s="158"/>
      <c r="N906" s="158"/>
      <c r="O906" s="158"/>
      <c r="P906" s="158"/>
      <c r="Q906" s="158"/>
      <c r="R906" s="160"/>
      <c r="S906" s="158"/>
      <c r="T906" s="158"/>
      <c r="U906" s="158"/>
      <c r="V906" s="158"/>
      <c r="W906" s="158"/>
      <c r="X906" s="158"/>
      <c r="Y906" s="158"/>
      <c r="Z906" s="158"/>
      <c r="AA906" s="158"/>
      <c r="AB906" s="158"/>
      <c r="AC906" s="158"/>
      <c r="AD906" s="158"/>
      <c r="AE906" s="158"/>
    </row>
    <row r="907">
      <c r="A907" s="158"/>
      <c r="B907" s="158"/>
      <c r="C907" s="158"/>
      <c r="D907" s="158"/>
      <c r="E907" s="160"/>
      <c r="F907" s="158"/>
      <c r="G907" s="158"/>
      <c r="H907" s="160"/>
      <c r="I907" s="158"/>
      <c r="J907" s="158"/>
      <c r="K907" s="160"/>
      <c r="L907" s="158"/>
      <c r="M907" s="158"/>
      <c r="N907" s="158"/>
      <c r="O907" s="158"/>
      <c r="P907" s="158"/>
      <c r="Q907" s="158"/>
      <c r="R907" s="160"/>
      <c r="S907" s="158"/>
      <c r="T907" s="158"/>
      <c r="U907" s="158"/>
      <c r="V907" s="158"/>
      <c r="W907" s="158"/>
      <c r="X907" s="158"/>
      <c r="Y907" s="158"/>
      <c r="Z907" s="158"/>
      <c r="AA907" s="158"/>
      <c r="AB907" s="158"/>
      <c r="AC907" s="158"/>
      <c r="AD907" s="158"/>
      <c r="AE907" s="158"/>
    </row>
    <row r="908">
      <c r="A908" s="158"/>
      <c r="B908" s="158"/>
      <c r="C908" s="158"/>
      <c r="D908" s="158"/>
      <c r="E908" s="160"/>
      <c r="F908" s="158"/>
      <c r="G908" s="158"/>
      <c r="H908" s="160"/>
      <c r="I908" s="158"/>
      <c r="J908" s="158"/>
      <c r="K908" s="160"/>
      <c r="L908" s="158"/>
      <c r="M908" s="158"/>
      <c r="N908" s="158"/>
      <c r="O908" s="158"/>
      <c r="P908" s="158"/>
      <c r="Q908" s="158"/>
      <c r="R908" s="160"/>
      <c r="S908" s="158"/>
      <c r="T908" s="158"/>
      <c r="U908" s="158"/>
      <c r="V908" s="158"/>
      <c r="W908" s="158"/>
      <c r="X908" s="158"/>
      <c r="Y908" s="158"/>
      <c r="Z908" s="158"/>
      <c r="AA908" s="158"/>
      <c r="AB908" s="158"/>
      <c r="AC908" s="158"/>
      <c r="AD908" s="158"/>
      <c r="AE908" s="158"/>
    </row>
    <row r="909">
      <c r="A909" s="158"/>
      <c r="B909" s="158"/>
      <c r="C909" s="158"/>
      <c r="D909" s="158"/>
      <c r="E909" s="160"/>
      <c r="F909" s="158"/>
      <c r="G909" s="158"/>
      <c r="H909" s="160"/>
      <c r="I909" s="158"/>
      <c r="J909" s="158"/>
      <c r="K909" s="160"/>
      <c r="L909" s="158"/>
      <c r="M909" s="158"/>
      <c r="N909" s="158"/>
      <c r="O909" s="158"/>
      <c r="P909" s="158"/>
      <c r="Q909" s="158"/>
      <c r="R909" s="160"/>
      <c r="S909" s="158"/>
      <c r="T909" s="158"/>
      <c r="U909" s="158"/>
      <c r="V909" s="158"/>
      <c r="W909" s="158"/>
      <c r="X909" s="158"/>
      <c r="Y909" s="158"/>
      <c r="Z909" s="158"/>
      <c r="AA909" s="158"/>
      <c r="AB909" s="158"/>
      <c r="AC909" s="158"/>
      <c r="AD909" s="158"/>
      <c r="AE909" s="158"/>
    </row>
    <row r="910">
      <c r="A910" s="158"/>
      <c r="B910" s="158"/>
      <c r="C910" s="158"/>
      <c r="D910" s="158"/>
      <c r="E910" s="160"/>
      <c r="F910" s="158"/>
      <c r="G910" s="158"/>
      <c r="H910" s="160"/>
      <c r="I910" s="158"/>
      <c r="J910" s="158"/>
      <c r="K910" s="160"/>
      <c r="L910" s="158"/>
      <c r="M910" s="158"/>
      <c r="N910" s="158"/>
      <c r="O910" s="158"/>
      <c r="P910" s="158"/>
      <c r="Q910" s="158"/>
      <c r="R910" s="160"/>
      <c r="S910" s="158"/>
      <c r="T910" s="158"/>
      <c r="U910" s="158"/>
      <c r="V910" s="158"/>
      <c r="W910" s="158"/>
      <c r="X910" s="158"/>
      <c r="Y910" s="158"/>
      <c r="Z910" s="158"/>
      <c r="AA910" s="158"/>
      <c r="AB910" s="158"/>
      <c r="AC910" s="158"/>
      <c r="AD910" s="158"/>
      <c r="AE910" s="158"/>
    </row>
    <row r="911">
      <c r="A911" s="158"/>
      <c r="B911" s="158"/>
      <c r="C911" s="158"/>
      <c r="D911" s="158"/>
      <c r="E911" s="160"/>
      <c r="F911" s="158"/>
      <c r="G911" s="158"/>
      <c r="H911" s="160"/>
      <c r="I911" s="158"/>
      <c r="J911" s="158"/>
      <c r="K911" s="160"/>
      <c r="L911" s="158"/>
      <c r="M911" s="158"/>
      <c r="N911" s="158"/>
      <c r="O911" s="158"/>
      <c r="P911" s="158"/>
      <c r="Q911" s="158"/>
      <c r="R911" s="160"/>
      <c r="S911" s="158"/>
      <c r="T911" s="158"/>
      <c r="U911" s="158"/>
      <c r="V911" s="158"/>
      <c r="W911" s="158"/>
      <c r="X911" s="158"/>
      <c r="Y911" s="158"/>
      <c r="Z911" s="158"/>
      <c r="AA911" s="158"/>
      <c r="AB911" s="158"/>
      <c r="AC911" s="158"/>
      <c r="AD911" s="158"/>
      <c r="AE911" s="158"/>
    </row>
    <row r="912">
      <c r="A912" s="158"/>
      <c r="B912" s="158"/>
      <c r="C912" s="158"/>
      <c r="D912" s="158"/>
      <c r="E912" s="160"/>
      <c r="F912" s="158"/>
      <c r="G912" s="158"/>
      <c r="H912" s="160"/>
      <c r="I912" s="158"/>
      <c r="J912" s="158"/>
      <c r="K912" s="160"/>
      <c r="L912" s="158"/>
      <c r="M912" s="158"/>
      <c r="N912" s="158"/>
      <c r="O912" s="158"/>
      <c r="P912" s="158"/>
      <c r="Q912" s="158"/>
      <c r="R912" s="160"/>
      <c r="S912" s="158"/>
      <c r="T912" s="158"/>
      <c r="U912" s="158"/>
      <c r="V912" s="158"/>
      <c r="W912" s="158"/>
      <c r="X912" s="158"/>
      <c r="Y912" s="158"/>
      <c r="Z912" s="158"/>
      <c r="AA912" s="158"/>
      <c r="AB912" s="158"/>
      <c r="AC912" s="158"/>
      <c r="AD912" s="158"/>
      <c r="AE912" s="158"/>
    </row>
    <row r="913">
      <c r="A913" s="158"/>
      <c r="B913" s="158"/>
      <c r="C913" s="158"/>
      <c r="D913" s="158"/>
      <c r="E913" s="160"/>
      <c r="F913" s="158"/>
      <c r="G913" s="158"/>
      <c r="H913" s="160"/>
      <c r="I913" s="158"/>
      <c r="J913" s="158"/>
      <c r="K913" s="160"/>
      <c r="L913" s="158"/>
      <c r="M913" s="158"/>
      <c r="N913" s="158"/>
      <c r="O913" s="158"/>
      <c r="P913" s="158"/>
      <c r="Q913" s="158"/>
      <c r="R913" s="160"/>
      <c r="S913" s="158"/>
      <c r="T913" s="158"/>
      <c r="U913" s="158"/>
      <c r="V913" s="158"/>
      <c r="W913" s="158"/>
      <c r="X913" s="158"/>
      <c r="Y913" s="158"/>
      <c r="Z913" s="158"/>
      <c r="AA913" s="158"/>
      <c r="AB913" s="158"/>
      <c r="AC913" s="158"/>
      <c r="AD913" s="158"/>
      <c r="AE913" s="158"/>
    </row>
    <row r="914">
      <c r="A914" s="158"/>
      <c r="B914" s="158"/>
      <c r="C914" s="158"/>
      <c r="D914" s="158"/>
      <c r="E914" s="160"/>
      <c r="F914" s="158"/>
      <c r="G914" s="158"/>
      <c r="H914" s="160"/>
      <c r="I914" s="158"/>
      <c r="J914" s="158"/>
      <c r="K914" s="160"/>
      <c r="L914" s="158"/>
      <c r="M914" s="158"/>
      <c r="N914" s="158"/>
      <c r="O914" s="158"/>
      <c r="P914" s="158"/>
      <c r="Q914" s="158"/>
      <c r="R914" s="160"/>
      <c r="S914" s="158"/>
      <c r="T914" s="158"/>
      <c r="U914" s="158"/>
      <c r="V914" s="158"/>
      <c r="W914" s="158"/>
      <c r="X914" s="158"/>
      <c r="Y914" s="158"/>
      <c r="Z914" s="158"/>
      <c r="AA914" s="158"/>
      <c r="AB914" s="158"/>
      <c r="AC914" s="158"/>
      <c r="AD914" s="158"/>
      <c r="AE914" s="158"/>
    </row>
    <row r="915">
      <c r="A915" s="158"/>
      <c r="B915" s="158"/>
      <c r="C915" s="158"/>
      <c r="D915" s="158"/>
      <c r="E915" s="160"/>
      <c r="F915" s="158"/>
      <c r="G915" s="158"/>
      <c r="H915" s="160"/>
      <c r="I915" s="158"/>
      <c r="J915" s="158"/>
      <c r="K915" s="160"/>
      <c r="L915" s="158"/>
      <c r="M915" s="158"/>
      <c r="N915" s="158"/>
      <c r="O915" s="158"/>
      <c r="P915" s="158"/>
      <c r="Q915" s="158"/>
      <c r="R915" s="160"/>
      <c r="S915" s="158"/>
      <c r="T915" s="158"/>
      <c r="U915" s="158"/>
      <c r="V915" s="158"/>
      <c r="W915" s="158"/>
      <c r="X915" s="158"/>
      <c r="Y915" s="158"/>
      <c r="Z915" s="158"/>
      <c r="AA915" s="158"/>
      <c r="AB915" s="158"/>
      <c r="AC915" s="158"/>
      <c r="AD915" s="158"/>
      <c r="AE915" s="158"/>
    </row>
    <row r="916">
      <c r="A916" s="158"/>
      <c r="B916" s="158"/>
      <c r="C916" s="158"/>
      <c r="D916" s="158"/>
      <c r="E916" s="160"/>
      <c r="F916" s="158"/>
      <c r="G916" s="158"/>
      <c r="H916" s="160"/>
      <c r="I916" s="158"/>
      <c r="J916" s="158"/>
      <c r="K916" s="160"/>
      <c r="L916" s="158"/>
      <c r="M916" s="158"/>
      <c r="N916" s="158"/>
      <c r="O916" s="158"/>
      <c r="P916" s="158"/>
      <c r="Q916" s="158"/>
      <c r="R916" s="160"/>
      <c r="S916" s="158"/>
      <c r="T916" s="158"/>
      <c r="U916" s="158"/>
      <c r="V916" s="158"/>
      <c r="W916" s="158"/>
      <c r="X916" s="158"/>
      <c r="Y916" s="158"/>
      <c r="Z916" s="158"/>
      <c r="AA916" s="158"/>
      <c r="AB916" s="158"/>
      <c r="AC916" s="158"/>
      <c r="AD916" s="158"/>
      <c r="AE916" s="158"/>
    </row>
    <row r="917">
      <c r="A917" s="158"/>
      <c r="B917" s="158"/>
      <c r="C917" s="158"/>
      <c r="D917" s="158"/>
      <c r="E917" s="160"/>
      <c r="F917" s="158"/>
      <c r="G917" s="158"/>
      <c r="H917" s="160"/>
      <c r="I917" s="158"/>
      <c r="J917" s="158"/>
      <c r="K917" s="160"/>
      <c r="L917" s="158"/>
      <c r="M917" s="158"/>
      <c r="N917" s="158"/>
      <c r="O917" s="158"/>
      <c r="P917" s="158"/>
      <c r="Q917" s="158"/>
      <c r="R917" s="160"/>
      <c r="S917" s="158"/>
      <c r="T917" s="158"/>
      <c r="U917" s="158"/>
      <c r="V917" s="158"/>
      <c r="W917" s="158"/>
      <c r="X917" s="158"/>
      <c r="Y917" s="158"/>
      <c r="Z917" s="158"/>
      <c r="AA917" s="158"/>
      <c r="AB917" s="158"/>
      <c r="AC917" s="158"/>
      <c r="AD917" s="158"/>
      <c r="AE917" s="158"/>
    </row>
    <row r="918">
      <c r="A918" s="158"/>
      <c r="B918" s="158"/>
      <c r="C918" s="158"/>
      <c r="D918" s="158"/>
      <c r="E918" s="160"/>
      <c r="F918" s="158"/>
      <c r="G918" s="158"/>
      <c r="H918" s="160"/>
      <c r="I918" s="158"/>
      <c r="J918" s="158"/>
      <c r="K918" s="160"/>
      <c r="L918" s="158"/>
      <c r="M918" s="158"/>
      <c r="N918" s="158"/>
      <c r="O918" s="158"/>
      <c r="P918" s="158"/>
      <c r="Q918" s="158"/>
      <c r="R918" s="160"/>
      <c r="S918" s="158"/>
      <c r="T918" s="158"/>
      <c r="U918" s="158"/>
      <c r="V918" s="158"/>
      <c r="W918" s="158"/>
      <c r="X918" s="158"/>
      <c r="Y918" s="158"/>
      <c r="Z918" s="158"/>
      <c r="AA918" s="158"/>
      <c r="AB918" s="158"/>
      <c r="AC918" s="158"/>
      <c r="AD918" s="158"/>
      <c r="AE918" s="158"/>
    </row>
    <row r="919">
      <c r="A919" s="158"/>
      <c r="B919" s="158"/>
      <c r="C919" s="158"/>
      <c r="D919" s="158"/>
      <c r="E919" s="160"/>
      <c r="F919" s="158"/>
      <c r="G919" s="158"/>
      <c r="H919" s="160"/>
      <c r="I919" s="158"/>
      <c r="J919" s="158"/>
      <c r="K919" s="160"/>
      <c r="L919" s="158"/>
      <c r="M919" s="158"/>
      <c r="N919" s="158"/>
      <c r="O919" s="158"/>
      <c r="P919" s="158"/>
      <c r="Q919" s="158"/>
      <c r="R919" s="160"/>
      <c r="S919" s="158"/>
      <c r="T919" s="158"/>
      <c r="U919" s="158"/>
      <c r="V919" s="158"/>
      <c r="W919" s="158"/>
      <c r="X919" s="158"/>
      <c r="Y919" s="158"/>
      <c r="Z919" s="158"/>
      <c r="AA919" s="158"/>
      <c r="AB919" s="158"/>
      <c r="AC919" s="158"/>
      <c r="AD919" s="158"/>
      <c r="AE919" s="158"/>
    </row>
    <row r="920">
      <c r="A920" s="158"/>
      <c r="B920" s="158"/>
      <c r="C920" s="158"/>
      <c r="D920" s="158"/>
      <c r="E920" s="160"/>
      <c r="F920" s="158"/>
      <c r="G920" s="158"/>
      <c r="H920" s="160"/>
      <c r="I920" s="158"/>
      <c r="J920" s="158"/>
      <c r="K920" s="160"/>
      <c r="L920" s="158"/>
      <c r="M920" s="158"/>
      <c r="N920" s="158"/>
      <c r="O920" s="158"/>
      <c r="P920" s="158"/>
      <c r="Q920" s="158"/>
      <c r="R920" s="160"/>
      <c r="S920" s="158"/>
      <c r="T920" s="158"/>
      <c r="U920" s="158"/>
      <c r="V920" s="158"/>
      <c r="W920" s="158"/>
      <c r="X920" s="158"/>
      <c r="Y920" s="158"/>
      <c r="Z920" s="158"/>
      <c r="AA920" s="158"/>
      <c r="AB920" s="158"/>
      <c r="AC920" s="158"/>
      <c r="AD920" s="158"/>
      <c r="AE920" s="158"/>
    </row>
    <row r="921">
      <c r="A921" s="158"/>
      <c r="B921" s="158"/>
      <c r="C921" s="158"/>
      <c r="D921" s="158"/>
      <c r="E921" s="160"/>
      <c r="F921" s="158"/>
      <c r="G921" s="158"/>
      <c r="H921" s="160"/>
      <c r="I921" s="158"/>
      <c r="J921" s="158"/>
      <c r="K921" s="160"/>
      <c r="L921" s="158"/>
      <c r="M921" s="158"/>
      <c r="N921" s="158"/>
      <c r="O921" s="158"/>
      <c r="P921" s="158"/>
      <c r="Q921" s="158"/>
      <c r="R921" s="160"/>
      <c r="S921" s="158"/>
      <c r="T921" s="158"/>
      <c r="U921" s="158"/>
      <c r="V921" s="158"/>
      <c r="W921" s="158"/>
      <c r="X921" s="158"/>
      <c r="Y921" s="158"/>
      <c r="Z921" s="158"/>
      <c r="AA921" s="158"/>
      <c r="AB921" s="158"/>
      <c r="AC921" s="158"/>
      <c r="AD921" s="158"/>
      <c r="AE921" s="158"/>
    </row>
    <row r="922">
      <c r="A922" s="158"/>
      <c r="B922" s="158"/>
      <c r="C922" s="158"/>
      <c r="D922" s="158"/>
      <c r="E922" s="160"/>
      <c r="F922" s="158"/>
      <c r="G922" s="158"/>
      <c r="H922" s="160"/>
      <c r="I922" s="158"/>
      <c r="J922" s="158"/>
      <c r="K922" s="160"/>
      <c r="L922" s="158"/>
      <c r="M922" s="158"/>
      <c r="N922" s="158"/>
      <c r="O922" s="158"/>
      <c r="P922" s="158"/>
      <c r="Q922" s="158"/>
      <c r="R922" s="160"/>
      <c r="S922" s="158"/>
      <c r="T922" s="158"/>
      <c r="U922" s="158"/>
      <c r="V922" s="158"/>
      <c r="W922" s="158"/>
      <c r="X922" s="158"/>
      <c r="Y922" s="158"/>
      <c r="Z922" s="158"/>
      <c r="AA922" s="158"/>
      <c r="AB922" s="158"/>
      <c r="AC922" s="158"/>
      <c r="AD922" s="158"/>
      <c r="AE922" s="158"/>
    </row>
    <row r="923">
      <c r="A923" s="158"/>
      <c r="B923" s="158"/>
      <c r="C923" s="158"/>
      <c r="D923" s="158"/>
      <c r="E923" s="160"/>
      <c r="F923" s="158"/>
      <c r="G923" s="158"/>
      <c r="H923" s="160"/>
      <c r="I923" s="158"/>
      <c r="J923" s="158"/>
      <c r="K923" s="160"/>
      <c r="L923" s="158"/>
      <c r="M923" s="158"/>
      <c r="N923" s="158"/>
      <c r="O923" s="158"/>
      <c r="P923" s="158"/>
      <c r="Q923" s="158"/>
      <c r="R923" s="160"/>
      <c r="S923" s="158"/>
      <c r="T923" s="158"/>
      <c r="U923" s="158"/>
      <c r="V923" s="158"/>
      <c r="W923" s="158"/>
      <c r="X923" s="158"/>
      <c r="Y923" s="158"/>
      <c r="Z923" s="158"/>
      <c r="AA923" s="158"/>
      <c r="AB923" s="158"/>
      <c r="AC923" s="158"/>
      <c r="AD923" s="158"/>
      <c r="AE923" s="158"/>
    </row>
    <row r="924">
      <c r="A924" s="158"/>
      <c r="B924" s="158"/>
      <c r="C924" s="158"/>
      <c r="D924" s="158"/>
      <c r="E924" s="160"/>
      <c r="F924" s="158"/>
      <c r="G924" s="158"/>
      <c r="H924" s="160"/>
      <c r="I924" s="158"/>
      <c r="J924" s="158"/>
      <c r="K924" s="160"/>
      <c r="L924" s="158"/>
      <c r="M924" s="158"/>
      <c r="N924" s="158"/>
      <c r="O924" s="158"/>
      <c r="P924" s="158"/>
      <c r="Q924" s="158"/>
      <c r="R924" s="160"/>
      <c r="S924" s="158"/>
      <c r="T924" s="158"/>
      <c r="U924" s="158"/>
      <c r="V924" s="158"/>
      <c r="W924" s="158"/>
      <c r="X924" s="158"/>
      <c r="Y924" s="158"/>
      <c r="Z924" s="158"/>
      <c r="AA924" s="158"/>
      <c r="AB924" s="158"/>
      <c r="AC924" s="158"/>
      <c r="AD924" s="158"/>
      <c r="AE924" s="158"/>
    </row>
    <row r="925">
      <c r="A925" s="158"/>
      <c r="B925" s="158"/>
      <c r="C925" s="158"/>
      <c r="D925" s="158"/>
      <c r="E925" s="160"/>
      <c r="F925" s="158"/>
      <c r="G925" s="158"/>
      <c r="H925" s="160"/>
      <c r="I925" s="158"/>
      <c r="J925" s="158"/>
      <c r="K925" s="160"/>
      <c r="L925" s="158"/>
      <c r="M925" s="158"/>
      <c r="N925" s="158"/>
      <c r="O925" s="158"/>
      <c r="P925" s="158"/>
      <c r="Q925" s="158"/>
      <c r="R925" s="160"/>
      <c r="S925" s="158"/>
      <c r="T925" s="158"/>
      <c r="U925" s="158"/>
      <c r="V925" s="158"/>
      <c r="W925" s="158"/>
      <c r="X925" s="158"/>
      <c r="Y925" s="158"/>
      <c r="Z925" s="158"/>
      <c r="AA925" s="158"/>
      <c r="AB925" s="158"/>
      <c r="AC925" s="158"/>
      <c r="AD925" s="158"/>
      <c r="AE925" s="158"/>
    </row>
    <row r="926">
      <c r="A926" s="158"/>
      <c r="B926" s="158"/>
      <c r="C926" s="158"/>
      <c r="D926" s="158"/>
      <c r="E926" s="160"/>
      <c r="F926" s="158"/>
      <c r="G926" s="158"/>
      <c r="H926" s="160"/>
      <c r="I926" s="158"/>
      <c r="J926" s="158"/>
      <c r="K926" s="160"/>
      <c r="L926" s="158"/>
      <c r="M926" s="158"/>
      <c r="N926" s="158"/>
      <c r="O926" s="158"/>
      <c r="P926" s="158"/>
      <c r="Q926" s="158"/>
      <c r="R926" s="160"/>
      <c r="S926" s="158"/>
      <c r="T926" s="158"/>
      <c r="U926" s="158"/>
      <c r="V926" s="158"/>
      <c r="W926" s="158"/>
      <c r="X926" s="158"/>
      <c r="Y926" s="158"/>
      <c r="Z926" s="158"/>
      <c r="AA926" s="158"/>
      <c r="AB926" s="158"/>
      <c r="AC926" s="158"/>
      <c r="AD926" s="158"/>
      <c r="AE926" s="158"/>
    </row>
    <row r="927">
      <c r="A927" s="158"/>
      <c r="B927" s="158"/>
      <c r="C927" s="158"/>
      <c r="D927" s="158"/>
      <c r="E927" s="160"/>
      <c r="F927" s="158"/>
      <c r="G927" s="158"/>
      <c r="H927" s="160"/>
      <c r="I927" s="158"/>
      <c r="J927" s="158"/>
      <c r="K927" s="160"/>
      <c r="L927" s="158"/>
      <c r="M927" s="158"/>
      <c r="N927" s="158"/>
      <c r="O927" s="158"/>
      <c r="P927" s="158"/>
      <c r="Q927" s="158"/>
      <c r="R927" s="160"/>
      <c r="S927" s="158"/>
      <c r="T927" s="158"/>
      <c r="U927" s="158"/>
      <c r="V927" s="158"/>
      <c r="W927" s="158"/>
      <c r="X927" s="158"/>
      <c r="Y927" s="158"/>
      <c r="Z927" s="158"/>
      <c r="AA927" s="158"/>
      <c r="AB927" s="158"/>
      <c r="AC927" s="158"/>
      <c r="AD927" s="158"/>
      <c r="AE927" s="158"/>
    </row>
    <row r="928">
      <c r="A928" s="158"/>
      <c r="B928" s="158"/>
      <c r="C928" s="158"/>
      <c r="D928" s="158"/>
      <c r="E928" s="160"/>
      <c r="F928" s="158"/>
      <c r="G928" s="158"/>
      <c r="H928" s="160"/>
      <c r="I928" s="158"/>
      <c r="J928" s="158"/>
      <c r="K928" s="160"/>
      <c r="L928" s="158"/>
      <c r="M928" s="158"/>
      <c r="N928" s="158"/>
      <c r="O928" s="158"/>
      <c r="P928" s="158"/>
      <c r="Q928" s="158"/>
      <c r="R928" s="160"/>
      <c r="S928" s="158"/>
      <c r="T928" s="158"/>
      <c r="U928" s="158"/>
      <c r="V928" s="158"/>
      <c r="W928" s="158"/>
      <c r="X928" s="158"/>
      <c r="Y928" s="158"/>
      <c r="Z928" s="158"/>
      <c r="AA928" s="158"/>
      <c r="AB928" s="158"/>
      <c r="AC928" s="158"/>
      <c r="AD928" s="158"/>
      <c r="AE928" s="158"/>
    </row>
    <row r="929">
      <c r="A929" s="158"/>
      <c r="B929" s="158"/>
      <c r="C929" s="158"/>
      <c r="D929" s="158"/>
      <c r="E929" s="160"/>
      <c r="F929" s="158"/>
      <c r="G929" s="158"/>
      <c r="H929" s="160"/>
      <c r="I929" s="158"/>
      <c r="J929" s="158"/>
      <c r="K929" s="160"/>
      <c r="L929" s="158"/>
      <c r="M929" s="158"/>
      <c r="N929" s="158"/>
      <c r="O929" s="158"/>
      <c r="P929" s="158"/>
      <c r="Q929" s="158"/>
      <c r="R929" s="160"/>
      <c r="S929" s="158"/>
      <c r="T929" s="158"/>
      <c r="U929" s="158"/>
      <c r="V929" s="158"/>
      <c r="W929" s="158"/>
      <c r="X929" s="158"/>
      <c r="Y929" s="158"/>
      <c r="Z929" s="158"/>
      <c r="AA929" s="158"/>
      <c r="AB929" s="158"/>
      <c r="AC929" s="158"/>
      <c r="AD929" s="158"/>
      <c r="AE929" s="158"/>
    </row>
    <row r="930">
      <c r="A930" s="158"/>
      <c r="B930" s="158"/>
      <c r="C930" s="158"/>
      <c r="D930" s="158"/>
      <c r="E930" s="160"/>
      <c r="F930" s="158"/>
      <c r="G930" s="158"/>
      <c r="H930" s="160"/>
      <c r="I930" s="158"/>
      <c r="J930" s="158"/>
      <c r="K930" s="160"/>
      <c r="L930" s="158"/>
      <c r="M930" s="158"/>
      <c r="N930" s="158"/>
      <c r="O930" s="158"/>
      <c r="P930" s="158"/>
      <c r="Q930" s="158"/>
      <c r="R930" s="160"/>
      <c r="S930" s="158"/>
      <c r="T930" s="158"/>
      <c r="U930" s="158"/>
      <c r="V930" s="158"/>
      <c r="W930" s="158"/>
      <c r="X930" s="158"/>
      <c r="Y930" s="158"/>
      <c r="Z930" s="158"/>
      <c r="AA930" s="158"/>
      <c r="AB930" s="158"/>
      <c r="AC930" s="158"/>
      <c r="AD930" s="158"/>
      <c r="AE930" s="158"/>
    </row>
    <row r="931">
      <c r="A931" s="158"/>
      <c r="B931" s="158"/>
      <c r="C931" s="158"/>
      <c r="D931" s="158"/>
      <c r="E931" s="160"/>
      <c r="F931" s="158"/>
      <c r="G931" s="158"/>
      <c r="H931" s="160"/>
      <c r="I931" s="158"/>
      <c r="J931" s="158"/>
      <c r="K931" s="160"/>
      <c r="L931" s="158"/>
      <c r="M931" s="158"/>
      <c r="N931" s="158"/>
      <c r="O931" s="158"/>
      <c r="P931" s="158"/>
      <c r="Q931" s="158"/>
      <c r="R931" s="160"/>
      <c r="S931" s="158"/>
      <c r="T931" s="158"/>
      <c r="U931" s="158"/>
      <c r="V931" s="158"/>
      <c r="W931" s="158"/>
      <c r="X931" s="158"/>
      <c r="Y931" s="158"/>
      <c r="Z931" s="158"/>
      <c r="AA931" s="158"/>
      <c r="AB931" s="158"/>
      <c r="AC931" s="158"/>
      <c r="AD931" s="158"/>
      <c r="AE931" s="158"/>
    </row>
    <row r="932">
      <c r="A932" s="158"/>
      <c r="B932" s="158"/>
      <c r="C932" s="158"/>
      <c r="D932" s="158"/>
      <c r="E932" s="160"/>
      <c r="F932" s="158"/>
      <c r="G932" s="158"/>
      <c r="H932" s="160"/>
      <c r="I932" s="158"/>
      <c r="J932" s="158"/>
      <c r="K932" s="160"/>
      <c r="L932" s="158"/>
      <c r="M932" s="158"/>
      <c r="N932" s="158"/>
      <c r="O932" s="158"/>
      <c r="P932" s="158"/>
      <c r="Q932" s="158"/>
      <c r="R932" s="160"/>
      <c r="S932" s="158"/>
      <c r="T932" s="158"/>
      <c r="U932" s="158"/>
      <c r="V932" s="158"/>
      <c r="W932" s="158"/>
      <c r="X932" s="158"/>
      <c r="Y932" s="158"/>
      <c r="Z932" s="158"/>
      <c r="AA932" s="158"/>
      <c r="AB932" s="158"/>
      <c r="AC932" s="158"/>
      <c r="AD932" s="158"/>
      <c r="AE932" s="158"/>
    </row>
    <row r="933">
      <c r="A933" s="158"/>
      <c r="B933" s="158"/>
      <c r="C933" s="158"/>
      <c r="D933" s="158"/>
      <c r="E933" s="160"/>
      <c r="F933" s="158"/>
      <c r="G933" s="158"/>
      <c r="H933" s="160"/>
      <c r="I933" s="158"/>
      <c r="J933" s="158"/>
      <c r="K933" s="160"/>
      <c r="L933" s="158"/>
      <c r="M933" s="158"/>
      <c r="N933" s="158"/>
      <c r="O933" s="158"/>
      <c r="P933" s="158"/>
      <c r="Q933" s="158"/>
      <c r="R933" s="160"/>
      <c r="S933" s="158"/>
      <c r="T933" s="158"/>
      <c r="U933" s="158"/>
      <c r="V933" s="158"/>
      <c r="W933" s="158"/>
      <c r="X933" s="158"/>
      <c r="Y933" s="158"/>
      <c r="Z933" s="158"/>
      <c r="AA933" s="158"/>
      <c r="AB933" s="158"/>
      <c r="AC933" s="158"/>
      <c r="AD933" s="158"/>
      <c r="AE933" s="158"/>
    </row>
    <row r="934">
      <c r="A934" s="158"/>
      <c r="B934" s="158"/>
      <c r="C934" s="158"/>
      <c r="D934" s="158"/>
      <c r="E934" s="160"/>
      <c r="F934" s="158"/>
      <c r="G934" s="158"/>
      <c r="H934" s="160"/>
      <c r="I934" s="158"/>
      <c r="J934" s="158"/>
      <c r="K934" s="160"/>
      <c r="L934" s="158"/>
      <c r="M934" s="158"/>
      <c r="N934" s="158"/>
      <c r="O934" s="158"/>
      <c r="P934" s="158"/>
      <c r="Q934" s="158"/>
      <c r="R934" s="160"/>
      <c r="S934" s="158"/>
      <c r="T934" s="158"/>
      <c r="U934" s="158"/>
      <c r="V934" s="158"/>
      <c r="W934" s="158"/>
      <c r="X934" s="158"/>
      <c r="Y934" s="158"/>
      <c r="Z934" s="158"/>
      <c r="AA934" s="158"/>
      <c r="AB934" s="158"/>
      <c r="AC934" s="158"/>
      <c r="AD934" s="158"/>
      <c r="AE934" s="158"/>
    </row>
    <row r="935">
      <c r="A935" s="158"/>
      <c r="B935" s="158"/>
      <c r="C935" s="158"/>
      <c r="D935" s="158"/>
      <c r="E935" s="160"/>
      <c r="F935" s="158"/>
      <c r="G935" s="158"/>
      <c r="H935" s="160"/>
      <c r="I935" s="158"/>
      <c r="J935" s="158"/>
      <c r="K935" s="160"/>
      <c r="L935" s="158"/>
      <c r="M935" s="158"/>
      <c r="N935" s="158"/>
      <c r="O935" s="158"/>
      <c r="P935" s="158"/>
      <c r="Q935" s="158"/>
      <c r="R935" s="160"/>
      <c r="S935" s="158"/>
      <c r="T935" s="158"/>
      <c r="U935" s="158"/>
      <c r="V935" s="158"/>
      <c r="W935" s="158"/>
      <c r="X935" s="158"/>
      <c r="Y935" s="158"/>
      <c r="Z935" s="158"/>
      <c r="AA935" s="158"/>
      <c r="AB935" s="158"/>
      <c r="AC935" s="158"/>
      <c r="AD935" s="158"/>
      <c r="AE935" s="158"/>
    </row>
    <row r="936">
      <c r="A936" s="158"/>
      <c r="B936" s="158"/>
      <c r="C936" s="158"/>
      <c r="D936" s="158"/>
      <c r="E936" s="160"/>
      <c r="F936" s="158"/>
      <c r="G936" s="158"/>
      <c r="H936" s="160"/>
      <c r="I936" s="158"/>
      <c r="J936" s="158"/>
      <c r="K936" s="160"/>
      <c r="L936" s="158"/>
      <c r="M936" s="158"/>
      <c r="N936" s="158"/>
      <c r="O936" s="158"/>
      <c r="P936" s="158"/>
      <c r="Q936" s="158"/>
      <c r="R936" s="160"/>
      <c r="S936" s="158"/>
      <c r="T936" s="158"/>
      <c r="U936" s="158"/>
      <c r="V936" s="158"/>
      <c r="W936" s="158"/>
      <c r="X936" s="158"/>
      <c r="Y936" s="158"/>
      <c r="Z936" s="158"/>
      <c r="AA936" s="158"/>
      <c r="AB936" s="158"/>
      <c r="AC936" s="158"/>
      <c r="AD936" s="158"/>
      <c r="AE936" s="158"/>
    </row>
    <row r="937">
      <c r="A937" s="158"/>
      <c r="B937" s="158"/>
      <c r="C937" s="158"/>
      <c r="D937" s="158"/>
      <c r="E937" s="160"/>
      <c r="F937" s="158"/>
      <c r="G937" s="158"/>
      <c r="H937" s="160"/>
      <c r="I937" s="158"/>
      <c r="J937" s="158"/>
      <c r="K937" s="160"/>
      <c r="L937" s="158"/>
      <c r="M937" s="158"/>
      <c r="N937" s="158"/>
      <c r="O937" s="158"/>
      <c r="P937" s="158"/>
      <c r="Q937" s="158"/>
      <c r="R937" s="160"/>
      <c r="S937" s="158"/>
      <c r="T937" s="158"/>
      <c r="U937" s="158"/>
      <c r="V937" s="158"/>
      <c r="W937" s="158"/>
      <c r="X937" s="158"/>
      <c r="Y937" s="158"/>
      <c r="Z937" s="158"/>
      <c r="AA937" s="158"/>
      <c r="AB937" s="158"/>
      <c r="AC937" s="158"/>
      <c r="AD937" s="158"/>
      <c r="AE937" s="158"/>
    </row>
    <row r="938">
      <c r="A938" s="158"/>
      <c r="B938" s="158"/>
      <c r="C938" s="158"/>
      <c r="D938" s="158"/>
      <c r="E938" s="160"/>
      <c r="F938" s="158"/>
      <c r="G938" s="158"/>
      <c r="H938" s="160"/>
      <c r="I938" s="158"/>
      <c r="J938" s="158"/>
      <c r="K938" s="160"/>
      <c r="L938" s="158"/>
      <c r="M938" s="158"/>
      <c r="N938" s="158"/>
      <c r="O938" s="158"/>
      <c r="P938" s="158"/>
      <c r="Q938" s="158"/>
      <c r="R938" s="160"/>
      <c r="S938" s="158"/>
      <c r="T938" s="158"/>
      <c r="U938" s="158"/>
      <c r="V938" s="158"/>
      <c r="W938" s="158"/>
      <c r="X938" s="158"/>
      <c r="Y938" s="158"/>
      <c r="Z938" s="158"/>
      <c r="AA938" s="158"/>
      <c r="AB938" s="158"/>
      <c r="AC938" s="158"/>
      <c r="AD938" s="158"/>
      <c r="AE938" s="158"/>
    </row>
    <row r="939">
      <c r="A939" s="158"/>
      <c r="B939" s="158"/>
      <c r="C939" s="158"/>
      <c r="D939" s="158"/>
      <c r="E939" s="160"/>
      <c r="F939" s="158"/>
      <c r="G939" s="158"/>
      <c r="H939" s="160"/>
      <c r="I939" s="158"/>
      <c r="J939" s="158"/>
      <c r="K939" s="160"/>
      <c r="L939" s="158"/>
      <c r="M939" s="158"/>
      <c r="N939" s="158"/>
      <c r="O939" s="158"/>
      <c r="P939" s="158"/>
      <c r="Q939" s="158"/>
      <c r="R939" s="160"/>
      <c r="S939" s="158"/>
      <c r="T939" s="158"/>
      <c r="U939" s="158"/>
      <c r="V939" s="158"/>
      <c r="W939" s="158"/>
      <c r="X939" s="158"/>
      <c r="Y939" s="158"/>
      <c r="Z939" s="158"/>
      <c r="AA939" s="158"/>
      <c r="AB939" s="158"/>
      <c r="AC939" s="158"/>
      <c r="AD939" s="158"/>
      <c r="AE939" s="158"/>
    </row>
    <row r="940">
      <c r="A940" s="158"/>
      <c r="B940" s="158"/>
      <c r="C940" s="158"/>
      <c r="D940" s="158"/>
      <c r="E940" s="160"/>
      <c r="F940" s="158"/>
      <c r="G940" s="158"/>
      <c r="H940" s="160"/>
      <c r="I940" s="158"/>
      <c r="J940" s="158"/>
      <c r="K940" s="160"/>
      <c r="L940" s="158"/>
      <c r="M940" s="158"/>
      <c r="N940" s="158"/>
      <c r="O940" s="158"/>
      <c r="P940" s="158"/>
      <c r="Q940" s="158"/>
      <c r="R940" s="160"/>
      <c r="S940" s="158"/>
      <c r="T940" s="158"/>
      <c r="U940" s="158"/>
      <c r="V940" s="158"/>
      <c r="W940" s="158"/>
      <c r="X940" s="158"/>
      <c r="Y940" s="158"/>
      <c r="Z940" s="158"/>
      <c r="AA940" s="158"/>
      <c r="AB940" s="158"/>
      <c r="AC940" s="158"/>
      <c r="AD940" s="158"/>
      <c r="AE940" s="158"/>
    </row>
    <row r="941">
      <c r="A941" s="158"/>
      <c r="B941" s="158"/>
      <c r="C941" s="158"/>
      <c r="D941" s="158"/>
      <c r="E941" s="160"/>
      <c r="F941" s="158"/>
      <c r="G941" s="158"/>
      <c r="H941" s="160"/>
      <c r="I941" s="158"/>
      <c r="J941" s="158"/>
      <c r="K941" s="160"/>
      <c r="L941" s="158"/>
      <c r="M941" s="158"/>
      <c r="N941" s="158"/>
      <c r="O941" s="158"/>
      <c r="P941" s="158"/>
      <c r="Q941" s="158"/>
      <c r="R941" s="160"/>
      <c r="S941" s="158"/>
      <c r="T941" s="158"/>
      <c r="U941" s="158"/>
      <c r="V941" s="158"/>
      <c r="W941" s="158"/>
      <c r="X941" s="158"/>
      <c r="Y941" s="158"/>
      <c r="Z941" s="158"/>
      <c r="AA941" s="158"/>
      <c r="AB941" s="158"/>
      <c r="AC941" s="158"/>
      <c r="AD941" s="158"/>
      <c r="AE941" s="158"/>
    </row>
    <row r="942">
      <c r="A942" s="158"/>
      <c r="B942" s="158"/>
      <c r="C942" s="158"/>
      <c r="D942" s="158"/>
      <c r="E942" s="160"/>
      <c r="F942" s="158"/>
      <c r="G942" s="158"/>
      <c r="H942" s="160"/>
      <c r="I942" s="158"/>
      <c r="J942" s="158"/>
      <c r="K942" s="160"/>
      <c r="L942" s="158"/>
      <c r="M942" s="158"/>
      <c r="N942" s="158"/>
      <c r="O942" s="158"/>
      <c r="P942" s="158"/>
      <c r="Q942" s="158"/>
      <c r="R942" s="160"/>
      <c r="S942" s="158"/>
      <c r="T942" s="158"/>
      <c r="U942" s="158"/>
      <c r="V942" s="158"/>
      <c r="W942" s="158"/>
      <c r="X942" s="158"/>
      <c r="Y942" s="158"/>
      <c r="Z942" s="158"/>
      <c r="AA942" s="158"/>
      <c r="AB942" s="158"/>
      <c r="AC942" s="158"/>
      <c r="AD942" s="158"/>
      <c r="AE942" s="158"/>
    </row>
    <row r="943">
      <c r="A943" s="158"/>
      <c r="B943" s="158"/>
      <c r="C943" s="158"/>
      <c r="D943" s="158"/>
      <c r="E943" s="160"/>
      <c r="F943" s="158"/>
      <c r="G943" s="158"/>
      <c r="H943" s="160"/>
      <c r="I943" s="158"/>
      <c r="J943" s="158"/>
      <c r="K943" s="160"/>
      <c r="L943" s="158"/>
      <c r="M943" s="158"/>
      <c r="N943" s="158"/>
      <c r="O943" s="158"/>
      <c r="P943" s="158"/>
      <c r="Q943" s="158"/>
      <c r="R943" s="160"/>
      <c r="S943" s="158"/>
      <c r="T943" s="158"/>
      <c r="U943" s="158"/>
      <c r="V943" s="158"/>
      <c r="W943" s="158"/>
      <c r="X943" s="158"/>
      <c r="Y943" s="158"/>
      <c r="Z943" s="158"/>
      <c r="AA943" s="158"/>
      <c r="AB943" s="158"/>
      <c r="AC943" s="158"/>
      <c r="AD943" s="158"/>
      <c r="AE943" s="158"/>
    </row>
    <row r="944">
      <c r="A944" s="158"/>
      <c r="B944" s="158"/>
      <c r="C944" s="158"/>
      <c r="D944" s="158"/>
      <c r="E944" s="160"/>
      <c r="F944" s="158"/>
      <c r="G944" s="158"/>
      <c r="H944" s="160"/>
      <c r="I944" s="158"/>
      <c r="J944" s="158"/>
      <c r="K944" s="160"/>
      <c r="L944" s="158"/>
      <c r="M944" s="158"/>
      <c r="N944" s="158"/>
      <c r="O944" s="158"/>
      <c r="P944" s="158"/>
      <c r="Q944" s="158"/>
      <c r="R944" s="160"/>
      <c r="S944" s="158"/>
      <c r="T944" s="158"/>
      <c r="U944" s="158"/>
      <c r="V944" s="158"/>
      <c r="W944" s="158"/>
      <c r="X944" s="158"/>
      <c r="Y944" s="158"/>
      <c r="Z944" s="158"/>
      <c r="AA944" s="158"/>
      <c r="AB944" s="158"/>
      <c r="AC944" s="158"/>
      <c r="AD944" s="158"/>
      <c r="AE944" s="158"/>
    </row>
    <row r="945">
      <c r="A945" s="158"/>
      <c r="B945" s="158"/>
      <c r="C945" s="158"/>
      <c r="D945" s="158"/>
      <c r="E945" s="160"/>
      <c r="F945" s="158"/>
      <c r="G945" s="158"/>
      <c r="H945" s="160"/>
      <c r="I945" s="158"/>
      <c r="J945" s="158"/>
      <c r="K945" s="160"/>
      <c r="L945" s="158"/>
      <c r="M945" s="158"/>
      <c r="N945" s="158"/>
      <c r="O945" s="158"/>
      <c r="P945" s="158"/>
      <c r="Q945" s="158"/>
      <c r="R945" s="160"/>
      <c r="S945" s="158"/>
      <c r="T945" s="158"/>
      <c r="U945" s="158"/>
      <c r="V945" s="158"/>
      <c r="W945" s="158"/>
      <c r="X945" s="158"/>
      <c r="Y945" s="158"/>
      <c r="Z945" s="158"/>
      <c r="AA945" s="158"/>
      <c r="AB945" s="158"/>
      <c r="AC945" s="158"/>
      <c r="AD945" s="158"/>
      <c r="AE945" s="158"/>
    </row>
    <row r="946">
      <c r="A946" s="158"/>
      <c r="B946" s="158"/>
      <c r="C946" s="158"/>
      <c r="D946" s="158"/>
      <c r="E946" s="160"/>
      <c r="F946" s="158"/>
      <c r="G946" s="158"/>
      <c r="H946" s="160"/>
      <c r="I946" s="158"/>
      <c r="J946" s="158"/>
      <c r="K946" s="160"/>
      <c r="L946" s="158"/>
      <c r="M946" s="158"/>
      <c r="N946" s="158"/>
      <c r="O946" s="158"/>
      <c r="P946" s="158"/>
      <c r="Q946" s="158"/>
      <c r="R946" s="160"/>
      <c r="S946" s="158"/>
      <c r="T946" s="158"/>
      <c r="U946" s="158"/>
      <c r="V946" s="158"/>
      <c r="W946" s="158"/>
      <c r="X946" s="158"/>
      <c r="Y946" s="158"/>
      <c r="Z946" s="158"/>
      <c r="AA946" s="158"/>
      <c r="AB946" s="158"/>
      <c r="AC946" s="158"/>
      <c r="AD946" s="158"/>
      <c r="AE946" s="158"/>
    </row>
    <row r="947">
      <c r="A947" s="158"/>
      <c r="B947" s="158"/>
      <c r="C947" s="158"/>
      <c r="D947" s="158"/>
      <c r="E947" s="160"/>
      <c r="F947" s="158"/>
      <c r="G947" s="158"/>
      <c r="H947" s="160"/>
      <c r="I947" s="158"/>
      <c r="J947" s="158"/>
      <c r="K947" s="160"/>
      <c r="L947" s="158"/>
      <c r="M947" s="158"/>
      <c r="N947" s="158"/>
      <c r="O947" s="158"/>
      <c r="P947" s="158"/>
      <c r="Q947" s="158"/>
      <c r="R947" s="160"/>
      <c r="S947" s="158"/>
      <c r="T947" s="158"/>
      <c r="U947" s="158"/>
      <c r="V947" s="158"/>
      <c r="W947" s="158"/>
      <c r="X947" s="158"/>
      <c r="Y947" s="158"/>
      <c r="Z947" s="158"/>
      <c r="AA947" s="158"/>
      <c r="AB947" s="158"/>
      <c r="AC947" s="158"/>
      <c r="AD947" s="158"/>
      <c r="AE947" s="158"/>
    </row>
    <row r="948">
      <c r="A948" s="158"/>
      <c r="B948" s="158"/>
      <c r="C948" s="158"/>
      <c r="D948" s="158"/>
      <c r="E948" s="160"/>
      <c r="F948" s="158"/>
      <c r="G948" s="158"/>
      <c r="H948" s="160"/>
      <c r="I948" s="158"/>
      <c r="J948" s="158"/>
      <c r="K948" s="160"/>
      <c r="L948" s="158"/>
      <c r="M948" s="158"/>
      <c r="N948" s="158"/>
      <c r="O948" s="158"/>
      <c r="P948" s="158"/>
      <c r="Q948" s="158"/>
      <c r="R948" s="160"/>
      <c r="S948" s="158"/>
      <c r="T948" s="158"/>
      <c r="U948" s="158"/>
      <c r="V948" s="158"/>
      <c r="W948" s="158"/>
      <c r="X948" s="158"/>
      <c r="Y948" s="158"/>
      <c r="Z948" s="158"/>
      <c r="AA948" s="158"/>
      <c r="AB948" s="158"/>
      <c r="AC948" s="158"/>
      <c r="AD948" s="158"/>
      <c r="AE948" s="158"/>
    </row>
    <row r="949">
      <c r="A949" s="158"/>
      <c r="B949" s="158"/>
      <c r="C949" s="158"/>
      <c r="D949" s="158"/>
      <c r="E949" s="160"/>
      <c r="F949" s="158"/>
      <c r="G949" s="158"/>
      <c r="H949" s="160"/>
      <c r="I949" s="158"/>
      <c r="J949" s="158"/>
      <c r="K949" s="160"/>
      <c r="L949" s="158"/>
      <c r="M949" s="158"/>
      <c r="N949" s="158"/>
      <c r="O949" s="158"/>
      <c r="P949" s="158"/>
      <c r="Q949" s="158"/>
      <c r="R949" s="160"/>
      <c r="S949" s="158"/>
      <c r="T949" s="158"/>
      <c r="U949" s="158"/>
      <c r="V949" s="158"/>
      <c r="W949" s="158"/>
      <c r="X949" s="158"/>
      <c r="Y949" s="158"/>
      <c r="Z949" s="158"/>
      <c r="AA949" s="158"/>
      <c r="AB949" s="158"/>
      <c r="AC949" s="158"/>
      <c r="AD949" s="158"/>
      <c r="AE949" s="158"/>
    </row>
    <row r="950">
      <c r="A950" s="158"/>
      <c r="B950" s="158"/>
      <c r="C950" s="158"/>
      <c r="D950" s="158"/>
      <c r="E950" s="160"/>
      <c r="F950" s="158"/>
      <c r="G950" s="158"/>
      <c r="H950" s="160"/>
      <c r="I950" s="158"/>
      <c r="J950" s="158"/>
      <c r="K950" s="160"/>
      <c r="L950" s="158"/>
      <c r="M950" s="158"/>
      <c r="N950" s="158"/>
      <c r="O950" s="158"/>
      <c r="P950" s="158"/>
      <c r="Q950" s="158"/>
      <c r="R950" s="160"/>
      <c r="S950" s="158"/>
      <c r="T950" s="158"/>
      <c r="U950" s="158"/>
      <c r="V950" s="158"/>
      <c r="W950" s="158"/>
      <c r="X950" s="158"/>
      <c r="Y950" s="158"/>
      <c r="Z950" s="158"/>
      <c r="AA950" s="158"/>
      <c r="AB950" s="158"/>
      <c r="AC950" s="158"/>
      <c r="AD950" s="158"/>
      <c r="AE950" s="158"/>
    </row>
    <row r="951">
      <c r="A951" s="158"/>
      <c r="B951" s="158"/>
      <c r="C951" s="158"/>
      <c r="D951" s="158"/>
      <c r="E951" s="160"/>
      <c r="F951" s="158"/>
      <c r="G951" s="158"/>
      <c r="H951" s="160"/>
      <c r="I951" s="158"/>
      <c r="J951" s="158"/>
      <c r="K951" s="160"/>
      <c r="L951" s="158"/>
      <c r="M951" s="158"/>
      <c r="N951" s="158"/>
      <c r="O951" s="158"/>
      <c r="P951" s="158"/>
      <c r="Q951" s="158"/>
      <c r="R951" s="160"/>
      <c r="S951" s="158"/>
      <c r="T951" s="158"/>
      <c r="U951" s="158"/>
      <c r="V951" s="158"/>
      <c r="W951" s="158"/>
      <c r="X951" s="158"/>
      <c r="Y951" s="158"/>
      <c r="Z951" s="158"/>
      <c r="AA951" s="158"/>
      <c r="AB951" s="158"/>
      <c r="AC951" s="158"/>
      <c r="AD951" s="158"/>
      <c r="AE951" s="158"/>
    </row>
    <row r="952">
      <c r="A952" s="158"/>
      <c r="B952" s="158"/>
      <c r="C952" s="158"/>
      <c r="D952" s="158"/>
      <c r="E952" s="160"/>
      <c r="F952" s="158"/>
      <c r="G952" s="158"/>
      <c r="H952" s="160"/>
      <c r="I952" s="158"/>
      <c r="J952" s="158"/>
      <c r="K952" s="160"/>
      <c r="L952" s="158"/>
      <c r="M952" s="158"/>
      <c r="N952" s="158"/>
      <c r="O952" s="158"/>
      <c r="P952" s="158"/>
      <c r="Q952" s="158"/>
      <c r="R952" s="160"/>
      <c r="S952" s="158"/>
      <c r="T952" s="158"/>
      <c r="U952" s="158"/>
      <c r="V952" s="158"/>
      <c r="W952" s="158"/>
      <c r="X952" s="158"/>
      <c r="Y952" s="158"/>
      <c r="Z952" s="158"/>
      <c r="AA952" s="158"/>
      <c r="AB952" s="158"/>
      <c r="AC952" s="158"/>
      <c r="AD952" s="158"/>
      <c r="AE952" s="158"/>
    </row>
    <row r="953">
      <c r="A953" s="158"/>
      <c r="B953" s="158"/>
      <c r="C953" s="158"/>
      <c r="D953" s="158"/>
      <c r="E953" s="160"/>
      <c r="F953" s="158"/>
      <c r="G953" s="158"/>
      <c r="H953" s="160"/>
      <c r="I953" s="158"/>
      <c r="J953" s="158"/>
      <c r="K953" s="160"/>
      <c r="L953" s="158"/>
      <c r="M953" s="158"/>
      <c r="N953" s="158"/>
      <c r="O953" s="158"/>
      <c r="P953" s="158"/>
      <c r="Q953" s="158"/>
      <c r="R953" s="160"/>
      <c r="S953" s="158"/>
      <c r="T953" s="158"/>
      <c r="U953" s="158"/>
      <c r="V953" s="158"/>
      <c r="W953" s="158"/>
      <c r="X953" s="158"/>
      <c r="Y953" s="158"/>
      <c r="Z953" s="158"/>
      <c r="AA953" s="158"/>
      <c r="AB953" s="158"/>
      <c r="AC953" s="158"/>
      <c r="AD953" s="158"/>
      <c r="AE953" s="158"/>
    </row>
    <row r="954">
      <c r="A954" s="158"/>
      <c r="B954" s="158"/>
      <c r="C954" s="158"/>
      <c r="D954" s="158"/>
      <c r="E954" s="160"/>
      <c r="F954" s="158"/>
      <c r="G954" s="158"/>
      <c r="H954" s="160"/>
      <c r="I954" s="158"/>
      <c r="J954" s="158"/>
      <c r="K954" s="160"/>
      <c r="L954" s="158"/>
      <c r="M954" s="158"/>
      <c r="N954" s="158"/>
      <c r="O954" s="158"/>
      <c r="P954" s="158"/>
      <c r="Q954" s="158"/>
      <c r="R954" s="160"/>
      <c r="S954" s="158"/>
      <c r="T954" s="158"/>
      <c r="U954" s="158"/>
      <c r="V954" s="158"/>
      <c r="W954" s="158"/>
      <c r="X954" s="158"/>
      <c r="Y954" s="158"/>
      <c r="Z954" s="158"/>
      <c r="AA954" s="158"/>
      <c r="AB954" s="158"/>
      <c r="AC954" s="158"/>
      <c r="AD954" s="158"/>
      <c r="AE954" s="158"/>
    </row>
    <row r="955">
      <c r="A955" s="158"/>
      <c r="B955" s="158"/>
      <c r="C955" s="158"/>
      <c r="D955" s="158"/>
      <c r="E955" s="160"/>
      <c r="F955" s="158"/>
      <c r="G955" s="158"/>
      <c r="H955" s="160"/>
      <c r="I955" s="158"/>
      <c r="J955" s="158"/>
      <c r="K955" s="160"/>
      <c r="L955" s="158"/>
      <c r="M955" s="158"/>
      <c r="N955" s="158"/>
      <c r="O955" s="158"/>
      <c r="P955" s="158"/>
      <c r="Q955" s="158"/>
      <c r="R955" s="160"/>
      <c r="S955" s="158"/>
      <c r="T955" s="158"/>
      <c r="U955" s="158"/>
      <c r="V955" s="158"/>
      <c r="W955" s="158"/>
      <c r="X955" s="158"/>
      <c r="Y955" s="158"/>
      <c r="Z955" s="158"/>
      <c r="AA955" s="158"/>
      <c r="AB955" s="158"/>
      <c r="AC955" s="158"/>
      <c r="AD955" s="158"/>
      <c r="AE955" s="158"/>
    </row>
    <row r="956">
      <c r="A956" s="158"/>
      <c r="B956" s="158"/>
      <c r="C956" s="158"/>
      <c r="D956" s="158"/>
      <c r="E956" s="160"/>
      <c r="F956" s="158"/>
      <c r="G956" s="158"/>
      <c r="H956" s="160"/>
      <c r="I956" s="158"/>
      <c r="J956" s="158"/>
      <c r="K956" s="160"/>
      <c r="L956" s="158"/>
      <c r="M956" s="158"/>
      <c r="N956" s="158"/>
      <c r="O956" s="158"/>
      <c r="P956" s="158"/>
      <c r="Q956" s="158"/>
      <c r="R956" s="160"/>
      <c r="S956" s="158"/>
      <c r="T956" s="158"/>
      <c r="U956" s="158"/>
      <c r="V956" s="158"/>
      <c r="W956" s="158"/>
      <c r="X956" s="158"/>
      <c r="Y956" s="158"/>
      <c r="Z956" s="158"/>
      <c r="AA956" s="158"/>
      <c r="AB956" s="158"/>
      <c r="AC956" s="158"/>
      <c r="AD956" s="158"/>
      <c r="AE956" s="158"/>
    </row>
    <row r="957">
      <c r="A957" s="158"/>
      <c r="B957" s="158"/>
      <c r="C957" s="158"/>
      <c r="D957" s="158"/>
      <c r="E957" s="160"/>
      <c r="F957" s="158"/>
      <c r="G957" s="158"/>
      <c r="H957" s="160"/>
      <c r="I957" s="158"/>
      <c r="J957" s="158"/>
      <c r="K957" s="160"/>
      <c r="L957" s="158"/>
      <c r="M957" s="158"/>
      <c r="N957" s="158"/>
      <c r="O957" s="158"/>
      <c r="P957" s="158"/>
      <c r="Q957" s="158"/>
      <c r="R957" s="160"/>
      <c r="S957" s="158"/>
      <c r="T957" s="158"/>
      <c r="U957" s="158"/>
      <c r="V957" s="158"/>
      <c r="W957" s="158"/>
      <c r="X957" s="158"/>
      <c r="Y957" s="158"/>
      <c r="Z957" s="158"/>
      <c r="AA957" s="158"/>
      <c r="AB957" s="158"/>
      <c r="AC957" s="158"/>
      <c r="AD957" s="158"/>
      <c r="AE957" s="158"/>
    </row>
    <row r="958">
      <c r="A958" s="158"/>
      <c r="B958" s="158"/>
      <c r="C958" s="158"/>
      <c r="D958" s="158"/>
      <c r="E958" s="160"/>
      <c r="F958" s="158"/>
      <c r="G958" s="158"/>
      <c r="H958" s="160"/>
      <c r="I958" s="158"/>
      <c r="J958" s="158"/>
      <c r="K958" s="160"/>
      <c r="L958" s="158"/>
      <c r="M958" s="158"/>
      <c r="N958" s="158"/>
      <c r="O958" s="158"/>
      <c r="P958" s="158"/>
      <c r="Q958" s="158"/>
      <c r="R958" s="160"/>
      <c r="S958" s="158"/>
      <c r="T958" s="158"/>
      <c r="U958" s="158"/>
      <c r="V958" s="158"/>
      <c r="W958" s="158"/>
      <c r="X958" s="158"/>
      <c r="Y958" s="158"/>
      <c r="Z958" s="158"/>
      <c r="AA958" s="158"/>
      <c r="AB958" s="158"/>
      <c r="AC958" s="158"/>
      <c r="AD958" s="158"/>
      <c r="AE958" s="158"/>
    </row>
    <row r="959">
      <c r="A959" s="158"/>
      <c r="B959" s="158"/>
      <c r="C959" s="158"/>
      <c r="D959" s="158"/>
      <c r="E959" s="160"/>
      <c r="F959" s="158"/>
      <c r="G959" s="158"/>
      <c r="H959" s="160"/>
      <c r="I959" s="158"/>
      <c r="J959" s="158"/>
      <c r="K959" s="160"/>
      <c r="L959" s="158"/>
      <c r="M959" s="158"/>
      <c r="N959" s="158"/>
      <c r="O959" s="158"/>
      <c r="P959" s="158"/>
      <c r="Q959" s="158"/>
      <c r="R959" s="160"/>
      <c r="S959" s="158"/>
      <c r="T959" s="158"/>
      <c r="U959" s="158"/>
      <c r="V959" s="158"/>
      <c r="W959" s="158"/>
      <c r="X959" s="158"/>
      <c r="Y959" s="158"/>
      <c r="Z959" s="158"/>
      <c r="AA959" s="158"/>
      <c r="AB959" s="158"/>
      <c r="AC959" s="158"/>
      <c r="AD959" s="158"/>
      <c r="AE959" s="158"/>
    </row>
    <row r="960">
      <c r="A960" s="158"/>
      <c r="B960" s="158"/>
      <c r="C960" s="158"/>
      <c r="D960" s="158"/>
      <c r="E960" s="160"/>
      <c r="F960" s="158"/>
      <c r="G960" s="158"/>
      <c r="H960" s="160"/>
      <c r="I960" s="158"/>
      <c r="J960" s="158"/>
      <c r="K960" s="160"/>
      <c r="L960" s="158"/>
      <c r="M960" s="158"/>
      <c r="N960" s="158"/>
      <c r="O960" s="158"/>
      <c r="P960" s="158"/>
      <c r="Q960" s="158"/>
      <c r="R960" s="160"/>
      <c r="S960" s="158"/>
      <c r="T960" s="158"/>
      <c r="U960" s="158"/>
      <c r="V960" s="158"/>
      <c r="W960" s="158"/>
      <c r="X960" s="158"/>
      <c r="Y960" s="158"/>
      <c r="Z960" s="158"/>
      <c r="AA960" s="158"/>
      <c r="AB960" s="158"/>
      <c r="AC960" s="158"/>
      <c r="AD960" s="158"/>
      <c r="AE960" s="158"/>
    </row>
    <row r="961">
      <c r="A961" s="158"/>
      <c r="B961" s="158"/>
      <c r="C961" s="158"/>
      <c r="D961" s="158"/>
      <c r="E961" s="160"/>
      <c r="F961" s="158"/>
      <c r="G961" s="158"/>
      <c r="H961" s="160"/>
      <c r="I961" s="158"/>
      <c r="J961" s="158"/>
      <c r="K961" s="160"/>
      <c r="L961" s="158"/>
      <c r="M961" s="158"/>
      <c r="N961" s="158"/>
      <c r="O961" s="158"/>
      <c r="P961" s="158"/>
      <c r="Q961" s="158"/>
      <c r="R961" s="160"/>
      <c r="S961" s="158"/>
      <c r="T961" s="158"/>
      <c r="U961" s="158"/>
      <c r="V961" s="158"/>
      <c r="W961" s="158"/>
      <c r="X961" s="158"/>
      <c r="Y961" s="158"/>
      <c r="Z961" s="158"/>
      <c r="AA961" s="158"/>
      <c r="AB961" s="158"/>
      <c r="AC961" s="158"/>
      <c r="AD961" s="158"/>
      <c r="AE961" s="158"/>
    </row>
    <row r="962">
      <c r="A962" s="158"/>
      <c r="B962" s="158"/>
      <c r="C962" s="158"/>
      <c r="D962" s="158"/>
      <c r="E962" s="160"/>
      <c r="F962" s="158"/>
      <c r="G962" s="158"/>
      <c r="H962" s="160"/>
      <c r="I962" s="158"/>
      <c r="J962" s="158"/>
      <c r="K962" s="160"/>
      <c r="L962" s="158"/>
      <c r="M962" s="158"/>
      <c r="N962" s="158"/>
      <c r="O962" s="158"/>
      <c r="P962" s="158"/>
      <c r="Q962" s="158"/>
      <c r="R962" s="160"/>
      <c r="S962" s="158"/>
      <c r="T962" s="158"/>
      <c r="U962" s="158"/>
      <c r="V962" s="158"/>
      <c r="W962" s="158"/>
      <c r="X962" s="158"/>
      <c r="Y962" s="158"/>
      <c r="Z962" s="158"/>
      <c r="AA962" s="158"/>
      <c r="AB962" s="158"/>
      <c r="AC962" s="158"/>
      <c r="AD962" s="158"/>
      <c r="AE962" s="158"/>
    </row>
    <row r="963">
      <c r="A963" s="158"/>
      <c r="B963" s="158"/>
      <c r="C963" s="158"/>
      <c r="D963" s="158"/>
      <c r="E963" s="160"/>
      <c r="F963" s="158"/>
      <c r="G963" s="158"/>
      <c r="H963" s="160"/>
      <c r="I963" s="158"/>
      <c r="J963" s="158"/>
      <c r="K963" s="160"/>
      <c r="L963" s="158"/>
      <c r="M963" s="158"/>
      <c r="N963" s="158"/>
      <c r="O963" s="158"/>
      <c r="P963" s="158"/>
      <c r="Q963" s="158"/>
      <c r="R963" s="160"/>
      <c r="S963" s="158"/>
      <c r="T963" s="158"/>
      <c r="U963" s="158"/>
      <c r="V963" s="158"/>
      <c r="W963" s="158"/>
      <c r="X963" s="158"/>
      <c r="Y963" s="158"/>
      <c r="Z963" s="158"/>
      <c r="AA963" s="158"/>
      <c r="AB963" s="158"/>
      <c r="AC963" s="158"/>
      <c r="AD963" s="158"/>
      <c r="AE963" s="158"/>
    </row>
    <row r="964">
      <c r="A964" s="158"/>
      <c r="B964" s="158"/>
      <c r="C964" s="158"/>
      <c r="D964" s="158"/>
      <c r="E964" s="160"/>
      <c r="F964" s="158"/>
      <c r="G964" s="158"/>
      <c r="H964" s="160"/>
      <c r="I964" s="158"/>
      <c r="J964" s="158"/>
      <c r="K964" s="160"/>
      <c r="L964" s="158"/>
      <c r="M964" s="158"/>
      <c r="N964" s="158"/>
      <c r="O964" s="158"/>
      <c r="P964" s="158"/>
      <c r="Q964" s="158"/>
      <c r="R964" s="160"/>
      <c r="S964" s="158"/>
      <c r="T964" s="158"/>
      <c r="U964" s="158"/>
      <c r="V964" s="158"/>
      <c r="W964" s="158"/>
      <c r="X964" s="158"/>
      <c r="Y964" s="158"/>
      <c r="Z964" s="158"/>
      <c r="AA964" s="158"/>
      <c r="AB964" s="158"/>
      <c r="AC964" s="158"/>
      <c r="AD964" s="158"/>
      <c r="AE964" s="158"/>
    </row>
    <row r="965">
      <c r="A965" s="158"/>
      <c r="B965" s="158"/>
      <c r="C965" s="158"/>
      <c r="D965" s="158"/>
      <c r="E965" s="160"/>
      <c r="F965" s="158"/>
      <c r="G965" s="158"/>
      <c r="H965" s="160"/>
      <c r="I965" s="158"/>
      <c r="J965" s="158"/>
      <c r="K965" s="160"/>
      <c r="L965" s="158"/>
      <c r="M965" s="158"/>
      <c r="N965" s="158"/>
      <c r="O965" s="158"/>
      <c r="P965" s="158"/>
      <c r="Q965" s="158"/>
      <c r="R965" s="160"/>
      <c r="S965" s="158"/>
      <c r="T965" s="158"/>
      <c r="U965" s="158"/>
      <c r="V965" s="158"/>
      <c r="W965" s="158"/>
      <c r="X965" s="158"/>
      <c r="Y965" s="158"/>
      <c r="Z965" s="158"/>
      <c r="AA965" s="158"/>
      <c r="AB965" s="158"/>
      <c r="AC965" s="158"/>
      <c r="AD965" s="158"/>
      <c r="AE965" s="158"/>
    </row>
    <row r="966">
      <c r="A966" s="158"/>
      <c r="B966" s="158"/>
      <c r="C966" s="158"/>
      <c r="D966" s="158"/>
      <c r="E966" s="160"/>
      <c r="F966" s="158"/>
      <c r="G966" s="158"/>
      <c r="H966" s="160"/>
      <c r="I966" s="158"/>
      <c r="J966" s="158"/>
      <c r="K966" s="160"/>
      <c r="L966" s="158"/>
      <c r="M966" s="158"/>
      <c r="N966" s="158"/>
      <c r="O966" s="158"/>
      <c r="P966" s="158"/>
      <c r="Q966" s="158"/>
      <c r="R966" s="160"/>
      <c r="S966" s="158"/>
      <c r="T966" s="158"/>
      <c r="U966" s="158"/>
      <c r="V966" s="158"/>
      <c r="W966" s="158"/>
      <c r="X966" s="158"/>
      <c r="Y966" s="158"/>
      <c r="Z966" s="158"/>
      <c r="AA966" s="158"/>
      <c r="AB966" s="158"/>
      <c r="AC966" s="158"/>
      <c r="AD966" s="158"/>
      <c r="AE966" s="158"/>
    </row>
    <row r="967">
      <c r="A967" s="158"/>
      <c r="B967" s="158"/>
      <c r="C967" s="158"/>
      <c r="D967" s="158"/>
      <c r="E967" s="160"/>
      <c r="F967" s="158"/>
      <c r="G967" s="158"/>
      <c r="H967" s="160"/>
      <c r="I967" s="158"/>
      <c r="J967" s="158"/>
      <c r="K967" s="160"/>
      <c r="L967" s="158"/>
      <c r="M967" s="158"/>
      <c r="N967" s="158"/>
      <c r="O967" s="158"/>
      <c r="P967" s="158"/>
      <c r="Q967" s="158"/>
      <c r="R967" s="160"/>
      <c r="S967" s="158"/>
      <c r="T967" s="158"/>
      <c r="U967" s="158"/>
      <c r="V967" s="158"/>
      <c r="W967" s="158"/>
      <c r="X967" s="158"/>
      <c r="Y967" s="158"/>
      <c r="Z967" s="158"/>
      <c r="AA967" s="158"/>
      <c r="AB967" s="158"/>
      <c r="AC967" s="158"/>
      <c r="AD967" s="158"/>
      <c r="AE967" s="158"/>
    </row>
    <row r="968">
      <c r="A968" s="158"/>
      <c r="B968" s="158"/>
      <c r="C968" s="158"/>
      <c r="D968" s="158"/>
      <c r="E968" s="160"/>
      <c r="F968" s="158"/>
      <c r="G968" s="158"/>
      <c r="H968" s="160"/>
      <c r="I968" s="158"/>
      <c r="J968" s="158"/>
      <c r="K968" s="160"/>
      <c r="L968" s="158"/>
      <c r="M968" s="158"/>
      <c r="N968" s="158"/>
      <c r="O968" s="158"/>
      <c r="P968" s="158"/>
      <c r="Q968" s="158"/>
      <c r="R968" s="160"/>
      <c r="S968" s="158"/>
      <c r="T968" s="158"/>
      <c r="U968" s="158"/>
      <c r="V968" s="158"/>
      <c r="W968" s="158"/>
      <c r="X968" s="158"/>
      <c r="Y968" s="158"/>
      <c r="Z968" s="158"/>
      <c r="AA968" s="158"/>
      <c r="AB968" s="158"/>
      <c r="AC968" s="158"/>
      <c r="AD968" s="158"/>
      <c r="AE968" s="158"/>
    </row>
    <row r="969">
      <c r="A969" s="158"/>
      <c r="B969" s="158"/>
      <c r="C969" s="158"/>
      <c r="D969" s="158"/>
      <c r="E969" s="160"/>
      <c r="F969" s="158"/>
      <c r="G969" s="158"/>
      <c r="H969" s="160"/>
      <c r="I969" s="158"/>
      <c r="J969" s="158"/>
      <c r="K969" s="160"/>
      <c r="L969" s="158"/>
      <c r="M969" s="158"/>
      <c r="N969" s="158"/>
      <c r="O969" s="158"/>
      <c r="P969" s="158"/>
      <c r="Q969" s="158"/>
      <c r="R969" s="160"/>
      <c r="S969" s="158"/>
      <c r="T969" s="158"/>
      <c r="U969" s="158"/>
      <c r="V969" s="158"/>
      <c r="W969" s="158"/>
      <c r="X969" s="158"/>
      <c r="Y969" s="158"/>
      <c r="Z969" s="158"/>
      <c r="AA969" s="158"/>
      <c r="AB969" s="158"/>
      <c r="AC969" s="158"/>
      <c r="AD969" s="158"/>
      <c r="AE969" s="158"/>
    </row>
    <row r="970">
      <c r="A970" s="158"/>
      <c r="B970" s="158"/>
      <c r="C970" s="158"/>
      <c r="D970" s="158"/>
      <c r="E970" s="160"/>
      <c r="F970" s="158"/>
      <c r="G970" s="158"/>
      <c r="H970" s="160"/>
      <c r="I970" s="158"/>
      <c r="J970" s="158"/>
      <c r="K970" s="160"/>
      <c r="L970" s="158"/>
      <c r="M970" s="158"/>
      <c r="N970" s="158"/>
      <c r="O970" s="158"/>
      <c r="P970" s="158"/>
      <c r="Q970" s="158"/>
      <c r="R970" s="160"/>
      <c r="S970" s="158"/>
      <c r="T970" s="158"/>
      <c r="U970" s="158"/>
      <c r="V970" s="158"/>
      <c r="W970" s="158"/>
      <c r="X970" s="158"/>
      <c r="Y970" s="158"/>
      <c r="Z970" s="158"/>
      <c r="AA970" s="158"/>
      <c r="AB970" s="158"/>
      <c r="AC970" s="158"/>
      <c r="AD970" s="158"/>
      <c r="AE970" s="158"/>
    </row>
    <row r="971">
      <c r="A971" s="158"/>
      <c r="B971" s="158"/>
      <c r="C971" s="158"/>
      <c r="D971" s="158"/>
      <c r="E971" s="160"/>
      <c r="F971" s="158"/>
      <c r="G971" s="158"/>
      <c r="H971" s="160"/>
      <c r="I971" s="158"/>
      <c r="J971" s="158"/>
      <c r="K971" s="160"/>
      <c r="L971" s="158"/>
      <c r="M971" s="158"/>
      <c r="N971" s="158"/>
      <c r="O971" s="158"/>
      <c r="P971" s="158"/>
      <c r="Q971" s="158"/>
      <c r="R971" s="160"/>
      <c r="S971" s="158"/>
      <c r="T971" s="158"/>
      <c r="U971" s="158"/>
      <c r="V971" s="158"/>
      <c r="W971" s="158"/>
      <c r="X971" s="158"/>
      <c r="Y971" s="158"/>
      <c r="Z971" s="158"/>
      <c r="AA971" s="158"/>
      <c r="AB971" s="158"/>
      <c r="AC971" s="158"/>
      <c r="AD971" s="158"/>
      <c r="AE971" s="158"/>
    </row>
    <row r="972">
      <c r="A972" s="158"/>
      <c r="B972" s="158"/>
      <c r="C972" s="158"/>
      <c r="D972" s="158"/>
      <c r="E972" s="160"/>
      <c r="F972" s="158"/>
      <c r="G972" s="158"/>
      <c r="H972" s="160"/>
      <c r="I972" s="158"/>
      <c r="J972" s="158"/>
      <c r="K972" s="160"/>
      <c r="L972" s="158"/>
      <c r="M972" s="158"/>
      <c r="N972" s="158"/>
      <c r="O972" s="158"/>
      <c r="P972" s="158"/>
      <c r="Q972" s="158"/>
      <c r="R972" s="160"/>
      <c r="S972" s="158"/>
      <c r="T972" s="158"/>
      <c r="U972" s="158"/>
      <c r="V972" s="158"/>
      <c r="W972" s="158"/>
      <c r="X972" s="158"/>
      <c r="Y972" s="158"/>
      <c r="Z972" s="158"/>
      <c r="AA972" s="158"/>
      <c r="AB972" s="158"/>
      <c r="AC972" s="158"/>
      <c r="AD972" s="158"/>
      <c r="AE972" s="158"/>
    </row>
    <row r="973">
      <c r="A973" s="158"/>
      <c r="B973" s="158"/>
      <c r="C973" s="158"/>
      <c r="D973" s="158"/>
      <c r="E973" s="160"/>
      <c r="F973" s="158"/>
      <c r="G973" s="158"/>
      <c r="H973" s="160"/>
      <c r="I973" s="158"/>
      <c r="J973" s="158"/>
      <c r="K973" s="160"/>
      <c r="L973" s="158"/>
      <c r="M973" s="158"/>
      <c r="N973" s="158"/>
      <c r="O973" s="158"/>
      <c r="P973" s="158"/>
      <c r="Q973" s="158"/>
      <c r="R973" s="160"/>
      <c r="S973" s="158"/>
      <c r="T973" s="158"/>
      <c r="U973" s="158"/>
      <c r="V973" s="158"/>
      <c r="W973" s="158"/>
      <c r="X973" s="158"/>
      <c r="Y973" s="158"/>
      <c r="Z973" s="158"/>
      <c r="AA973" s="158"/>
      <c r="AB973" s="158"/>
      <c r="AC973" s="158"/>
      <c r="AD973" s="158"/>
      <c r="AE973" s="158"/>
    </row>
    <row r="974">
      <c r="A974" s="158"/>
      <c r="B974" s="158"/>
      <c r="C974" s="158"/>
      <c r="D974" s="158"/>
      <c r="E974" s="160"/>
      <c r="F974" s="158"/>
      <c r="G974" s="158"/>
      <c r="H974" s="160"/>
      <c r="I974" s="158"/>
      <c r="J974" s="158"/>
      <c r="K974" s="160"/>
      <c r="L974" s="158"/>
      <c r="M974" s="158"/>
      <c r="N974" s="158"/>
      <c r="O974" s="158"/>
      <c r="P974" s="158"/>
      <c r="Q974" s="158"/>
      <c r="R974" s="160"/>
      <c r="S974" s="158"/>
      <c r="T974" s="158"/>
      <c r="U974" s="158"/>
      <c r="V974" s="158"/>
      <c r="W974" s="158"/>
      <c r="X974" s="158"/>
      <c r="Y974" s="158"/>
      <c r="Z974" s="158"/>
      <c r="AA974" s="158"/>
      <c r="AB974" s="158"/>
      <c r="AC974" s="158"/>
      <c r="AD974" s="158"/>
      <c r="AE974" s="158"/>
    </row>
    <row r="975">
      <c r="A975" s="158"/>
      <c r="B975" s="158"/>
      <c r="C975" s="158"/>
      <c r="D975" s="158"/>
      <c r="E975" s="160"/>
      <c r="F975" s="158"/>
      <c r="G975" s="158"/>
      <c r="H975" s="160"/>
      <c r="I975" s="158"/>
      <c r="J975" s="158"/>
      <c r="K975" s="160"/>
      <c r="L975" s="158"/>
      <c r="M975" s="158"/>
      <c r="N975" s="158"/>
      <c r="O975" s="158"/>
      <c r="P975" s="158"/>
      <c r="Q975" s="158"/>
      <c r="R975" s="160"/>
      <c r="S975" s="158"/>
      <c r="T975" s="158"/>
      <c r="U975" s="158"/>
      <c r="V975" s="158"/>
      <c r="W975" s="158"/>
      <c r="X975" s="158"/>
      <c r="Y975" s="158"/>
      <c r="Z975" s="158"/>
      <c r="AA975" s="158"/>
      <c r="AB975" s="158"/>
      <c r="AC975" s="158"/>
      <c r="AD975" s="158"/>
      <c r="AE975" s="158"/>
    </row>
    <row r="976">
      <c r="A976" s="158"/>
      <c r="B976" s="158"/>
      <c r="C976" s="158"/>
      <c r="D976" s="158"/>
      <c r="E976" s="160"/>
      <c r="F976" s="158"/>
      <c r="G976" s="158"/>
      <c r="H976" s="160"/>
      <c r="I976" s="158"/>
      <c r="J976" s="158"/>
      <c r="K976" s="160"/>
      <c r="L976" s="158"/>
      <c r="M976" s="158"/>
      <c r="N976" s="158"/>
      <c r="O976" s="158"/>
      <c r="P976" s="158"/>
      <c r="Q976" s="158"/>
      <c r="R976" s="160"/>
      <c r="S976" s="158"/>
      <c r="T976" s="158"/>
      <c r="U976" s="158"/>
      <c r="V976" s="158"/>
      <c r="W976" s="158"/>
      <c r="X976" s="158"/>
      <c r="Y976" s="158"/>
      <c r="Z976" s="158"/>
      <c r="AA976" s="158"/>
      <c r="AB976" s="158"/>
      <c r="AC976" s="158"/>
      <c r="AD976" s="158"/>
      <c r="AE976" s="158"/>
    </row>
    <row r="977">
      <c r="A977" s="158"/>
      <c r="B977" s="158"/>
      <c r="C977" s="158"/>
      <c r="D977" s="158"/>
      <c r="E977" s="160"/>
      <c r="F977" s="158"/>
      <c r="G977" s="158"/>
      <c r="H977" s="160"/>
      <c r="I977" s="158"/>
      <c r="J977" s="158"/>
      <c r="K977" s="160"/>
      <c r="L977" s="158"/>
      <c r="M977" s="158"/>
      <c r="N977" s="158"/>
      <c r="O977" s="158"/>
      <c r="P977" s="158"/>
      <c r="Q977" s="158"/>
      <c r="R977" s="160"/>
      <c r="S977" s="158"/>
      <c r="T977" s="158"/>
      <c r="U977" s="158"/>
      <c r="V977" s="158"/>
      <c r="W977" s="158"/>
      <c r="X977" s="158"/>
      <c r="Y977" s="158"/>
      <c r="Z977" s="158"/>
      <c r="AA977" s="158"/>
      <c r="AB977" s="158"/>
      <c r="AC977" s="158"/>
      <c r="AD977" s="158"/>
      <c r="AE977" s="158"/>
    </row>
    <row r="978">
      <c r="A978" s="158"/>
      <c r="B978" s="158"/>
      <c r="C978" s="158"/>
      <c r="D978" s="158"/>
      <c r="E978" s="160"/>
      <c r="F978" s="158"/>
      <c r="G978" s="158"/>
      <c r="H978" s="160"/>
      <c r="I978" s="158"/>
      <c r="J978" s="158"/>
      <c r="K978" s="160"/>
      <c r="L978" s="158"/>
      <c r="M978" s="158"/>
      <c r="N978" s="158"/>
      <c r="O978" s="158"/>
      <c r="P978" s="158"/>
      <c r="Q978" s="158"/>
      <c r="R978" s="160"/>
      <c r="S978" s="158"/>
      <c r="T978" s="158"/>
      <c r="U978" s="158"/>
      <c r="V978" s="158"/>
      <c r="W978" s="158"/>
      <c r="X978" s="158"/>
      <c r="Y978" s="158"/>
      <c r="Z978" s="158"/>
      <c r="AA978" s="158"/>
      <c r="AB978" s="158"/>
      <c r="AC978" s="158"/>
      <c r="AD978" s="158"/>
      <c r="AE978" s="158"/>
    </row>
    <row r="979">
      <c r="A979" s="158"/>
      <c r="B979" s="158"/>
      <c r="C979" s="158"/>
      <c r="D979" s="158"/>
      <c r="E979" s="160"/>
      <c r="F979" s="158"/>
      <c r="G979" s="158"/>
      <c r="H979" s="160"/>
      <c r="I979" s="158"/>
      <c r="J979" s="158"/>
      <c r="K979" s="160"/>
      <c r="L979" s="158"/>
      <c r="M979" s="158"/>
      <c r="N979" s="158"/>
      <c r="O979" s="158"/>
      <c r="P979" s="158"/>
      <c r="Q979" s="158"/>
      <c r="R979" s="160"/>
      <c r="S979" s="158"/>
      <c r="T979" s="158"/>
      <c r="U979" s="158"/>
      <c r="V979" s="158"/>
      <c r="W979" s="158"/>
      <c r="X979" s="158"/>
      <c r="Y979" s="158"/>
      <c r="Z979" s="158"/>
      <c r="AA979" s="158"/>
      <c r="AB979" s="158"/>
      <c r="AC979" s="158"/>
      <c r="AD979" s="158"/>
      <c r="AE979" s="158"/>
    </row>
    <row r="980">
      <c r="A980" s="158"/>
      <c r="B980" s="158"/>
      <c r="C980" s="158"/>
      <c r="D980" s="158"/>
      <c r="E980" s="160"/>
      <c r="F980" s="158"/>
      <c r="G980" s="158"/>
      <c r="H980" s="160"/>
      <c r="I980" s="158"/>
      <c r="J980" s="158"/>
      <c r="K980" s="160"/>
      <c r="L980" s="158"/>
      <c r="M980" s="158"/>
      <c r="N980" s="158"/>
      <c r="O980" s="158"/>
      <c r="P980" s="158"/>
      <c r="Q980" s="158"/>
      <c r="R980" s="160"/>
      <c r="S980" s="158"/>
      <c r="T980" s="158"/>
      <c r="U980" s="158"/>
      <c r="V980" s="158"/>
      <c r="W980" s="158"/>
      <c r="X980" s="158"/>
      <c r="Y980" s="158"/>
      <c r="Z980" s="158"/>
      <c r="AA980" s="158"/>
      <c r="AB980" s="158"/>
      <c r="AC980" s="158"/>
      <c r="AD980" s="158"/>
      <c r="AE980" s="158"/>
    </row>
    <row r="981">
      <c r="A981" s="158"/>
      <c r="B981" s="158"/>
      <c r="C981" s="158"/>
      <c r="D981" s="158"/>
      <c r="E981" s="160"/>
      <c r="F981" s="158"/>
      <c r="G981" s="158"/>
      <c r="H981" s="160"/>
      <c r="I981" s="158"/>
      <c r="J981" s="158"/>
      <c r="K981" s="160"/>
      <c r="L981" s="158"/>
      <c r="M981" s="158"/>
      <c r="N981" s="158"/>
      <c r="O981" s="158"/>
      <c r="P981" s="158"/>
      <c r="Q981" s="158"/>
      <c r="R981" s="160"/>
      <c r="S981" s="158"/>
      <c r="T981" s="158"/>
      <c r="U981" s="158"/>
      <c r="V981" s="158"/>
      <c r="W981" s="158"/>
      <c r="X981" s="158"/>
      <c r="Y981" s="158"/>
      <c r="Z981" s="158"/>
      <c r="AA981" s="158"/>
      <c r="AB981" s="158"/>
      <c r="AC981" s="158"/>
      <c r="AD981" s="158"/>
      <c r="AE981" s="158"/>
    </row>
    <row r="982">
      <c r="A982" s="158"/>
      <c r="B982" s="158"/>
      <c r="C982" s="158"/>
      <c r="D982" s="158"/>
      <c r="E982" s="160"/>
      <c r="F982" s="158"/>
      <c r="G982" s="158"/>
      <c r="H982" s="160"/>
      <c r="I982" s="158"/>
      <c r="J982" s="158"/>
      <c r="K982" s="160"/>
      <c r="L982" s="158"/>
      <c r="M982" s="158"/>
      <c r="N982" s="158"/>
      <c r="O982" s="158"/>
      <c r="P982" s="158"/>
      <c r="Q982" s="158"/>
      <c r="R982" s="160"/>
      <c r="S982" s="158"/>
      <c r="T982" s="158"/>
      <c r="U982" s="158"/>
      <c r="V982" s="158"/>
      <c r="W982" s="158"/>
      <c r="X982" s="158"/>
      <c r="Y982" s="158"/>
      <c r="Z982" s="158"/>
      <c r="AA982" s="158"/>
      <c r="AB982" s="158"/>
      <c r="AC982" s="158"/>
      <c r="AD982" s="158"/>
      <c r="AE982" s="158"/>
    </row>
    <row r="983">
      <c r="A983" s="158"/>
      <c r="B983" s="158"/>
      <c r="C983" s="158"/>
      <c r="D983" s="158"/>
      <c r="E983" s="160"/>
      <c r="F983" s="158"/>
      <c r="G983" s="158"/>
      <c r="H983" s="160"/>
      <c r="I983" s="158"/>
      <c r="J983" s="158"/>
      <c r="K983" s="160"/>
      <c r="L983" s="158"/>
      <c r="M983" s="158"/>
      <c r="N983" s="158"/>
      <c r="O983" s="158"/>
      <c r="P983" s="158"/>
      <c r="Q983" s="158"/>
      <c r="R983" s="160"/>
      <c r="S983" s="158"/>
      <c r="T983" s="158"/>
      <c r="U983" s="158"/>
      <c r="V983" s="158"/>
      <c r="W983" s="158"/>
      <c r="X983" s="158"/>
      <c r="Y983" s="158"/>
      <c r="Z983" s="158"/>
      <c r="AA983" s="158"/>
      <c r="AB983" s="158"/>
      <c r="AC983" s="158"/>
      <c r="AD983" s="158"/>
      <c r="AE983" s="158"/>
    </row>
    <row r="984">
      <c r="A984" s="158"/>
      <c r="B984" s="158"/>
      <c r="C984" s="158"/>
      <c r="D984" s="158"/>
      <c r="E984" s="160"/>
      <c r="F984" s="158"/>
      <c r="G984" s="158"/>
      <c r="H984" s="160"/>
      <c r="I984" s="158"/>
      <c r="J984" s="158"/>
      <c r="K984" s="160"/>
      <c r="L984" s="158"/>
      <c r="M984" s="158"/>
      <c r="N984" s="158"/>
      <c r="O984" s="158"/>
      <c r="P984" s="158"/>
      <c r="Q984" s="158"/>
      <c r="R984" s="160"/>
      <c r="S984" s="158"/>
      <c r="T984" s="158"/>
      <c r="U984" s="158"/>
      <c r="V984" s="158"/>
      <c r="W984" s="158"/>
      <c r="X984" s="158"/>
      <c r="Y984" s="158"/>
      <c r="Z984" s="158"/>
      <c r="AA984" s="158"/>
      <c r="AB984" s="158"/>
      <c r="AC984" s="158"/>
      <c r="AD984" s="158"/>
      <c r="AE984" s="158"/>
    </row>
    <row r="985">
      <c r="A985" s="158"/>
      <c r="B985" s="158"/>
      <c r="C985" s="158"/>
      <c r="D985" s="158"/>
      <c r="E985" s="160"/>
      <c r="F985" s="158"/>
      <c r="G985" s="158"/>
      <c r="H985" s="160"/>
      <c r="I985" s="158"/>
      <c r="J985" s="158"/>
      <c r="K985" s="160"/>
      <c r="L985" s="158"/>
      <c r="M985" s="158"/>
      <c r="N985" s="158"/>
      <c r="O985" s="158"/>
      <c r="P985" s="158"/>
      <c r="Q985" s="158"/>
      <c r="R985" s="160"/>
      <c r="S985" s="158"/>
      <c r="T985" s="158"/>
      <c r="U985" s="158"/>
      <c r="V985" s="158"/>
      <c r="W985" s="158"/>
      <c r="X985" s="158"/>
      <c r="Y985" s="158"/>
      <c r="Z985" s="158"/>
      <c r="AA985" s="158"/>
      <c r="AB985" s="158"/>
      <c r="AC985" s="158"/>
      <c r="AD985" s="158"/>
      <c r="AE985" s="158"/>
    </row>
    <row r="986">
      <c r="A986" s="158"/>
      <c r="B986" s="158"/>
      <c r="C986" s="158"/>
      <c r="D986" s="158"/>
      <c r="E986" s="160"/>
      <c r="F986" s="158"/>
      <c r="G986" s="158"/>
      <c r="H986" s="160"/>
      <c r="I986" s="158"/>
      <c r="J986" s="158"/>
      <c r="K986" s="160"/>
      <c r="L986" s="158"/>
      <c r="M986" s="158"/>
      <c r="N986" s="158"/>
      <c r="O986" s="158"/>
      <c r="P986" s="158"/>
      <c r="Q986" s="158"/>
      <c r="R986" s="160"/>
      <c r="S986" s="158"/>
      <c r="T986" s="158"/>
      <c r="U986" s="158"/>
      <c r="V986" s="158"/>
      <c r="W986" s="158"/>
      <c r="X986" s="158"/>
      <c r="Y986" s="158"/>
      <c r="Z986" s="158"/>
      <c r="AA986" s="158"/>
      <c r="AB986" s="158"/>
      <c r="AC986" s="158"/>
      <c r="AD986" s="158"/>
      <c r="AE986" s="158"/>
    </row>
    <row r="987">
      <c r="A987" s="158"/>
      <c r="B987" s="158"/>
      <c r="C987" s="158"/>
      <c r="D987" s="158"/>
      <c r="E987" s="160"/>
      <c r="F987" s="158"/>
      <c r="G987" s="158"/>
      <c r="H987" s="160"/>
      <c r="I987" s="158"/>
      <c r="J987" s="158"/>
      <c r="K987" s="160"/>
      <c r="L987" s="158"/>
      <c r="M987" s="158"/>
      <c r="N987" s="158"/>
      <c r="O987" s="158"/>
      <c r="P987" s="158"/>
      <c r="Q987" s="158"/>
      <c r="R987" s="160"/>
      <c r="S987" s="158"/>
      <c r="T987" s="158"/>
      <c r="U987" s="158"/>
      <c r="V987" s="158"/>
      <c r="W987" s="158"/>
      <c r="X987" s="158"/>
      <c r="Y987" s="158"/>
      <c r="Z987" s="158"/>
      <c r="AA987" s="158"/>
      <c r="AB987" s="158"/>
      <c r="AC987" s="158"/>
      <c r="AD987" s="158"/>
      <c r="AE987" s="158"/>
    </row>
    <row r="988">
      <c r="A988" s="158"/>
      <c r="B988" s="158"/>
      <c r="C988" s="158"/>
      <c r="D988" s="158"/>
      <c r="E988" s="160"/>
      <c r="F988" s="158"/>
      <c r="G988" s="158"/>
      <c r="H988" s="160"/>
      <c r="I988" s="158"/>
      <c r="J988" s="158"/>
      <c r="K988" s="160"/>
      <c r="L988" s="158"/>
      <c r="M988" s="158"/>
      <c r="N988" s="158"/>
      <c r="O988" s="158"/>
      <c r="P988" s="158"/>
      <c r="Q988" s="158"/>
      <c r="R988" s="160"/>
      <c r="S988" s="158"/>
      <c r="T988" s="158"/>
      <c r="U988" s="158"/>
      <c r="V988" s="158"/>
      <c r="W988" s="158"/>
      <c r="X988" s="158"/>
      <c r="Y988" s="158"/>
      <c r="Z988" s="158"/>
      <c r="AA988" s="158"/>
      <c r="AB988" s="158"/>
      <c r="AC988" s="158"/>
      <c r="AD988" s="158"/>
      <c r="AE988" s="158"/>
    </row>
    <row r="989">
      <c r="A989" s="158"/>
      <c r="B989" s="158"/>
      <c r="C989" s="158"/>
      <c r="D989" s="158"/>
      <c r="E989" s="160"/>
      <c r="F989" s="158"/>
      <c r="G989" s="158"/>
      <c r="H989" s="160"/>
      <c r="I989" s="158"/>
      <c r="J989" s="158"/>
      <c r="K989" s="160"/>
      <c r="L989" s="158"/>
      <c r="M989" s="158"/>
      <c r="N989" s="158"/>
      <c r="O989" s="158"/>
      <c r="P989" s="158"/>
      <c r="Q989" s="158"/>
      <c r="R989" s="160"/>
      <c r="S989" s="158"/>
      <c r="T989" s="158"/>
      <c r="U989" s="158"/>
      <c r="V989" s="158"/>
      <c r="W989" s="158"/>
      <c r="X989" s="158"/>
      <c r="Y989" s="158"/>
      <c r="Z989" s="158"/>
      <c r="AA989" s="158"/>
      <c r="AB989" s="158"/>
      <c r="AC989" s="158"/>
      <c r="AD989" s="158"/>
      <c r="AE989" s="158"/>
    </row>
    <row r="990">
      <c r="A990" s="158"/>
      <c r="B990" s="158"/>
      <c r="C990" s="158"/>
      <c r="D990" s="158"/>
      <c r="E990" s="160"/>
      <c r="F990" s="158"/>
      <c r="G990" s="158"/>
      <c r="H990" s="160"/>
      <c r="I990" s="158"/>
      <c r="J990" s="158"/>
      <c r="K990" s="160"/>
      <c r="L990" s="158"/>
      <c r="M990" s="158"/>
      <c r="N990" s="158"/>
      <c r="O990" s="158"/>
      <c r="P990" s="158"/>
      <c r="Q990" s="158"/>
      <c r="R990" s="160"/>
      <c r="S990" s="158"/>
      <c r="T990" s="158"/>
      <c r="U990" s="158"/>
      <c r="V990" s="158"/>
      <c r="W990" s="158"/>
      <c r="X990" s="158"/>
      <c r="Y990" s="158"/>
      <c r="Z990" s="158"/>
      <c r="AA990" s="158"/>
      <c r="AB990" s="158"/>
      <c r="AC990" s="158"/>
      <c r="AD990" s="158"/>
      <c r="AE990" s="158"/>
    </row>
    <row r="991">
      <c r="A991" s="158"/>
      <c r="B991" s="158"/>
      <c r="C991" s="158"/>
      <c r="D991" s="158"/>
      <c r="E991" s="160"/>
      <c r="F991" s="158"/>
      <c r="G991" s="158"/>
      <c r="H991" s="160"/>
      <c r="I991" s="158"/>
      <c r="J991" s="158"/>
      <c r="K991" s="160"/>
      <c r="L991" s="158"/>
      <c r="M991" s="158"/>
      <c r="N991" s="158"/>
      <c r="O991" s="158"/>
      <c r="P991" s="158"/>
      <c r="Q991" s="158"/>
      <c r="R991" s="160"/>
      <c r="S991" s="158"/>
      <c r="T991" s="158"/>
      <c r="U991" s="158"/>
      <c r="V991" s="158"/>
      <c r="W991" s="158"/>
      <c r="X991" s="158"/>
      <c r="Y991" s="158"/>
      <c r="Z991" s="158"/>
      <c r="AA991" s="158"/>
      <c r="AB991" s="158"/>
      <c r="AC991" s="158"/>
      <c r="AD991" s="158"/>
      <c r="AE991" s="158"/>
    </row>
    <row r="992">
      <c r="A992" s="158"/>
      <c r="B992" s="158"/>
      <c r="C992" s="158"/>
      <c r="D992" s="158"/>
      <c r="E992" s="160"/>
      <c r="F992" s="158"/>
      <c r="G992" s="158"/>
      <c r="H992" s="160"/>
      <c r="I992" s="158"/>
      <c r="J992" s="158"/>
      <c r="K992" s="160"/>
      <c r="L992" s="158"/>
      <c r="M992" s="158"/>
      <c r="N992" s="158"/>
      <c r="O992" s="158"/>
      <c r="P992" s="158"/>
      <c r="Q992" s="158"/>
      <c r="R992" s="160"/>
      <c r="S992" s="158"/>
      <c r="T992" s="158"/>
      <c r="U992" s="158"/>
      <c r="V992" s="158"/>
      <c r="W992" s="158"/>
      <c r="X992" s="158"/>
      <c r="Y992" s="158"/>
      <c r="Z992" s="158"/>
      <c r="AA992" s="158"/>
      <c r="AB992" s="158"/>
      <c r="AC992" s="158"/>
      <c r="AD992" s="158"/>
      <c r="AE992" s="158"/>
    </row>
    <row r="993">
      <c r="A993" s="158"/>
      <c r="B993" s="158"/>
      <c r="C993" s="158"/>
      <c r="D993" s="158"/>
      <c r="E993" s="160"/>
      <c r="F993" s="158"/>
      <c r="G993" s="158"/>
      <c r="H993" s="160"/>
      <c r="I993" s="158"/>
      <c r="J993" s="158"/>
      <c r="K993" s="160"/>
      <c r="L993" s="158"/>
      <c r="M993" s="158"/>
      <c r="N993" s="158"/>
      <c r="O993" s="158"/>
      <c r="P993" s="158"/>
      <c r="Q993" s="158"/>
      <c r="R993" s="160"/>
      <c r="S993" s="158"/>
      <c r="T993" s="158"/>
      <c r="U993" s="158"/>
      <c r="V993" s="158"/>
      <c r="W993" s="158"/>
      <c r="X993" s="158"/>
      <c r="Y993" s="158"/>
      <c r="Z993" s="158"/>
      <c r="AA993" s="158"/>
      <c r="AB993" s="158"/>
      <c r="AC993" s="158"/>
      <c r="AD993" s="158"/>
      <c r="AE993" s="158"/>
    </row>
    <row r="994">
      <c r="A994" s="158"/>
      <c r="B994" s="158"/>
      <c r="C994" s="158"/>
      <c r="D994" s="158"/>
      <c r="E994" s="160"/>
      <c r="F994" s="158"/>
      <c r="G994" s="158"/>
      <c r="H994" s="160"/>
      <c r="I994" s="158"/>
      <c r="J994" s="158"/>
      <c r="K994" s="160"/>
      <c r="L994" s="158"/>
      <c r="M994" s="158"/>
      <c r="N994" s="158"/>
      <c r="O994" s="158"/>
      <c r="P994" s="158"/>
      <c r="Q994" s="158"/>
      <c r="R994" s="160"/>
      <c r="S994" s="158"/>
      <c r="T994" s="158"/>
      <c r="U994" s="158"/>
      <c r="V994" s="158"/>
      <c r="W994" s="158"/>
      <c r="X994" s="158"/>
      <c r="Y994" s="158"/>
      <c r="Z994" s="158"/>
      <c r="AA994" s="158"/>
      <c r="AB994" s="158"/>
      <c r="AC994" s="158"/>
      <c r="AD994" s="158"/>
      <c r="AE994" s="158"/>
    </row>
    <row r="995">
      <c r="A995" s="158"/>
      <c r="B995" s="158"/>
      <c r="C995" s="158"/>
      <c r="D995" s="158"/>
      <c r="E995" s="160"/>
      <c r="F995" s="158"/>
      <c r="G995" s="158"/>
      <c r="H995" s="160"/>
      <c r="I995" s="158"/>
      <c r="J995" s="158"/>
      <c r="K995" s="160"/>
      <c r="L995" s="158"/>
      <c r="M995" s="158"/>
      <c r="N995" s="158"/>
      <c r="O995" s="158"/>
      <c r="P995" s="158"/>
      <c r="Q995" s="158"/>
      <c r="R995" s="160"/>
      <c r="S995" s="158"/>
      <c r="T995" s="158"/>
      <c r="U995" s="158"/>
      <c r="V995" s="158"/>
      <c r="W995" s="158"/>
      <c r="X995" s="158"/>
      <c r="Y995" s="158"/>
      <c r="Z995" s="158"/>
      <c r="AA995" s="158"/>
      <c r="AB995" s="158"/>
      <c r="AC995" s="158"/>
      <c r="AD995" s="158"/>
      <c r="AE995" s="158"/>
    </row>
    <row r="996">
      <c r="A996" s="158"/>
      <c r="B996" s="158"/>
      <c r="C996" s="158"/>
      <c r="D996" s="158"/>
      <c r="E996" s="160"/>
      <c r="F996" s="158"/>
      <c r="G996" s="158"/>
      <c r="H996" s="160"/>
      <c r="I996" s="158"/>
      <c r="J996" s="158"/>
      <c r="K996" s="160"/>
      <c r="L996" s="158"/>
      <c r="M996" s="158"/>
      <c r="N996" s="158"/>
      <c r="O996" s="158"/>
      <c r="P996" s="158"/>
      <c r="Q996" s="158"/>
      <c r="R996" s="160"/>
      <c r="S996" s="158"/>
      <c r="T996" s="158"/>
      <c r="U996" s="158"/>
      <c r="V996" s="158"/>
      <c r="W996" s="158"/>
      <c r="X996" s="158"/>
      <c r="Y996" s="158"/>
      <c r="Z996" s="158"/>
      <c r="AA996" s="158"/>
      <c r="AB996" s="158"/>
      <c r="AC996" s="158"/>
      <c r="AD996" s="158"/>
      <c r="AE996" s="158"/>
    </row>
    <row r="997">
      <c r="A997" s="158"/>
      <c r="B997" s="158"/>
      <c r="C997" s="158"/>
      <c r="D997" s="158"/>
      <c r="E997" s="160"/>
      <c r="F997" s="158"/>
      <c r="G997" s="158"/>
      <c r="H997" s="160"/>
      <c r="I997" s="158"/>
      <c r="J997" s="158"/>
      <c r="K997" s="160"/>
      <c r="L997" s="158"/>
      <c r="M997" s="158"/>
      <c r="N997" s="158"/>
      <c r="O997" s="158"/>
      <c r="P997" s="158"/>
      <c r="Q997" s="158"/>
      <c r="R997" s="160"/>
      <c r="S997" s="158"/>
      <c r="T997" s="158"/>
      <c r="U997" s="158"/>
      <c r="V997" s="158"/>
      <c r="W997" s="158"/>
      <c r="X997" s="158"/>
      <c r="Y997" s="158"/>
      <c r="Z997" s="158"/>
      <c r="AA997" s="158"/>
      <c r="AB997" s="158"/>
      <c r="AC997" s="158"/>
      <c r="AD997" s="158"/>
      <c r="AE997" s="158"/>
    </row>
    <row r="998">
      <c r="A998" s="158"/>
      <c r="B998" s="158"/>
      <c r="C998" s="158"/>
      <c r="D998" s="158"/>
      <c r="E998" s="160"/>
      <c r="F998" s="158"/>
      <c r="G998" s="158"/>
      <c r="H998" s="160"/>
      <c r="I998" s="158"/>
      <c r="J998" s="158"/>
      <c r="K998" s="160"/>
      <c r="L998" s="158"/>
      <c r="M998" s="158"/>
      <c r="N998" s="158"/>
      <c r="O998" s="158"/>
      <c r="P998" s="158"/>
      <c r="Q998" s="158"/>
      <c r="R998" s="160"/>
      <c r="S998" s="158"/>
      <c r="T998" s="158"/>
      <c r="U998" s="158"/>
      <c r="V998" s="158"/>
      <c r="W998" s="158"/>
      <c r="X998" s="158"/>
      <c r="Y998" s="158"/>
      <c r="Z998" s="158"/>
      <c r="AA998" s="158"/>
      <c r="AB998" s="158"/>
      <c r="AC998" s="158"/>
      <c r="AD998" s="158"/>
      <c r="AE998" s="158"/>
    </row>
    <row r="999">
      <c r="A999" s="158"/>
      <c r="B999" s="158"/>
      <c r="C999" s="158"/>
      <c r="D999" s="158"/>
      <c r="E999" s="160"/>
      <c r="F999" s="158"/>
      <c r="G999" s="158"/>
      <c r="H999" s="160"/>
      <c r="I999" s="158"/>
      <c r="J999" s="158"/>
      <c r="K999" s="160"/>
      <c r="L999" s="158"/>
      <c r="M999" s="158"/>
      <c r="N999" s="158"/>
      <c r="O999" s="158"/>
      <c r="P999" s="158"/>
      <c r="Q999" s="158"/>
      <c r="R999" s="160"/>
      <c r="S999" s="158"/>
      <c r="T999" s="158"/>
      <c r="U999" s="158"/>
      <c r="V999" s="158"/>
      <c r="W999" s="158"/>
      <c r="X999" s="158"/>
      <c r="Y999" s="158"/>
      <c r="Z999" s="158"/>
      <c r="AA999" s="158"/>
      <c r="AB999" s="158"/>
      <c r="AC999" s="158"/>
      <c r="AD999" s="158"/>
      <c r="AE999" s="158"/>
    </row>
    <row r="1000">
      <c r="A1000" s="158"/>
      <c r="B1000" s="158"/>
      <c r="C1000" s="158"/>
      <c r="D1000" s="158"/>
      <c r="E1000" s="160"/>
      <c r="F1000" s="158"/>
      <c r="G1000" s="158"/>
      <c r="H1000" s="160"/>
      <c r="I1000" s="158"/>
      <c r="J1000" s="158"/>
      <c r="K1000" s="160"/>
      <c r="L1000" s="158"/>
      <c r="M1000" s="158"/>
      <c r="N1000" s="158"/>
      <c r="O1000" s="158"/>
      <c r="P1000" s="158"/>
      <c r="Q1000" s="158"/>
      <c r="R1000" s="160"/>
      <c r="S1000" s="158"/>
      <c r="T1000" s="158"/>
      <c r="U1000" s="158"/>
      <c r="V1000" s="158"/>
      <c r="W1000" s="158"/>
      <c r="X1000" s="158"/>
      <c r="Y1000" s="158"/>
      <c r="Z1000" s="158"/>
      <c r="AA1000" s="158"/>
      <c r="AB1000" s="158"/>
      <c r="AC1000" s="158"/>
      <c r="AD1000" s="158"/>
      <c r="AE1000" s="158"/>
    </row>
  </sheetData>
  <autoFilter ref="$A$1:$AE$244">
    <filterColumn colId="22">
      <filters blank="1">
        <filter val="Thessa"/>
        <filter val="Tiara (Gemini)"/>
        <filter val="Jennifer Bachdim"/>
        <filter val="Kevin (Makassar)"/>
      </filters>
    </filterColumn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5.13"/>
    <col customWidth="1" min="3" max="3" width="17.88"/>
    <col customWidth="1" min="8" max="8" width="19.38"/>
    <col customWidth="1" min="9" max="9" width="26.13"/>
    <col customWidth="1" min="10" max="10" width="19.25"/>
  </cols>
  <sheetData>
    <row r="1">
      <c r="A1" s="210" t="s">
        <v>1749</v>
      </c>
      <c r="B1" s="210" t="s">
        <v>1750</v>
      </c>
      <c r="C1" s="210" t="s">
        <v>1751</v>
      </c>
      <c r="D1" s="211" t="s">
        <v>1752</v>
      </c>
    </row>
    <row r="2">
      <c r="A2" s="152">
        <v>1.0</v>
      </c>
      <c r="B2" s="152" t="s">
        <v>1691</v>
      </c>
      <c r="C2" s="211">
        <v>3.54312420002314E14</v>
      </c>
      <c r="D2" s="211" t="s">
        <v>1753</v>
      </c>
      <c r="J2" s="211" t="s">
        <v>1754</v>
      </c>
    </row>
    <row r="3">
      <c r="A3" s="158">
        <f t="shared" ref="A3:A20" si="1">A2+1</f>
        <v>2</v>
      </c>
      <c r="B3" s="152" t="s">
        <v>1755</v>
      </c>
      <c r="C3" s="211" t="s">
        <v>1756</v>
      </c>
      <c r="D3" s="211" t="s">
        <v>106</v>
      </c>
      <c r="I3" s="212">
        <v>3.54922130015792E14</v>
      </c>
      <c r="J3" s="119" t="str">
        <f t="array" ref="J3">XLOOKUP(I3,'OLD DATA'!H:H,'OLD DATA'!I:I,"",0)</f>
        <v>Locker</v>
      </c>
      <c r="K3" s="119" t="str">
        <f t="array" ref="K3">XLOOKUP(I3,'Step 1 Data Bank'!E:E,'Step 1 Data Bank'!M:M,"",0)</f>
        <v>LOANED / ON KOL</v>
      </c>
      <c r="L3" s="119" t="str">
        <f t="array" ref="L3">XLOOKUP(I3,'Step 1 Data Bank'!E:E,'Step 1 Data Bank'!N:N,"",0)</f>
        <v>Salma (carry untuk event galaxy studio)</v>
      </c>
    </row>
    <row r="4">
      <c r="A4" s="158">
        <f t="shared" si="1"/>
        <v>3</v>
      </c>
      <c r="B4" s="152" t="s">
        <v>1757</v>
      </c>
      <c r="D4" s="211" t="s">
        <v>106</v>
      </c>
      <c r="I4" s="212">
        <v>3.5492213001622E14</v>
      </c>
      <c r="J4" s="119" t="str">
        <f t="array" ref="J4">XLOOKUP(I4,'OLD DATA'!H:H,'OLD DATA'!I:I,"",0)</f>
        <v>Locker</v>
      </c>
      <c r="K4" s="119" t="str">
        <f t="array" ref="K4">XLOOKUP(I4,'Step 1 Data Bank'!E:E,'Step 1 Data Bank'!M:M,"",0)</f>
        <v/>
      </c>
      <c r="L4" s="119" t="str">
        <f t="array" ref="L4">XLOOKUP(I4,'Step 1 Data Bank'!E:E,'Step 1 Data Bank'!N:N,"",0)</f>
        <v/>
      </c>
    </row>
    <row r="5">
      <c r="A5" s="158">
        <f t="shared" si="1"/>
        <v>4</v>
      </c>
      <c r="B5" s="152" t="s">
        <v>1758</v>
      </c>
      <c r="C5" s="211" t="s">
        <v>1756</v>
      </c>
      <c r="D5" s="211" t="s">
        <v>106</v>
      </c>
      <c r="H5" s="128"/>
      <c r="I5" s="212">
        <v>3.54922130009894E14</v>
      </c>
      <c r="J5" s="119" t="str">
        <f t="array" ref="J5">XLOOKUP(I5,'OLD DATA'!H:H,'OLD DATA'!I:I,"",0)</f>
        <v>Locker</v>
      </c>
      <c r="K5" s="119" t="str">
        <f t="array" ref="K5">XLOOKUP(I5,'Step 1 Data Bank'!E:E,'Step 1 Data Bank'!M:M,"",0)</f>
        <v>AVAILABLE</v>
      </c>
      <c r="L5" s="119" t="str">
        <f t="array" ref="L5">XLOOKUP(I5,'Step 1 Data Bank'!E:E,'Step 1 Data Bank'!N:N,"",0)</f>
        <v>-</v>
      </c>
    </row>
    <row r="6">
      <c r="A6" s="158">
        <f t="shared" si="1"/>
        <v>5</v>
      </c>
      <c r="B6" s="152" t="s">
        <v>1759</v>
      </c>
      <c r="C6" s="211" t="s">
        <v>1760</v>
      </c>
      <c r="H6" s="143"/>
      <c r="I6" s="212">
        <v>3.54922130012054E14</v>
      </c>
      <c r="J6" s="119" t="str">
        <f t="array" ref="J6">XLOOKUP(I6,'OLD DATA'!H:H,'OLD DATA'!I:I,"",0)</f>
        <v>Locker</v>
      </c>
      <c r="K6" s="119" t="str">
        <f t="array" ref="K6">XLOOKUP(I6,'Step 1 Data Bank'!E:E,'Step 1 Data Bank'!M:M,"",0)</f>
        <v>LOANED / ON KOL</v>
      </c>
      <c r="L6" s="119" t="str">
        <f t="array" ref="L6">XLOOKUP(I6,'Step 1 Data Bank'!E:E,'Step 1 Data Bank'!N:N,"",0)</f>
        <v>Jevin Julian</v>
      </c>
    </row>
    <row r="7">
      <c r="A7" s="158">
        <f t="shared" si="1"/>
        <v>6</v>
      </c>
      <c r="B7" s="152" t="s">
        <v>1761</v>
      </c>
      <c r="C7" s="211">
        <v>3.54922130008466E14</v>
      </c>
      <c r="D7" s="211" t="s">
        <v>106</v>
      </c>
      <c r="I7" s="212">
        <v>3.54922130003558E14</v>
      </c>
      <c r="J7" s="119" t="str">
        <f t="array" ref="J7">XLOOKUP(I7,'OLD DATA'!H:H,'OLD DATA'!I:I,"",0)</f>
        <v>Locker</v>
      </c>
      <c r="K7" s="119" t="str">
        <f t="array" ref="K7">XLOOKUP(I7,'Step 1 Data Bank'!E:E,'Step 1 Data Bank'!M:M,"",0)</f>
        <v>LOANED / ON KOL</v>
      </c>
      <c r="L7" s="119" t="str">
        <f t="array" ref="L7">XLOOKUP(I7,'Step 1 Data Bank'!E:E,'Step 1 Data Bank'!N:N,"",0)</f>
        <v>gaby saputra</v>
      </c>
    </row>
    <row r="8">
      <c r="A8" s="158">
        <f t="shared" si="1"/>
        <v>7</v>
      </c>
      <c r="B8" s="152" t="s">
        <v>1762</v>
      </c>
      <c r="C8" s="211">
        <v>3.5492213001603E14</v>
      </c>
    </row>
    <row r="9">
      <c r="A9" s="158">
        <f t="shared" si="1"/>
        <v>8</v>
      </c>
      <c r="B9" s="152" t="s">
        <v>1763</v>
      </c>
      <c r="C9" s="152" t="s">
        <v>1756</v>
      </c>
    </row>
    <row r="10">
      <c r="A10" s="158">
        <f t="shared" si="1"/>
        <v>9</v>
      </c>
      <c r="B10" s="152" t="s">
        <v>1764</v>
      </c>
      <c r="D10" s="211" t="s">
        <v>106</v>
      </c>
    </row>
    <row r="11">
      <c r="A11" s="158">
        <f t="shared" si="1"/>
        <v>10</v>
      </c>
      <c r="B11" s="152" t="s">
        <v>1765</v>
      </c>
      <c r="D11" s="211" t="s">
        <v>106</v>
      </c>
    </row>
    <row r="12">
      <c r="A12" s="158">
        <f t="shared" si="1"/>
        <v>11</v>
      </c>
      <c r="B12" s="152" t="s">
        <v>1766</v>
      </c>
      <c r="C12" s="211" t="s">
        <v>1767</v>
      </c>
      <c r="D12" s="211"/>
    </row>
    <row r="13">
      <c r="A13" s="158">
        <f t="shared" si="1"/>
        <v>12</v>
      </c>
      <c r="B13" s="152" t="s">
        <v>1768</v>
      </c>
      <c r="C13" s="211" t="s">
        <v>1767</v>
      </c>
    </row>
    <row r="14">
      <c r="A14" s="158">
        <f t="shared" si="1"/>
        <v>13</v>
      </c>
      <c r="B14" s="152" t="s">
        <v>1769</v>
      </c>
      <c r="C14" s="211">
        <v>3.50009210074339E14</v>
      </c>
    </row>
    <row r="15">
      <c r="A15" s="158">
        <f t="shared" si="1"/>
        <v>14</v>
      </c>
      <c r="B15" s="152" t="s">
        <v>1770</v>
      </c>
      <c r="C15" s="211">
        <v>3.54922130009894E14</v>
      </c>
    </row>
    <row r="16">
      <c r="A16" s="158">
        <f t="shared" si="1"/>
        <v>15</v>
      </c>
      <c r="B16" s="152" t="s">
        <v>1771</v>
      </c>
      <c r="C16" s="211">
        <v>3.54922130011403E14</v>
      </c>
    </row>
    <row r="17">
      <c r="A17" s="158">
        <f t="shared" si="1"/>
        <v>16</v>
      </c>
      <c r="B17" s="152" t="s">
        <v>1571</v>
      </c>
      <c r="C17" s="211">
        <v>3.54922130012054E14</v>
      </c>
    </row>
    <row r="18">
      <c r="A18" s="158">
        <f t="shared" si="1"/>
        <v>17</v>
      </c>
      <c r="B18" s="152" t="s">
        <v>1509</v>
      </c>
      <c r="C18" s="211">
        <v>3.54922130002477E14</v>
      </c>
    </row>
    <row r="19">
      <c r="A19" s="158">
        <f t="shared" si="1"/>
        <v>18</v>
      </c>
      <c r="B19" s="152" t="s">
        <v>1772</v>
      </c>
      <c r="D19" s="211" t="s">
        <v>106</v>
      </c>
    </row>
    <row r="20">
      <c r="A20" s="158">
        <f t="shared" si="1"/>
        <v>19</v>
      </c>
      <c r="B20" s="152" t="s">
        <v>1773</v>
      </c>
      <c r="C20" s="129">
        <v>3.51298320095065E14</v>
      </c>
    </row>
    <row r="21">
      <c r="A21" s="158"/>
      <c r="B21" s="152"/>
    </row>
    <row r="22">
      <c r="A22" s="158"/>
      <c r="B22" s="158"/>
    </row>
    <row r="23">
      <c r="A23" s="158"/>
      <c r="B23" s="158"/>
    </row>
    <row r="24">
      <c r="A24" s="158"/>
      <c r="B24" s="158"/>
    </row>
    <row r="25">
      <c r="A25" s="158"/>
      <c r="B25" s="158"/>
    </row>
    <row r="26">
      <c r="A26" s="158"/>
      <c r="B26" s="158"/>
    </row>
    <row r="27">
      <c r="A27" s="158"/>
      <c r="B27" s="158"/>
    </row>
    <row r="28">
      <c r="A28" s="158"/>
      <c r="B28" s="158"/>
    </row>
    <row r="29">
      <c r="A29" s="158"/>
      <c r="B29" s="158"/>
    </row>
    <row r="30">
      <c r="A30" s="158"/>
      <c r="B30" s="158"/>
    </row>
    <row r="31">
      <c r="A31" s="158"/>
      <c r="B31" s="158"/>
    </row>
    <row r="32">
      <c r="A32" s="158"/>
      <c r="B32" s="158"/>
    </row>
    <row r="33">
      <c r="A33" s="158"/>
      <c r="B33" s="158"/>
    </row>
    <row r="34">
      <c r="A34" s="158"/>
      <c r="B34" s="158"/>
    </row>
    <row r="35">
      <c r="A35" s="158"/>
      <c r="B35" s="158"/>
    </row>
    <row r="36">
      <c r="A36" s="158"/>
      <c r="B36" s="158"/>
    </row>
    <row r="37">
      <c r="A37" s="158"/>
      <c r="B37" s="158"/>
    </row>
    <row r="38">
      <c r="A38" s="158"/>
      <c r="B38" s="158"/>
    </row>
    <row r="39">
      <c r="A39" s="158"/>
      <c r="B39" s="158"/>
    </row>
    <row r="40">
      <c r="A40" s="158"/>
      <c r="B40" s="158"/>
    </row>
    <row r="41">
      <c r="A41" s="158"/>
      <c r="B41" s="158"/>
    </row>
    <row r="42">
      <c r="A42" s="158"/>
      <c r="B42" s="158"/>
    </row>
    <row r="43">
      <c r="A43" s="158"/>
      <c r="B43" s="158"/>
    </row>
    <row r="44">
      <c r="A44" s="158"/>
      <c r="B44" s="158"/>
    </row>
    <row r="45">
      <c r="A45" s="158"/>
      <c r="B45" s="158"/>
    </row>
    <row r="46">
      <c r="A46" s="158"/>
      <c r="B46" s="158"/>
    </row>
    <row r="47">
      <c r="A47" s="158"/>
      <c r="B47" s="158"/>
    </row>
    <row r="48">
      <c r="A48" s="158"/>
      <c r="B48" s="158"/>
    </row>
    <row r="49">
      <c r="A49" s="158"/>
      <c r="B49" s="158"/>
    </row>
    <row r="50">
      <c r="A50" s="158"/>
      <c r="B50" s="158"/>
    </row>
    <row r="51">
      <c r="A51" s="158"/>
      <c r="B51" s="158"/>
    </row>
    <row r="52">
      <c r="A52" s="158"/>
      <c r="B52" s="158"/>
    </row>
    <row r="53">
      <c r="A53" s="158"/>
      <c r="B53" s="158"/>
    </row>
    <row r="54">
      <c r="A54" s="158"/>
      <c r="B54" s="158"/>
    </row>
    <row r="55">
      <c r="A55" s="158"/>
      <c r="B55" s="158"/>
    </row>
    <row r="56">
      <c r="A56" s="158"/>
      <c r="B56" s="158"/>
    </row>
    <row r="57">
      <c r="A57" s="158"/>
      <c r="B57" s="158"/>
    </row>
    <row r="58">
      <c r="A58" s="158"/>
      <c r="B58" s="158"/>
    </row>
    <row r="59">
      <c r="A59" s="158"/>
      <c r="B59" s="158"/>
    </row>
    <row r="60">
      <c r="A60" s="158"/>
      <c r="B60" s="158"/>
    </row>
    <row r="61">
      <c r="A61" s="158"/>
      <c r="B61" s="158"/>
    </row>
    <row r="62">
      <c r="A62" s="158"/>
      <c r="B62" s="158"/>
    </row>
    <row r="63">
      <c r="A63" s="158"/>
      <c r="B63" s="158"/>
    </row>
    <row r="64">
      <c r="A64" s="158"/>
      <c r="B64" s="158"/>
    </row>
    <row r="65">
      <c r="A65" s="158"/>
      <c r="B65" s="158"/>
    </row>
    <row r="66">
      <c r="A66" s="158"/>
      <c r="B66" s="158"/>
    </row>
    <row r="67">
      <c r="A67" s="158"/>
      <c r="B67" s="158"/>
    </row>
    <row r="68">
      <c r="A68" s="158"/>
      <c r="B68" s="158"/>
    </row>
    <row r="69">
      <c r="A69" s="158"/>
      <c r="B69" s="158"/>
    </row>
    <row r="70">
      <c r="A70" s="158"/>
      <c r="B70" s="158"/>
    </row>
    <row r="71">
      <c r="A71" s="158"/>
      <c r="B71" s="158"/>
    </row>
    <row r="72">
      <c r="A72" s="158"/>
      <c r="B72" s="158"/>
    </row>
    <row r="73">
      <c r="A73" s="158"/>
      <c r="B73" s="158"/>
    </row>
    <row r="74">
      <c r="A74" s="158"/>
      <c r="B74" s="158"/>
    </row>
    <row r="75">
      <c r="A75" s="158"/>
      <c r="B75" s="158"/>
    </row>
    <row r="76">
      <c r="A76" s="158"/>
      <c r="B76" s="158"/>
    </row>
    <row r="77">
      <c r="A77" s="158"/>
      <c r="B77" s="158"/>
    </row>
    <row r="78">
      <c r="A78" s="158"/>
      <c r="B78" s="158"/>
    </row>
    <row r="79">
      <c r="A79" s="158"/>
      <c r="B79" s="158"/>
    </row>
    <row r="80">
      <c r="A80" s="158"/>
      <c r="B80" s="158"/>
    </row>
    <row r="81">
      <c r="A81" s="158"/>
      <c r="B81" s="158"/>
    </row>
    <row r="82">
      <c r="A82" s="158"/>
      <c r="B82" s="158"/>
    </row>
    <row r="83">
      <c r="A83" s="158"/>
      <c r="B83" s="158"/>
    </row>
    <row r="84">
      <c r="A84" s="158"/>
      <c r="B84" s="158"/>
    </row>
    <row r="85">
      <c r="A85" s="158"/>
      <c r="B85" s="158"/>
    </row>
    <row r="86">
      <c r="A86" s="158"/>
      <c r="B86" s="158"/>
    </row>
    <row r="87">
      <c r="A87" s="158"/>
      <c r="B87" s="158"/>
    </row>
    <row r="88">
      <c r="A88" s="158"/>
      <c r="B88" s="158"/>
    </row>
    <row r="89">
      <c r="A89" s="158"/>
      <c r="B89" s="158"/>
    </row>
    <row r="90">
      <c r="A90" s="158"/>
      <c r="B90" s="158"/>
    </row>
    <row r="91">
      <c r="A91" s="158"/>
      <c r="B91" s="158"/>
    </row>
    <row r="92">
      <c r="A92" s="158"/>
      <c r="B92" s="158"/>
    </row>
    <row r="93">
      <c r="A93" s="158"/>
      <c r="B93" s="158"/>
    </row>
    <row r="94">
      <c r="A94" s="158"/>
      <c r="B94" s="158"/>
    </row>
    <row r="95">
      <c r="A95" s="158"/>
      <c r="B95" s="158"/>
    </row>
    <row r="96">
      <c r="A96" s="158"/>
      <c r="B96" s="158"/>
    </row>
    <row r="97">
      <c r="A97" s="158"/>
      <c r="B97" s="158"/>
    </row>
    <row r="98">
      <c r="A98" s="158"/>
      <c r="B98" s="158"/>
    </row>
    <row r="99">
      <c r="A99" s="158"/>
      <c r="B99" s="158"/>
    </row>
    <row r="100">
      <c r="A100" s="158"/>
      <c r="B100" s="158"/>
    </row>
    <row r="101">
      <c r="A101" s="158"/>
      <c r="B101" s="158"/>
    </row>
    <row r="102">
      <c r="A102" s="158"/>
      <c r="B102" s="158"/>
    </row>
    <row r="103">
      <c r="A103" s="158"/>
      <c r="B103" s="158"/>
    </row>
    <row r="104">
      <c r="A104" s="158"/>
      <c r="B104" s="158"/>
    </row>
    <row r="105">
      <c r="A105" s="158"/>
      <c r="B105" s="158"/>
    </row>
    <row r="106">
      <c r="A106" s="158"/>
      <c r="B106" s="158"/>
    </row>
    <row r="107">
      <c r="A107" s="158"/>
      <c r="B107" s="158"/>
    </row>
    <row r="108">
      <c r="A108" s="158"/>
      <c r="B108" s="158"/>
    </row>
    <row r="109">
      <c r="A109" s="158"/>
      <c r="B109" s="158"/>
    </row>
    <row r="110">
      <c r="A110" s="158"/>
      <c r="B110" s="158"/>
    </row>
    <row r="111">
      <c r="A111" s="158"/>
      <c r="B111" s="158"/>
    </row>
    <row r="112">
      <c r="A112" s="158"/>
      <c r="B112" s="158"/>
    </row>
    <row r="113">
      <c r="A113" s="158"/>
      <c r="B113" s="158"/>
    </row>
    <row r="114">
      <c r="A114" s="158"/>
      <c r="B114" s="158"/>
    </row>
    <row r="115">
      <c r="A115" s="158"/>
      <c r="B115" s="158"/>
    </row>
    <row r="116">
      <c r="A116" s="158"/>
      <c r="B116" s="158"/>
    </row>
    <row r="117">
      <c r="A117" s="158"/>
      <c r="B117" s="158"/>
    </row>
    <row r="118">
      <c r="A118" s="158"/>
      <c r="B118" s="158"/>
    </row>
    <row r="119">
      <c r="A119" s="158"/>
      <c r="B119" s="158"/>
    </row>
    <row r="120">
      <c r="A120" s="158"/>
      <c r="B120" s="158"/>
    </row>
    <row r="121">
      <c r="A121" s="158"/>
      <c r="B121" s="158"/>
    </row>
    <row r="122">
      <c r="A122" s="158"/>
      <c r="B122" s="158"/>
    </row>
    <row r="123">
      <c r="A123" s="158"/>
      <c r="B123" s="158"/>
    </row>
    <row r="124">
      <c r="A124" s="158"/>
      <c r="B124" s="158"/>
    </row>
    <row r="125">
      <c r="A125" s="158"/>
      <c r="B125" s="158"/>
    </row>
    <row r="126">
      <c r="A126" s="158"/>
      <c r="B126" s="158"/>
    </row>
    <row r="127">
      <c r="A127" s="158"/>
      <c r="B127" s="158"/>
    </row>
    <row r="128">
      <c r="A128" s="158"/>
      <c r="B128" s="158"/>
    </row>
    <row r="129">
      <c r="A129" s="158"/>
      <c r="B129" s="158"/>
    </row>
    <row r="130">
      <c r="A130" s="158"/>
      <c r="B130" s="158"/>
    </row>
    <row r="131">
      <c r="A131" s="158"/>
      <c r="B131" s="158"/>
    </row>
    <row r="132">
      <c r="A132" s="158"/>
      <c r="B132" s="158"/>
    </row>
    <row r="133">
      <c r="A133" s="158"/>
      <c r="B133" s="158"/>
    </row>
    <row r="134">
      <c r="A134" s="158"/>
      <c r="B134" s="158"/>
    </row>
    <row r="135">
      <c r="A135" s="158"/>
      <c r="B135" s="158"/>
    </row>
    <row r="136">
      <c r="A136" s="158"/>
      <c r="B136" s="158"/>
    </row>
    <row r="137">
      <c r="A137" s="158"/>
      <c r="B137" s="158"/>
    </row>
    <row r="138">
      <c r="A138" s="158"/>
      <c r="B138" s="158"/>
    </row>
    <row r="139">
      <c r="A139" s="158"/>
      <c r="B139" s="158"/>
    </row>
    <row r="140">
      <c r="A140" s="158"/>
      <c r="B140" s="158"/>
    </row>
    <row r="141">
      <c r="A141" s="158"/>
      <c r="B141" s="158"/>
    </row>
    <row r="142">
      <c r="A142" s="158"/>
      <c r="B142" s="158"/>
    </row>
    <row r="143">
      <c r="A143" s="158"/>
      <c r="B143" s="158"/>
    </row>
    <row r="144">
      <c r="A144" s="158"/>
      <c r="B144" s="158"/>
    </row>
    <row r="145">
      <c r="A145" s="158"/>
      <c r="B145" s="158"/>
    </row>
    <row r="146">
      <c r="A146" s="158"/>
      <c r="B146" s="158"/>
    </row>
    <row r="147">
      <c r="A147" s="158"/>
      <c r="B147" s="158"/>
    </row>
    <row r="148">
      <c r="A148" s="158"/>
      <c r="B148" s="158"/>
    </row>
    <row r="149">
      <c r="A149" s="158"/>
      <c r="B149" s="158"/>
    </row>
    <row r="150">
      <c r="A150" s="158"/>
      <c r="B150" s="158"/>
    </row>
    <row r="151">
      <c r="A151" s="158"/>
      <c r="B151" s="158"/>
    </row>
    <row r="152">
      <c r="A152" s="158"/>
      <c r="B152" s="158"/>
    </row>
    <row r="153">
      <c r="A153" s="158"/>
      <c r="B153" s="158"/>
    </row>
    <row r="154">
      <c r="A154" s="158"/>
      <c r="B154" s="158"/>
    </row>
    <row r="155">
      <c r="A155" s="158"/>
      <c r="B155" s="158"/>
    </row>
    <row r="156">
      <c r="A156" s="158"/>
      <c r="B156" s="158"/>
    </row>
    <row r="157">
      <c r="A157" s="158"/>
      <c r="B157" s="158"/>
    </row>
    <row r="158">
      <c r="A158" s="158"/>
      <c r="B158" s="158"/>
    </row>
    <row r="159">
      <c r="A159" s="158"/>
      <c r="B159" s="158"/>
    </row>
    <row r="160">
      <c r="A160" s="158"/>
      <c r="B160" s="158"/>
    </row>
    <row r="161">
      <c r="A161" s="158"/>
      <c r="B161" s="158"/>
    </row>
    <row r="162">
      <c r="A162" s="158"/>
      <c r="B162" s="158"/>
    </row>
    <row r="163">
      <c r="A163" s="158"/>
      <c r="B163" s="158"/>
    </row>
    <row r="164">
      <c r="A164" s="158"/>
      <c r="B164" s="158"/>
    </row>
    <row r="165">
      <c r="A165" s="158"/>
      <c r="B165" s="158"/>
    </row>
    <row r="166">
      <c r="A166" s="158"/>
      <c r="B166" s="158"/>
    </row>
    <row r="167">
      <c r="A167" s="158"/>
      <c r="B167" s="158"/>
    </row>
    <row r="168">
      <c r="A168" s="158"/>
      <c r="B168" s="158"/>
    </row>
    <row r="169">
      <c r="A169" s="158"/>
      <c r="B169" s="158"/>
    </row>
    <row r="170">
      <c r="A170" s="158"/>
      <c r="B170" s="158"/>
    </row>
    <row r="171">
      <c r="A171" s="158"/>
      <c r="B171" s="158"/>
    </row>
    <row r="172">
      <c r="A172" s="158"/>
      <c r="B172" s="158"/>
    </row>
    <row r="173">
      <c r="A173" s="158"/>
      <c r="B173" s="158"/>
    </row>
    <row r="174">
      <c r="A174" s="158"/>
      <c r="B174" s="158"/>
    </row>
    <row r="175">
      <c r="A175" s="158"/>
      <c r="B175" s="158"/>
    </row>
    <row r="176">
      <c r="A176" s="158"/>
      <c r="B176" s="158"/>
    </row>
    <row r="177">
      <c r="A177" s="158"/>
      <c r="B177" s="158"/>
    </row>
    <row r="178">
      <c r="A178" s="158"/>
      <c r="B178" s="158"/>
    </row>
    <row r="179">
      <c r="A179" s="158"/>
      <c r="B179" s="158"/>
    </row>
    <row r="180">
      <c r="A180" s="158"/>
      <c r="B180" s="158"/>
    </row>
    <row r="181">
      <c r="A181" s="158"/>
      <c r="B181" s="158"/>
    </row>
    <row r="182">
      <c r="A182" s="158"/>
      <c r="B182" s="158"/>
    </row>
    <row r="183">
      <c r="A183" s="158"/>
      <c r="B183" s="158"/>
    </row>
    <row r="184">
      <c r="A184" s="158"/>
      <c r="B184" s="158"/>
    </row>
    <row r="185">
      <c r="A185" s="158"/>
      <c r="B185" s="158"/>
    </row>
    <row r="186">
      <c r="A186" s="158"/>
      <c r="B186" s="158"/>
    </row>
    <row r="187">
      <c r="A187" s="158"/>
      <c r="B187" s="158"/>
    </row>
    <row r="188">
      <c r="A188" s="158"/>
      <c r="B188" s="158"/>
    </row>
    <row r="189">
      <c r="A189" s="158"/>
      <c r="B189" s="158"/>
    </row>
    <row r="190">
      <c r="A190" s="158"/>
      <c r="B190" s="158"/>
    </row>
    <row r="191">
      <c r="A191" s="158"/>
      <c r="B191" s="158"/>
    </row>
    <row r="192">
      <c r="A192" s="158"/>
      <c r="B192" s="158"/>
    </row>
    <row r="193">
      <c r="A193" s="158"/>
      <c r="B193" s="158"/>
    </row>
    <row r="194">
      <c r="A194" s="158"/>
      <c r="B194" s="158"/>
    </row>
    <row r="195">
      <c r="A195" s="158"/>
      <c r="B195" s="158"/>
    </row>
    <row r="196">
      <c r="A196" s="158"/>
      <c r="B196" s="158"/>
    </row>
    <row r="197">
      <c r="A197" s="158"/>
      <c r="B197" s="158"/>
    </row>
    <row r="198">
      <c r="A198" s="158"/>
      <c r="B198" s="158"/>
    </row>
    <row r="199">
      <c r="A199" s="158"/>
      <c r="B199" s="158"/>
    </row>
    <row r="200">
      <c r="A200" s="158"/>
      <c r="B200" s="158"/>
    </row>
    <row r="201">
      <c r="A201" s="158"/>
      <c r="B201" s="158"/>
    </row>
    <row r="202">
      <c r="A202" s="158"/>
      <c r="B202" s="158"/>
    </row>
    <row r="203">
      <c r="A203" s="158"/>
      <c r="B203" s="158"/>
    </row>
    <row r="204">
      <c r="A204" s="158"/>
      <c r="B204" s="158"/>
    </row>
    <row r="205">
      <c r="A205" s="158"/>
      <c r="B205" s="158"/>
    </row>
    <row r="206">
      <c r="A206" s="158"/>
      <c r="B206" s="158"/>
    </row>
    <row r="207">
      <c r="A207" s="158"/>
      <c r="B207" s="158"/>
    </row>
    <row r="208">
      <c r="A208" s="158"/>
      <c r="B208" s="158"/>
    </row>
    <row r="209">
      <c r="A209" s="158"/>
      <c r="B209" s="158"/>
    </row>
    <row r="210">
      <c r="A210" s="158"/>
      <c r="B210" s="158"/>
    </row>
    <row r="211">
      <c r="A211" s="158"/>
      <c r="B211" s="158"/>
    </row>
    <row r="212">
      <c r="A212" s="158"/>
      <c r="B212" s="158"/>
    </row>
    <row r="213">
      <c r="A213" s="158"/>
      <c r="B213" s="158"/>
    </row>
    <row r="214">
      <c r="A214" s="158"/>
      <c r="B214" s="158"/>
    </row>
    <row r="215">
      <c r="A215" s="158"/>
      <c r="B215" s="158"/>
    </row>
    <row r="216">
      <c r="A216" s="158"/>
      <c r="B216" s="158"/>
    </row>
    <row r="217">
      <c r="A217" s="158"/>
      <c r="B217" s="158"/>
    </row>
    <row r="218">
      <c r="A218" s="158"/>
      <c r="B218" s="158"/>
    </row>
    <row r="219">
      <c r="A219" s="158"/>
      <c r="B219" s="158"/>
    </row>
    <row r="220">
      <c r="A220" s="158"/>
      <c r="B220" s="158"/>
    </row>
    <row r="221">
      <c r="A221" s="158"/>
      <c r="B221" s="158"/>
    </row>
    <row r="222">
      <c r="A222" s="158"/>
      <c r="B222" s="158"/>
    </row>
    <row r="223">
      <c r="A223" s="158"/>
      <c r="B223" s="158"/>
    </row>
    <row r="224">
      <c r="A224" s="158"/>
      <c r="B224" s="158"/>
    </row>
    <row r="225">
      <c r="A225" s="158"/>
      <c r="B225" s="158"/>
    </row>
    <row r="226">
      <c r="A226" s="158"/>
      <c r="B226" s="158"/>
    </row>
    <row r="227">
      <c r="A227" s="158"/>
      <c r="B227" s="158"/>
    </row>
    <row r="228">
      <c r="A228" s="158"/>
      <c r="B228" s="158"/>
    </row>
    <row r="229">
      <c r="A229" s="158"/>
      <c r="B229" s="158"/>
    </row>
    <row r="230">
      <c r="A230" s="158"/>
      <c r="B230" s="158"/>
    </row>
    <row r="231">
      <c r="A231" s="158"/>
      <c r="B231" s="158"/>
    </row>
    <row r="232">
      <c r="A232" s="158"/>
      <c r="B232" s="158"/>
    </row>
    <row r="233">
      <c r="A233" s="158"/>
      <c r="B233" s="158"/>
    </row>
    <row r="234">
      <c r="A234" s="158"/>
      <c r="B234" s="158"/>
    </row>
    <row r="235">
      <c r="A235" s="158"/>
      <c r="B235" s="158"/>
    </row>
    <row r="236">
      <c r="A236" s="158"/>
      <c r="B236" s="158"/>
    </row>
    <row r="237">
      <c r="A237" s="158"/>
      <c r="B237" s="158"/>
    </row>
    <row r="238">
      <c r="A238" s="158"/>
      <c r="B238" s="158"/>
    </row>
    <row r="239">
      <c r="A239" s="158"/>
      <c r="B239" s="158"/>
    </row>
    <row r="240">
      <c r="A240" s="158"/>
      <c r="B240" s="158"/>
    </row>
    <row r="241">
      <c r="A241" s="158"/>
      <c r="B241" s="158"/>
    </row>
    <row r="242">
      <c r="A242" s="158"/>
      <c r="B242" s="158"/>
    </row>
    <row r="243">
      <c r="A243" s="158"/>
      <c r="B243" s="158"/>
    </row>
    <row r="244">
      <c r="A244" s="158"/>
      <c r="B244" s="158"/>
    </row>
    <row r="245">
      <c r="A245" s="158"/>
      <c r="B245" s="158"/>
    </row>
    <row r="246">
      <c r="A246" s="158"/>
      <c r="B246" s="158"/>
    </row>
    <row r="247">
      <c r="A247" s="158"/>
      <c r="B247" s="158"/>
    </row>
    <row r="248">
      <c r="A248" s="158"/>
      <c r="B248" s="158"/>
    </row>
    <row r="249">
      <c r="A249" s="158"/>
      <c r="B249" s="158"/>
    </row>
    <row r="250">
      <c r="A250" s="158"/>
      <c r="B250" s="158"/>
    </row>
    <row r="251">
      <c r="A251" s="158"/>
      <c r="B251" s="158"/>
    </row>
    <row r="252">
      <c r="A252" s="158"/>
      <c r="B252" s="158"/>
    </row>
    <row r="253">
      <c r="A253" s="158"/>
      <c r="B253" s="158"/>
    </row>
    <row r="254">
      <c r="A254" s="158"/>
      <c r="B254" s="158"/>
    </row>
    <row r="255">
      <c r="A255" s="158"/>
      <c r="B255" s="158"/>
    </row>
    <row r="256">
      <c r="A256" s="158"/>
      <c r="B256" s="158"/>
    </row>
    <row r="257">
      <c r="A257" s="158"/>
      <c r="B257" s="158"/>
    </row>
    <row r="258">
      <c r="A258" s="158"/>
      <c r="B258" s="158"/>
    </row>
    <row r="259">
      <c r="A259" s="158"/>
      <c r="B259" s="158"/>
    </row>
    <row r="260">
      <c r="A260" s="158"/>
      <c r="B260" s="158"/>
    </row>
    <row r="261">
      <c r="A261" s="158"/>
      <c r="B261" s="158"/>
    </row>
    <row r="262">
      <c r="A262" s="158"/>
      <c r="B262" s="158"/>
    </row>
    <row r="263">
      <c r="A263" s="158"/>
      <c r="B263" s="158"/>
    </row>
    <row r="264">
      <c r="A264" s="158"/>
      <c r="B264" s="158"/>
    </row>
    <row r="265">
      <c r="A265" s="158"/>
      <c r="B265" s="158"/>
    </row>
    <row r="266">
      <c r="A266" s="158"/>
      <c r="B266" s="158"/>
    </row>
    <row r="267">
      <c r="A267" s="158"/>
      <c r="B267" s="158"/>
    </row>
    <row r="268">
      <c r="A268" s="158"/>
      <c r="B268" s="158"/>
    </row>
    <row r="269">
      <c r="A269" s="158"/>
      <c r="B269" s="158"/>
    </row>
    <row r="270">
      <c r="A270" s="158"/>
      <c r="B270" s="158"/>
    </row>
    <row r="271">
      <c r="A271" s="158"/>
      <c r="B271" s="158"/>
    </row>
    <row r="272">
      <c r="A272" s="158"/>
      <c r="B272" s="158"/>
    </row>
    <row r="273">
      <c r="A273" s="158"/>
      <c r="B273" s="158"/>
    </row>
    <row r="274">
      <c r="A274" s="158"/>
      <c r="B274" s="158"/>
    </row>
    <row r="275">
      <c r="A275" s="158"/>
      <c r="B275" s="158"/>
    </row>
    <row r="276">
      <c r="A276" s="158"/>
      <c r="B276" s="158"/>
    </row>
    <row r="277">
      <c r="A277" s="158"/>
      <c r="B277" s="158"/>
    </row>
    <row r="278">
      <c r="A278" s="158"/>
      <c r="B278" s="158"/>
    </row>
    <row r="279">
      <c r="A279" s="158"/>
      <c r="B279" s="158"/>
    </row>
    <row r="280">
      <c r="A280" s="158"/>
      <c r="B280" s="158"/>
    </row>
    <row r="281">
      <c r="A281" s="158"/>
      <c r="B281" s="158"/>
    </row>
    <row r="282">
      <c r="A282" s="158"/>
      <c r="B282" s="158"/>
    </row>
    <row r="283">
      <c r="A283" s="158"/>
      <c r="B283" s="158"/>
    </row>
    <row r="284">
      <c r="A284" s="158"/>
      <c r="B284" s="158"/>
    </row>
    <row r="285">
      <c r="A285" s="158"/>
      <c r="B285" s="158"/>
    </row>
    <row r="286">
      <c r="A286" s="158"/>
      <c r="B286" s="158"/>
    </row>
    <row r="287">
      <c r="A287" s="158"/>
      <c r="B287" s="158"/>
    </row>
    <row r="288">
      <c r="A288" s="158"/>
      <c r="B288" s="158"/>
    </row>
    <row r="289">
      <c r="A289" s="158"/>
      <c r="B289" s="158"/>
    </row>
    <row r="290">
      <c r="A290" s="158"/>
      <c r="B290" s="158"/>
    </row>
    <row r="291">
      <c r="A291" s="158"/>
      <c r="B291" s="158"/>
    </row>
    <row r="292">
      <c r="A292" s="158"/>
      <c r="B292" s="158"/>
    </row>
    <row r="293">
      <c r="A293" s="158"/>
      <c r="B293" s="158"/>
    </row>
    <row r="294">
      <c r="A294" s="158"/>
      <c r="B294" s="158"/>
    </row>
    <row r="295">
      <c r="A295" s="158"/>
      <c r="B295" s="158"/>
    </row>
    <row r="296">
      <c r="A296" s="158"/>
      <c r="B296" s="158"/>
    </row>
    <row r="297">
      <c r="A297" s="158"/>
      <c r="B297" s="158"/>
    </row>
    <row r="298">
      <c r="A298" s="158"/>
      <c r="B298" s="158"/>
    </row>
    <row r="299">
      <c r="A299" s="158"/>
      <c r="B299" s="158"/>
    </row>
    <row r="300">
      <c r="A300" s="158"/>
      <c r="B300" s="158"/>
    </row>
    <row r="301">
      <c r="A301" s="158"/>
      <c r="B301" s="158"/>
    </row>
    <row r="302">
      <c r="A302" s="158"/>
      <c r="B302" s="158"/>
    </row>
    <row r="303">
      <c r="A303" s="158"/>
      <c r="B303" s="158"/>
    </row>
    <row r="304">
      <c r="A304" s="158"/>
      <c r="B304" s="158"/>
    </row>
    <row r="305">
      <c r="A305" s="158"/>
      <c r="B305" s="158"/>
    </row>
    <row r="306">
      <c r="A306" s="158"/>
      <c r="B306" s="158"/>
    </row>
    <row r="307">
      <c r="A307" s="158"/>
      <c r="B307" s="158"/>
    </row>
    <row r="308">
      <c r="A308" s="158"/>
      <c r="B308" s="158"/>
    </row>
    <row r="309">
      <c r="A309" s="158"/>
      <c r="B309" s="158"/>
    </row>
    <row r="310">
      <c r="A310" s="158"/>
      <c r="B310" s="158"/>
    </row>
    <row r="311">
      <c r="A311" s="158"/>
      <c r="B311" s="158"/>
    </row>
    <row r="312">
      <c r="A312" s="158"/>
      <c r="B312" s="158"/>
    </row>
    <row r="313">
      <c r="A313" s="158"/>
      <c r="B313" s="158"/>
    </row>
    <row r="314">
      <c r="A314" s="158"/>
      <c r="B314" s="158"/>
    </row>
    <row r="315">
      <c r="A315" s="158"/>
      <c r="B315" s="158"/>
    </row>
    <row r="316">
      <c r="A316" s="158"/>
      <c r="B316" s="158"/>
    </row>
    <row r="317">
      <c r="A317" s="158"/>
      <c r="B317" s="158"/>
    </row>
    <row r="318">
      <c r="A318" s="158"/>
      <c r="B318" s="158"/>
    </row>
    <row r="319">
      <c r="A319" s="158"/>
      <c r="B319" s="158"/>
    </row>
    <row r="320">
      <c r="A320" s="158"/>
      <c r="B320" s="158"/>
    </row>
    <row r="321">
      <c r="A321" s="158"/>
      <c r="B321" s="158"/>
    </row>
    <row r="322">
      <c r="A322" s="158"/>
      <c r="B322" s="158"/>
    </row>
    <row r="323">
      <c r="A323" s="158"/>
      <c r="B323" s="158"/>
    </row>
    <row r="324">
      <c r="A324" s="158"/>
      <c r="B324" s="158"/>
    </row>
    <row r="325">
      <c r="A325" s="158"/>
      <c r="B325" s="158"/>
    </row>
    <row r="326">
      <c r="A326" s="158"/>
      <c r="B326" s="158"/>
    </row>
    <row r="327">
      <c r="A327" s="158"/>
      <c r="B327" s="158"/>
    </row>
    <row r="328">
      <c r="A328" s="158"/>
      <c r="B328" s="158"/>
    </row>
    <row r="329">
      <c r="A329" s="158"/>
      <c r="B329" s="158"/>
    </row>
    <row r="330">
      <c r="A330" s="158"/>
      <c r="B330" s="158"/>
    </row>
    <row r="331">
      <c r="A331" s="158"/>
      <c r="B331" s="158"/>
    </row>
    <row r="332">
      <c r="A332" s="158"/>
      <c r="B332" s="158"/>
    </row>
    <row r="333">
      <c r="A333" s="158"/>
      <c r="B333" s="158"/>
    </row>
    <row r="334">
      <c r="A334" s="158"/>
      <c r="B334" s="158"/>
    </row>
    <row r="335">
      <c r="A335" s="158"/>
      <c r="B335" s="158"/>
    </row>
    <row r="336">
      <c r="A336" s="158"/>
      <c r="B336" s="158"/>
    </row>
    <row r="337">
      <c r="A337" s="158"/>
      <c r="B337" s="158"/>
    </row>
    <row r="338">
      <c r="A338" s="158"/>
      <c r="B338" s="158"/>
    </row>
    <row r="339">
      <c r="A339" s="158"/>
      <c r="B339" s="158"/>
    </row>
    <row r="340">
      <c r="A340" s="158"/>
      <c r="B340" s="158"/>
    </row>
    <row r="341">
      <c r="A341" s="158"/>
      <c r="B341" s="158"/>
    </row>
    <row r="342">
      <c r="A342" s="158"/>
      <c r="B342" s="158"/>
    </row>
    <row r="343">
      <c r="A343" s="158"/>
      <c r="B343" s="158"/>
    </row>
    <row r="344">
      <c r="A344" s="158"/>
      <c r="B344" s="158"/>
    </row>
    <row r="345">
      <c r="A345" s="158"/>
      <c r="B345" s="158"/>
    </row>
    <row r="346">
      <c r="A346" s="158"/>
      <c r="B346" s="158"/>
    </row>
    <row r="347">
      <c r="A347" s="158"/>
      <c r="B347" s="158"/>
    </row>
    <row r="348">
      <c r="A348" s="158"/>
      <c r="B348" s="158"/>
    </row>
    <row r="349">
      <c r="A349" s="158"/>
      <c r="B349" s="158"/>
    </row>
    <row r="350">
      <c r="A350" s="158"/>
      <c r="B350" s="158"/>
    </row>
    <row r="351">
      <c r="A351" s="158"/>
      <c r="B351" s="158"/>
    </row>
    <row r="352">
      <c r="A352" s="158"/>
      <c r="B352" s="158"/>
    </row>
    <row r="353">
      <c r="A353" s="158"/>
      <c r="B353" s="158"/>
    </row>
    <row r="354">
      <c r="A354" s="158"/>
      <c r="B354" s="158"/>
    </row>
    <row r="355">
      <c r="A355" s="158"/>
      <c r="B355" s="158"/>
    </row>
    <row r="356">
      <c r="A356" s="158"/>
      <c r="B356" s="158"/>
    </row>
    <row r="357">
      <c r="A357" s="158"/>
      <c r="B357" s="158"/>
    </row>
    <row r="358">
      <c r="A358" s="158"/>
      <c r="B358" s="158"/>
    </row>
    <row r="359">
      <c r="A359" s="158"/>
      <c r="B359" s="158"/>
    </row>
    <row r="360">
      <c r="A360" s="158"/>
      <c r="B360" s="158"/>
    </row>
    <row r="361">
      <c r="A361" s="158"/>
      <c r="B361" s="158"/>
    </row>
    <row r="362">
      <c r="A362" s="158"/>
      <c r="B362" s="158"/>
    </row>
    <row r="363">
      <c r="A363" s="158"/>
      <c r="B363" s="158"/>
    </row>
    <row r="364">
      <c r="A364" s="158"/>
      <c r="B364" s="158"/>
    </row>
    <row r="365">
      <c r="A365" s="158"/>
      <c r="B365" s="158"/>
    </row>
    <row r="366">
      <c r="A366" s="158"/>
      <c r="B366" s="158"/>
    </row>
    <row r="367">
      <c r="A367" s="158"/>
      <c r="B367" s="158"/>
    </row>
    <row r="368">
      <c r="A368" s="158"/>
      <c r="B368" s="158"/>
    </row>
    <row r="369">
      <c r="A369" s="158"/>
      <c r="B369" s="158"/>
    </row>
    <row r="370">
      <c r="A370" s="158"/>
      <c r="B370" s="158"/>
    </row>
    <row r="371">
      <c r="A371" s="158"/>
      <c r="B371" s="158"/>
    </row>
    <row r="372">
      <c r="A372" s="158"/>
      <c r="B372" s="158"/>
    </row>
    <row r="373">
      <c r="A373" s="158"/>
      <c r="B373" s="158"/>
    </row>
    <row r="374">
      <c r="A374" s="158"/>
      <c r="B374" s="158"/>
    </row>
    <row r="375">
      <c r="A375" s="158"/>
      <c r="B375" s="158"/>
    </row>
    <row r="376">
      <c r="A376" s="158"/>
      <c r="B376" s="158"/>
    </row>
    <row r="377">
      <c r="A377" s="158"/>
      <c r="B377" s="158"/>
    </row>
    <row r="378">
      <c r="A378" s="158"/>
      <c r="B378" s="158"/>
    </row>
    <row r="379">
      <c r="A379" s="158"/>
      <c r="B379" s="158"/>
    </row>
    <row r="380">
      <c r="A380" s="158"/>
      <c r="B380" s="158"/>
    </row>
    <row r="381">
      <c r="A381" s="158"/>
      <c r="B381" s="158"/>
    </row>
    <row r="382">
      <c r="A382" s="158"/>
      <c r="B382" s="158"/>
    </row>
    <row r="383">
      <c r="A383" s="158"/>
      <c r="B383" s="158"/>
    </row>
    <row r="384">
      <c r="A384" s="158"/>
      <c r="B384" s="158"/>
    </row>
    <row r="385">
      <c r="A385" s="158"/>
      <c r="B385" s="158"/>
    </row>
    <row r="386">
      <c r="A386" s="158"/>
      <c r="B386" s="158"/>
    </row>
    <row r="387">
      <c r="A387" s="158"/>
      <c r="B387" s="158"/>
    </row>
    <row r="388">
      <c r="A388" s="158"/>
      <c r="B388" s="158"/>
    </row>
    <row r="389">
      <c r="A389" s="158"/>
      <c r="B389" s="158"/>
    </row>
    <row r="390">
      <c r="A390" s="158"/>
      <c r="B390" s="158"/>
    </row>
    <row r="391">
      <c r="A391" s="158"/>
      <c r="B391" s="158"/>
    </row>
    <row r="392">
      <c r="A392" s="158"/>
      <c r="B392" s="158"/>
    </row>
    <row r="393">
      <c r="A393" s="158"/>
      <c r="B393" s="158"/>
    </row>
    <row r="394">
      <c r="A394" s="158"/>
      <c r="B394" s="158"/>
    </row>
    <row r="395">
      <c r="A395" s="158"/>
      <c r="B395" s="158"/>
    </row>
    <row r="396">
      <c r="A396" s="158"/>
      <c r="B396" s="158"/>
    </row>
    <row r="397">
      <c r="A397" s="158"/>
      <c r="B397" s="158"/>
    </row>
    <row r="398">
      <c r="A398" s="158"/>
      <c r="B398" s="158"/>
    </row>
    <row r="399">
      <c r="A399" s="158"/>
      <c r="B399" s="158"/>
    </row>
    <row r="400">
      <c r="A400" s="158"/>
      <c r="B400" s="158"/>
    </row>
    <row r="401">
      <c r="A401" s="158"/>
      <c r="B401" s="158"/>
    </row>
    <row r="402">
      <c r="A402" s="158"/>
      <c r="B402" s="158"/>
    </row>
    <row r="403">
      <c r="A403" s="158"/>
      <c r="B403" s="158"/>
    </row>
    <row r="404">
      <c r="A404" s="158"/>
      <c r="B404" s="158"/>
    </row>
    <row r="405">
      <c r="A405" s="158"/>
      <c r="B405" s="158"/>
    </row>
    <row r="406">
      <c r="A406" s="158"/>
      <c r="B406" s="158"/>
    </row>
    <row r="407">
      <c r="A407" s="158"/>
      <c r="B407" s="158"/>
    </row>
    <row r="408">
      <c r="A408" s="158"/>
      <c r="B408" s="158"/>
    </row>
    <row r="409">
      <c r="A409" s="158"/>
      <c r="B409" s="158"/>
    </row>
    <row r="410">
      <c r="A410" s="158"/>
      <c r="B410" s="158"/>
    </row>
    <row r="411">
      <c r="A411" s="158"/>
      <c r="B411" s="158"/>
    </row>
    <row r="412">
      <c r="A412" s="158"/>
      <c r="B412" s="158"/>
    </row>
    <row r="413">
      <c r="A413" s="158"/>
      <c r="B413" s="158"/>
    </row>
    <row r="414">
      <c r="A414" s="158"/>
      <c r="B414" s="158"/>
    </row>
    <row r="415">
      <c r="A415" s="158"/>
      <c r="B415" s="158"/>
    </row>
    <row r="416">
      <c r="A416" s="158"/>
      <c r="B416" s="158"/>
    </row>
    <row r="417">
      <c r="A417" s="158"/>
      <c r="B417" s="158"/>
    </row>
    <row r="418">
      <c r="A418" s="158"/>
      <c r="B418" s="158"/>
    </row>
    <row r="419">
      <c r="A419" s="158"/>
      <c r="B419" s="158"/>
    </row>
    <row r="420">
      <c r="A420" s="158"/>
      <c r="B420" s="158"/>
    </row>
    <row r="421">
      <c r="A421" s="158"/>
      <c r="B421" s="158"/>
    </row>
    <row r="422">
      <c r="A422" s="158"/>
      <c r="B422" s="158"/>
    </row>
    <row r="423">
      <c r="A423" s="158"/>
      <c r="B423" s="158"/>
    </row>
    <row r="424">
      <c r="A424" s="158"/>
      <c r="B424" s="158"/>
    </row>
    <row r="425">
      <c r="A425" s="158"/>
      <c r="B425" s="158"/>
    </row>
    <row r="426">
      <c r="A426" s="158"/>
      <c r="B426" s="158"/>
    </row>
    <row r="427">
      <c r="A427" s="158"/>
      <c r="B427" s="158"/>
    </row>
    <row r="428">
      <c r="A428" s="158"/>
      <c r="B428" s="158"/>
    </row>
    <row r="429">
      <c r="A429" s="158"/>
      <c r="B429" s="158"/>
    </row>
    <row r="430">
      <c r="A430" s="158"/>
      <c r="B430" s="158"/>
    </row>
    <row r="431">
      <c r="A431" s="158"/>
      <c r="B431" s="158"/>
    </row>
    <row r="432">
      <c r="A432" s="158"/>
      <c r="B432" s="158"/>
    </row>
    <row r="433">
      <c r="A433" s="158"/>
      <c r="B433" s="158"/>
    </row>
    <row r="434">
      <c r="A434" s="158"/>
      <c r="B434" s="158"/>
    </row>
    <row r="435">
      <c r="A435" s="158"/>
      <c r="B435" s="158"/>
    </row>
    <row r="436">
      <c r="A436" s="158"/>
      <c r="B436" s="158"/>
    </row>
    <row r="437">
      <c r="A437" s="158"/>
      <c r="B437" s="158"/>
    </row>
    <row r="438">
      <c r="A438" s="158"/>
      <c r="B438" s="158"/>
    </row>
    <row r="439">
      <c r="A439" s="158"/>
      <c r="B439" s="158"/>
    </row>
    <row r="440">
      <c r="A440" s="158"/>
      <c r="B440" s="158"/>
    </row>
    <row r="441">
      <c r="A441" s="158"/>
      <c r="B441" s="158"/>
    </row>
    <row r="442">
      <c r="A442" s="158"/>
      <c r="B442" s="158"/>
    </row>
    <row r="443">
      <c r="A443" s="158"/>
      <c r="B443" s="158"/>
    </row>
    <row r="444">
      <c r="A444" s="158"/>
      <c r="B444" s="158"/>
    </row>
    <row r="445">
      <c r="A445" s="158"/>
      <c r="B445" s="158"/>
    </row>
    <row r="446">
      <c r="A446" s="158"/>
      <c r="B446" s="158"/>
    </row>
    <row r="447">
      <c r="A447" s="158"/>
      <c r="B447" s="158"/>
    </row>
    <row r="448">
      <c r="A448" s="158"/>
      <c r="B448" s="158"/>
    </row>
    <row r="449">
      <c r="A449" s="158"/>
      <c r="B449" s="158"/>
    </row>
    <row r="450">
      <c r="A450" s="158"/>
      <c r="B450" s="158"/>
    </row>
    <row r="451">
      <c r="A451" s="158"/>
      <c r="B451" s="158"/>
    </row>
    <row r="452">
      <c r="A452" s="158"/>
      <c r="B452" s="158"/>
    </row>
    <row r="453">
      <c r="A453" s="158"/>
      <c r="B453" s="158"/>
    </row>
    <row r="454">
      <c r="A454" s="158"/>
      <c r="B454" s="158"/>
    </row>
    <row r="455">
      <c r="A455" s="158"/>
      <c r="B455" s="158"/>
    </row>
    <row r="456">
      <c r="A456" s="158"/>
      <c r="B456" s="158"/>
    </row>
    <row r="457">
      <c r="A457" s="158"/>
      <c r="B457" s="158"/>
    </row>
    <row r="458">
      <c r="A458" s="158"/>
      <c r="B458" s="158"/>
    </row>
    <row r="459">
      <c r="A459" s="158"/>
      <c r="B459" s="158"/>
    </row>
    <row r="460">
      <c r="A460" s="158"/>
      <c r="B460" s="158"/>
    </row>
    <row r="461">
      <c r="A461" s="158"/>
      <c r="B461" s="158"/>
    </row>
    <row r="462">
      <c r="A462" s="158"/>
      <c r="B462" s="158"/>
    </row>
    <row r="463">
      <c r="A463" s="158"/>
      <c r="B463" s="158"/>
    </row>
    <row r="464">
      <c r="A464" s="158"/>
      <c r="B464" s="158"/>
    </row>
    <row r="465">
      <c r="A465" s="158"/>
      <c r="B465" s="158"/>
    </row>
    <row r="466">
      <c r="A466" s="158"/>
      <c r="B466" s="158"/>
    </row>
    <row r="467">
      <c r="A467" s="158"/>
      <c r="B467" s="158"/>
    </row>
    <row r="468">
      <c r="A468" s="158"/>
      <c r="B468" s="158"/>
    </row>
    <row r="469">
      <c r="A469" s="158"/>
      <c r="B469" s="158"/>
    </row>
    <row r="470">
      <c r="A470" s="158"/>
      <c r="B470" s="158"/>
    </row>
    <row r="471">
      <c r="A471" s="158"/>
      <c r="B471" s="158"/>
    </row>
    <row r="472">
      <c r="A472" s="158"/>
      <c r="B472" s="158"/>
    </row>
    <row r="473">
      <c r="A473" s="158"/>
      <c r="B473" s="158"/>
    </row>
    <row r="474">
      <c r="A474" s="158"/>
      <c r="B474" s="158"/>
    </row>
    <row r="475">
      <c r="A475" s="158"/>
      <c r="B475" s="158"/>
    </row>
    <row r="476">
      <c r="A476" s="158"/>
      <c r="B476" s="158"/>
    </row>
    <row r="477">
      <c r="A477" s="158"/>
      <c r="B477" s="158"/>
    </row>
    <row r="478">
      <c r="A478" s="158"/>
      <c r="B478" s="158"/>
    </row>
    <row r="479">
      <c r="A479" s="158"/>
      <c r="B479" s="158"/>
    </row>
    <row r="480">
      <c r="A480" s="158"/>
      <c r="B480" s="158"/>
    </row>
    <row r="481">
      <c r="A481" s="158"/>
      <c r="B481" s="158"/>
    </row>
    <row r="482">
      <c r="A482" s="158"/>
      <c r="B482" s="158"/>
    </row>
    <row r="483">
      <c r="A483" s="158"/>
      <c r="B483" s="158"/>
    </row>
    <row r="484">
      <c r="A484" s="158"/>
      <c r="B484" s="158"/>
    </row>
    <row r="485">
      <c r="A485" s="158"/>
      <c r="B485" s="158"/>
    </row>
    <row r="486">
      <c r="A486" s="158"/>
      <c r="B486" s="158"/>
    </row>
    <row r="487">
      <c r="A487" s="158"/>
      <c r="B487" s="158"/>
    </row>
    <row r="488">
      <c r="A488" s="158"/>
      <c r="B488" s="158"/>
    </row>
    <row r="489">
      <c r="A489" s="158"/>
      <c r="B489" s="158"/>
    </row>
    <row r="490">
      <c r="A490" s="158"/>
      <c r="B490" s="158"/>
    </row>
    <row r="491">
      <c r="A491" s="158"/>
      <c r="B491" s="158"/>
    </row>
    <row r="492">
      <c r="A492" s="158"/>
      <c r="B492" s="158"/>
    </row>
    <row r="493">
      <c r="A493" s="158"/>
      <c r="B493" s="158"/>
    </row>
    <row r="494">
      <c r="A494" s="158"/>
      <c r="B494" s="158"/>
    </row>
    <row r="495">
      <c r="A495" s="158"/>
      <c r="B495" s="158"/>
    </row>
    <row r="496">
      <c r="A496" s="158"/>
      <c r="B496" s="158"/>
    </row>
    <row r="497">
      <c r="A497" s="158"/>
      <c r="B497" s="158"/>
    </row>
    <row r="498">
      <c r="A498" s="158"/>
      <c r="B498" s="158"/>
    </row>
    <row r="499">
      <c r="A499" s="158"/>
      <c r="B499" s="158"/>
    </row>
    <row r="500">
      <c r="A500" s="158"/>
      <c r="B500" s="158"/>
    </row>
    <row r="501">
      <c r="A501" s="158"/>
      <c r="B501" s="158"/>
    </row>
    <row r="502">
      <c r="A502" s="158"/>
      <c r="B502" s="158"/>
    </row>
    <row r="503">
      <c r="A503" s="158"/>
      <c r="B503" s="158"/>
    </row>
    <row r="504">
      <c r="A504" s="158"/>
      <c r="B504" s="158"/>
    </row>
    <row r="505">
      <c r="A505" s="158"/>
      <c r="B505" s="158"/>
    </row>
    <row r="506">
      <c r="A506" s="158"/>
      <c r="B506" s="158"/>
    </row>
    <row r="507">
      <c r="A507" s="158"/>
      <c r="B507" s="158"/>
    </row>
    <row r="508">
      <c r="A508" s="158"/>
      <c r="B508" s="158"/>
    </row>
    <row r="509">
      <c r="A509" s="158"/>
      <c r="B509" s="158"/>
    </row>
    <row r="510">
      <c r="A510" s="158"/>
      <c r="B510" s="158"/>
    </row>
    <row r="511">
      <c r="A511" s="158"/>
      <c r="B511" s="158"/>
    </row>
    <row r="512">
      <c r="A512" s="158"/>
      <c r="B512" s="158"/>
    </row>
    <row r="513">
      <c r="A513" s="158"/>
      <c r="B513" s="158"/>
    </row>
    <row r="514">
      <c r="A514" s="158"/>
      <c r="B514" s="158"/>
    </row>
    <row r="515">
      <c r="A515" s="158"/>
      <c r="B515" s="158"/>
    </row>
    <row r="516">
      <c r="A516" s="158"/>
      <c r="B516" s="158"/>
    </row>
    <row r="517">
      <c r="A517" s="158"/>
      <c r="B517" s="158"/>
    </row>
    <row r="518">
      <c r="A518" s="158"/>
      <c r="B518" s="158"/>
    </row>
    <row r="519">
      <c r="A519" s="158"/>
      <c r="B519" s="158"/>
    </row>
    <row r="520">
      <c r="A520" s="158"/>
      <c r="B520" s="158"/>
    </row>
    <row r="521">
      <c r="A521" s="158"/>
      <c r="B521" s="158"/>
    </row>
    <row r="522">
      <c r="A522" s="158"/>
      <c r="B522" s="158"/>
    </row>
    <row r="523">
      <c r="A523" s="158"/>
      <c r="B523" s="158"/>
    </row>
    <row r="524">
      <c r="A524" s="158"/>
      <c r="B524" s="158"/>
    </row>
    <row r="525">
      <c r="A525" s="158"/>
      <c r="B525" s="158"/>
    </row>
    <row r="526">
      <c r="A526" s="158"/>
      <c r="B526" s="158"/>
    </row>
    <row r="527">
      <c r="A527" s="158"/>
      <c r="B527" s="158"/>
    </row>
    <row r="528">
      <c r="A528" s="158"/>
      <c r="B528" s="158"/>
    </row>
    <row r="529">
      <c r="A529" s="158"/>
      <c r="B529" s="158"/>
    </row>
    <row r="530">
      <c r="A530" s="158"/>
      <c r="B530" s="158"/>
    </row>
    <row r="531">
      <c r="A531" s="158"/>
      <c r="B531" s="158"/>
    </row>
    <row r="532">
      <c r="A532" s="158"/>
      <c r="B532" s="158"/>
    </row>
    <row r="533">
      <c r="A533" s="158"/>
      <c r="B533" s="158"/>
    </row>
    <row r="534">
      <c r="A534" s="158"/>
      <c r="B534" s="158"/>
    </row>
    <row r="535">
      <c r="A535" s="158"/>
      <c r="B535" s="158"/>
    </row>
    <row r="536">
      <c r="A536" s="158"/>
      <c r="B536" s="158"/>
    </row>
    <row r="537">
      <c r="A537" s="158"/>
      <c r="B537" s="158"/>
    </row>
    <row r="538">
      <c r="A538" s="158"/>
      <c r="B538" s="158"/>
    </row>
    <row r="539">
      <c r="A539" s="158"/>
      <c r="B539" s="158"/>
    </row>
    <row r="540">
      <c r="A540" s="158"/>
      <c r="B540" s="158"/>
    </row>
    <row r="541">
      <c r="A541" s="158"/>
      <c r="B541" s="158"/>
    </row>
    <row r="542">
      <c r="A542" s="158"/>
      <c r="B542" s="158"/>
    </row>
    <row r="543">
      <c r="A543" s="158"/>
      <c r="B543" s="158"/>
    </row>
    <row r="544">
      <c r="A544" s="158"/>
      <c r="B544" s="158"/>
    </row>
    <row r="545">
      <c r="A545" s="158"/>
      <c r="B545" s="158"/>
    </row>
    <row r="546">
      <c r="A546" s="158"/>
      <c r="B546" s="158"/>
    </row>
    <row r="547">
      <c r="A547" s="158"/>
      <c r="B547" s="158"/>
    </row>
    <row r="548">
      <c r="A548" s="158"/>
      <c r="B548" s="158"/>
    </row>
    <row r="549">
      <c r="A549" s="158"/>
      <c r="B549" s="158"/>
    </row>
    <row r="550">
      <c r="A550" s="158"/>
      <c r="B550" s="158"/>
    </row>
    <row r="551">
      <c r="A551" s="158"/>
      <c r="B551" s="158"/>
    </row>
    <row r="552">
      <c r="A552" s="158"/>
      <c r="B552" s="158"/>
    </row>
    <row r="553">
      <c r="A553" s="158"/>
      <c r="B553" s="158"/>
    </row>
    <row r="554">
      <c r="A554" s="158"/>
      <c r="B554" s="158"/>
    </row>
    <row r="555">
      <c r="A555" s="158"/>
      <c r="B555" s="158"/>
    </row>
    <row r="556">
      <c r="A556" s="158"/>
      <c r="B556" s="158"/>
    </row>
    <row r="557">
      <c r="A557" s="158"/>
      <c r="B557" s="158"/>
    </row>
    <row r="558">
      <c r="A558" s="158"/>
      <c r="B558" s="158"/>
    </row>
    <row r="559">
      <c r="A559" s="158"/>
      <c r="B559" s="158"/>
    </row>
    <row r="560">
      <c r="A560" s="158"/>
      <c r="B560" s="158"/>
    </row>
    <row r="561">
      <c r="A561" s="158"/>
      <c r="B561" s="158"/>
    </row>
    <row r="562">
      <c r="A562" s="158"/>
      <c r="B562" s="158"/>
    </row>
    <row r="563">
      <c r="A563" s="158"/>
      <c r="B563" s="158"/>
    </row>
    <row r="564">
      <c r="A564" s="158"/>
      <c r="B564" s="158"/>
    </row>
    <row r="565">
      <c r="A565" s="158"/>
      <c r="B565" s="158"/>
    </row>
    <row r="566">
      <c r="A566" s="158"/>
      <c r="B566" s="158"/>
    </row>
    <row r="567">
      <c r="A567" s="158"/>
      <c r="B567" s="158"/>
    </row>
    <row r="568">
      <c r="A568" s="158"/>
      <c r="B568" s="158"/>
    </row>
    <row r="569">
      <c r="A569" s="158"/>
      <c r="B569" s="158"/>
    </row>
    <row r="570">
      <c r="A570" s="158"/>
      <c r="B570" s="158"/>
    </row>
    <row r="571">
      <c r="A571" s="158"/>
      <c r="B571" s="158"/>
    </row>
    <row r="572">
      <c r="A572" s="158"/>
      <c r="B572" s="158"/>
    </row>
    <row r="573">
      <c r="A573" s="158"/>
      <c r="B573" s="158"/>
    </row>
    <row r="574">
      <c r="A574" s="158"/>
      <c r="B574" s="158"/>
    </row>
    <row r="575">
      <c r="A575" s="158"/>
      <c r="B575" s="158"/>
    </row>
    <row r="576">
      <c r="A576" s="158"/>
      <c r="B576" s="158"/>
    </row>
    <row r="577">
      <c r="A577" s="158"/>
      <c r="B577" s="158"/>
    </row>
    <row r="578">
      <c r="A578" s="158"/>
      <c r="B578" s="158"/>
    </row>
    <row r="579">
      <c r="A579" s="158"/>
      <c r="B579" s="158"/>
    </row>
    <row r="580">
      <c r="A580" s="158"/>
      <c r="B580" s="158"/>
    </row>
    <row r="581">
      <c r="A581" s="158"/>
      <c r="B581" s="158"/>
    </row>
    <row r="582">
      <c r="A582" s="158"/>
      <c r="B582" s="158"/>
    </row>
    <row r="583">
      <c r="A583" s="158"/>
      <c r="B583" s="158"/>
    </row>
    <row r="584">
      <c r="A584" s="158"/>
      <c r="B584" s="158"/>
    </row>
    <row r="585">
      <c r="A585" s="158"/>
      <c r="B585" s="158"/>
    </row>
    <row r="586">
      <c r="A586" s="158"/>
      <c r="B586" s="158"/>
    </row>
    <row r="587">
      <c r="A587" s="158"/>
      <c r="B587" s="158"/>
    </row>
    <row r="588">
      <c r="A588" s="158"/>
      <c r="B588" s="158"/>
    </row>
    <row r="589">
      <c r="A589" s="158"/>
      <c r="B589" s="158"/>
    </row>
    <row r="590">
      <c r="A590" s="158"/>
      <c r="B590" s="158"/>
    </row>
    <row r="591">
      <c r="A591" s="158"/>
      <c r="B591" s="158"/>
    </row>
    <row r="592">
      <c r="A592" s="158"/>
      <c r="B592" s="158"/>
    </row>
    <row r="593">
      <c r="A593" s="158"/>
      <c r="B593" s="158"/>
    </row>
    <row r="594">
      <c r="A594" s="158"/>
      <c r="B594" s="158"/>
    </row>
    <row r="595">
      <c r="A595" s="158"/>
      <c r="B595" s="158"/>
    </row>
    <row r="596">
      <c r="A596" s="158"/>
      <c r="B596" s="158"/>
    </row>
    <row r="597">
      <c r="A597" s="158"/>
      <c r="B597" s="158"/>
    </row>
    <row r="598">
      <c r="A598" s="158"/>
      <c r="B598" s="158"/>
    </row>
    <row r="599">
      <c r="A599" s="158"/>
      <c r="B599" s="158"/>
    </row>
    <row r="600">
      <c r="A600" s="158"/>
      <c r="B600" s="158"/>
    </row>
    <row r="601">
      <c r="A601" s="158"/>
      <c r="B601" s="158"/>
    </row>
    <row r="602">
      <c r="A602" s="158"/>
      <c r="B602" s="158"/>
    </row>
    <row r="603">
      <c r="A603" s="158"/>
      <c r="B603" s="158"/>
    </row>
    <row r="604">
      <c r="A604" s="158"/>
      <c r="B604" s="158"/>
    </row>
    <row r="605">
      <c r="A605" s="158"/>
      <c r="B605" s="158"/>
    </row>
    <row r="606">
      <c r="A606" s="158"/>
      <c r="B606" s="158"/>
    </row>
    <row r="607">
      <c r="A607" s="158"/>
      <c r="B607" s="158"/>
    </row>
    <row r="608">
      <c r="A608" s="158"/>
      <c r="B608" s="158"/>
    </row>
    <row r="609">
      <c r="A609" s="158"/>
      <c r="B609" s="158"/>
    </row>
    <row r="610">
      <c r="A610" s="158"/>
      <c r="B610" s="158"/>
    </row>
    <row r="611">
      <c r="A611" s="158"/>
      <c r="B611" s="158"/>
    </row>
    <row r="612">
      <c r="A612" s="158"/>
      <c r="B612" s="158"/>
    </row>
    <row r="613">
      <c r="A613" s="158"/>
      <c r="B613" s="158"/>
    </row>
    <row r="614">
      <c r="A614" s="158"/>
      <c r="B614" s="158"/>
    </row>
    <row r="615">
      <c r="A615" s="158"/>
      <c r="B615" s="158"/>
    </row>
    <row r="616">
      <c r="A616" s="158"/>
      <c r="B616" s="158"/>
    </row>
    <row r="617">
      <c r="A617" s="158"/>
      <c r="B617" s="158"/>
    </row>
    <row r="618">
      <c r="A618" s="158"/>
      <c r="B618" s="158"/>
    </row>
    <row r="619">
      <c r="A619" s="158"/>
      <c r="B619" s="158"/>
    </row>
    <row r="620">
      <c r="A620" s="158"/>
      <c r="B620" s="158"/>
    </row>
    <row r="621">
      <c r="A621" s="158"/>
      <c r="B621" s="158"/>
    </row>
    <row r="622">
      <c r="A622" s="158"/>
      <c r="B622" s="158"/>
    </row>
    <row r="623">
      <c r="A623" s="158"/>
      <c r="B623" s="158"/>
    </row>
    <row r="624">
      <c r="A624" s="158"/>
      <c r="B624" s="158"/>
    </row>
    <row r="625">
      <c r="A625" s="158"/>
      <c r="B625" s="158"/>
    </row>
    <row r="626">
      <c r="A626" s="158"/>
      <c r="B626" s="158"/>
    </row>
    <row r="627">
      <c r="A627" s="158"/>
      <c r="B627" s="158"/>
    </row>
    <row r="628">
      <c r="A628" s="158"/>
      <c r="B628" s="158"/>
    </row>
    <row r="629">
      <c r="A629" s="158"/>
      <c r="B629" s="158"/>
    </row>
    <row r="630">
      <c r="A630" s="158"/>
      <c r="B630" s="158"/>
    </row>
    <row r="631">
      <c r="A631" s="158"/>
      <c r="B631" s="158"/>
    </row>
    <row r="632">
      <c r="A632" s="158"/>
      <c r="B632" s="158"/>
    </row>
    <row r="633">
      <c r="A633" s="158"/>
      <c r="B633" s="158"/>
    </row>
    <row r="634">
      <c r="A634" s="158"/>
      <c r="B634" s="158"/>
    </row>
    <row r="635">
      <c r="A635" s="158"/>
      <c r="B635" s="158"/>
    </row>
    <row r="636">
      <c r="A636" s="158"/>
      <c r="B636" s="158"/>
    </row>
    <row r="637">
      <c r="A637" s="158"/>
      <c r="B637" s="158"/>
    </row>
    <row r="638">
      <c r="A638" s="158"/>
      <c r="B638" s="158"/>
    </row>
    <row r="639">
      <c r="A639" s="158"/>
      <c r="B639" s="158"/>
    </row>
    <row r="640">
      <c r="A640" s="158"/>
      <c r="B640" s="158"/>
    </row>
    <row r="641">
      <c r="A641" s="158"/>
      <c r="B641" s="158"/>
    </row>
    <row r="642">
      <c r="A642" s="158"/>
      <c r="B642" s="158"/>
    </row>
    <row r="643">
      <c r="A643" s="158"/>
      <c r="B643" s="158"/>
    </row>
    <row r="644">
      <c r="A644" s="158"/>
      <c r="B644" s="158"/>
    </row>
    <row r="645">
      <c r="A645" s="158"/>
      <c r="B645" s="158"/>
    </row>
    <row r="646">
      <c r="A646" s="158"/>
      <c r="B646" s="158"/>
    </row>
    <row r="647">
      <c r="A647" s="158"/>
      <c r="B647" s="158"/>
    </row>
    <row r="648">
      <c r="A648" s="158"/>
      <c r="B648" s="158"/>
    </row>
    <row r="649">
      <c r="A649" s="158"/>
      <c r="B649" s="158"/>
    </row>
    <row r="650">
      <c r="A650" s="158"/>
      <c r="B650" s="158"/>
    </row>
    <row r="651">
      <c r="A651" s="158"/>
      <c r="B651" s="158"/>
    </row>
    <row r="652">
      <c r="A652" s="158"/>
      <c r="B652" s="158"/>
    </row>
    <row r="653">
      <c r="A653" s="158"/>
      <c r="B653" s="158"/>
    </row>
    <row r="654">
      <c r="A654" s="158"/>
      <c r="B654" s="158"/>
    </row>
    <row r="655">
      <c r="A655" s="158"/>
      <c r="B655" s="158"/>
    </row>
    <row r="656">
      <c r="A656" s="158"/>
      <c r="B656" s="158"/>
    </row>
    <row r="657">
      <c r="A657" s="158"/>
      <c r="B657" s="158"/>
    </row>
    <row r="658">
      <c r="A658" s="158"/>
      <c r="B658" s="158"/>
    </row>
    <row r="659">
      <c r="A659" s="158"/>
      <c r="B659" s="158"/>
    </row>
    <row r="660">
      <c r="A660" s="158"/>
      <c r="B660" s="158"/>
    </row>
    <row r="661">
      <c r="A661" s="158"/>
      <c r="B661" s="158"/>
    </row>
    <row r="662">
      <c r="A662" s="158"/>
      <c r="B662" s="158"/>
    </row>
    <row r="663">
      <c r="A663" s="158"/>
      <c r="B663" s="158"/>
    </row>
    <row r="664">
      <c r="A664" s="158"/>
      <c r="B664" s="158"/>
    </row>
    <row r="665">
      <c r="A665" s="158"/>
      <c r="B665" s="158"/>
    </row>
    <row r="666">
      <c r="A666" s="158"/>
      <c r="B666" s="158"/>
    </row>
    <row r="667">
      <c r="A667" s="158"/>
      <c r="B667" s="158"/>
    </row>
    <row r="668">
      <c r="A668" s="158"/>
      <c r="B668" s="158"/>
    </row>
    <row r="669">
      <c r="A669" s="158"/>
      <c r="B669" s="158"/>
    </row>
    <row r="670">
      <c r="A670" s="158"/>
      <c r="B670" s="158"/>
    </row>
    <row r="671">
      <c r="A671" s="158"/>
      <c r="B671" s="158"/>
    </row>
    <row r="672">
      <c r="A672" s="158"/>
      <c r="B672" s="158"/>
    </row>
    <row r="673">
      <c r="A673" s="158"/>
      <c r="B673" s="158"/>
    </row>
    <row r="674">
      <c r="A674" s="158"/>
      <c r="B674" s="158"/>
    </row>
    <row r="675">
      <c r="A675" s="158"/>
      <c r="B675" s="158"/>
    </row>
    <row r="676">
      <c r="A676" s="158"/>
      <c r="B676" s="158"/>
    </row>
    <row r="677">
      <c r="A677" s="158"/>
      <c r="B677" s="158"/>
    </row>
    <row r="678">
      <c r="A678" s="158"/>
      <c r="B678" s="158"/>
    </row>
    <row r="679">
      <c r="A679" s="158"/>
      <c r="B679" s="158"/>
    </row>
    <row r="680">
      <c r="A680" s="158"/>
      <c r="B680" s="158"/>
    </row>
    <row r="681">
      <c r="A681" s="158"/>
      <c r="B681" s="158"/>
    </row>
    <row r="682">
      <c r="A682" s="158"/>
      <c r="B682" s="158"/>
    </row>
    <row r="683">
      <c r="A683" s="158"/>
      <c r="B683" s="158"/>
    </row>
    <row r="684">
      <c r="A684" s="158"/>
      <c r="B684" s="158"/>
    </row>
    <row r="685">
      <c r="A685" s="158"/>
      <c r="B685" s="158"/>
    </row>
    <row r="686">
      <c r="A686" s="158"/>
      <c r="B686" s="158"/>
    </row>
    <row r="687">
      <c r="A687" s="158"/>
      <c r="B687" s="158"/>
    </row>
    <row r="688">
      <c r="A688" s="158"/>
      <c r="B688" s="158"/>
    </row>
    <row r="689">
      <c r="A689" s="158"/>
      <c r="B689" s="158"/>
    </row>
    <row r="690">
      <c r="A690" s="158"/>
      <c r="B690" s="158"/>
    </row>
    <row r="691">
      <c r="A691" s="158"/>
      <c r="B691" s="158"/>
    </row>
    <row r="692">
      <c r="A692" s="158"/>
      <c r="B692" s="158"/>
    </row>
    <row r="693">
      <c r="A693" s="158"/>
      <c r="B693" s="158"/>
    </row>
    <row r="694">
      <c r="A694" s="158"/>
      <c r="B694" s="158"/>
    </row>
    <row r="695">
      <c r="A695" s="158"/>
      <c r="B695" s="158"/>
    </row>
    <row r="696">
      <c r="A696" s="158"/>
      <c r="B696" s="158"/>
    </row>
    <row r="697">
      <c r="A697" s="158"/>
      <c r="B697" s="158"/>
    </row>
    <row r="698">
      <c r="A698" s="158"/>
      <c r="B698" s="158"/>
    </row>
    <row r="699">
      <c r="A699" s="158"/>
      <c r="B699" s="158"/>
    </row>
    <row r="700">
      <c r="A700" s="158"/>
      <c r="B700" s="158"/>
    </row>
    <row r="701">
      <c r="A701" s="158"/>
      <c r="B701" s="158"/>
    </row>
    <row r="702">
      <c r="A702" s="158"/>
      <c r="B702" s="158"/>
    </row>
    <row r="703">
      <c r="A703" s="158"/>
      <c r="B703" s="158"/>
    </row>
    <row r="704">
      <c r="A704" s="158"/>
      <c r="B704" s="158"/>
    </row>
    <row r="705">
      <c r="A705" s="158"/>
      <c r="B705" s="158"/>
    </row>
    <row r="706">
      <c r="A706" s="158"/>
      <c r="B706" s="158"/>
    </row>
    <row r="707">
      <c r="A707" s="158"/>
      <c r="B707" s="158"/>
    </row>
    <row r="708">
      <c r="A708" s="158"/>
      <c r="B708" s="158"/>
    </row>
    <row r="709">
      <c r="A709" s="158"/>
      <c r="B709" s="158"/>
    </row>
    <row r="710">
      <c r="A710" s="158"/>
      <c r="B710" s="158"/>
    </row>
    <row r="711">
      <c r="A711" s="158"/>
      <c r="B711" s="158"/>
    </row>
    <row r="712">
      <c r="A712" s="158"/>
      <c r="B712" s="158"/>
    </row>
    <row r="713">
      <c r="A713" s="158"/>
      <c r="B713" s="158"/>
    </row>
    <row r="714">
      <c r="A714" s="158"/>
      <c r="B714" s="158"/>
    </row>
    <row r="715">
      <c r="A715" s="158"/>
      <c r="B715" s="158"/>
    </row>
    <row r="716">
      <c r="A716" s="158"/>
      <c r="B716" s="158"/>
    </row>
    <row r="717">
      <c r="A717" s="158"/>
      <c r="B717" s="158"/>
    </row>
    <row r="718">
      <c r="A718" s="158"/>
      <c r="B718" s="158"/>
    </row>
    <row r="719">
      <c r="A719" s="158"/>
      <c r="B719" s="158"/>
    </row>
    <row r="720">
      <c r="A720" s="158"/>
      <c r="B720" s="158"/>
    </row>
    <row r="721">
      <c r="A721" s="158"/>
      <c r="B721" s="158"/>
    </row>
    <row r="722">
      <c r="A722" s="158"/>
      <c r="B722" s="158"/>
    </row>
    <row r="723">
      <c r="A723" s="158"/>
      <c r="B723" s="158"/>
    </row>
    <row r="724">
      <c r="A724" s="158"/>
      <c r="B724" s="158"/>
    </row>
    <row r="725">
      <c r="A725" s="158"/>
      <c r="B725" s="158"/>
    </row>
    <row r="726">
      <c r="A726" s="158"/>
      <c r="B726" s="158"/>
    </row>
    <row r="727">
      <c r="A727" s="158"/>
      <c r="B727" s="158"/>
    </row>
    <row r="728">
      <c r="A728" s="158"/>
      <c r="B728" s="158"/>
    </row>
    <row r="729">
      <c r="A729" s="158"/>
      <c r="B729" s="158"/>
    </row>
    <row r="730">
      <c r="A730" s="158"/>
      <c r="B730" s="158"/>
    </row>
    <row r="731">
      <c r="A731" s="158"/>
      <c r="B731" s="158"/>
    </row>
    <row r="732">
      <c r="A732" s="158"/>
      <c r="B732" s="158"/>
    </row>
    <row r="733">
      <c r="A733" s="158"/>
      <c r="B733" s="158"/>
    </row>
    <row r="734">
      <c r="A734" s="158"/>
      <c r="B734" s="158"/>
    </row>
    <row r="735">
      <c r="A735" s="158"/>
      <c r="B735" s="158"/>
    </row>
    <row r="736">
      <c r="A736" s="158"/>
      <c r="B736" s="158"/>
    </row>
    <row r="737">
      <c r="A737" s="158"/>
      <c r="B737" s="158"/>
    </row>
    <row r="738">
      <c r="A738" s="158"/>
      <c r="B738" s="158"/>
    </row>
    <row r="739">
      <c r="A739" s="158"/>
      <c r="B739" s="158"/>
    </row>
    <row r="740">
      <c r="A740" s="158"/>
      <c r="B740" s="158"/>
    </row>
    <row r="741">
      <c r="A741" s="158"/>
      <c r="B741" s="158"/>
    </row>
    <row r="742">
      <c r="A742" s="158"/>
      <c r="B742" s="158"/>
    </row>
    <row r="743">
      <c r="A743" s="158"/>
      <c r="B743" s="158"/>
    </row>
    <row r="744">
      <c r="A744" s="158"/>
      <c r="B744" s="158"/>
    </row>
    <row r="745">
      <c r="A745" s="158"/>
      <c r="B745" s="158"/>
    </row>
    <row r="746">
      <c r="A746" s="158"/>
      <c r="B746" s="158"/>
    </row>
    <row r="747">
      <c r="A747" s="158"/>
      <c r="B747" s="158"/>
    </row>
    <row r="748">
      <c r="A748" s="158"/>
      <c r="B748" s="158"/>
    </row>
    <row r="749">
      <c r="A749" s="158"/>
      <c r="B749" s="158"/>
    </row>
    <row r="750">
      <c r="A750" s="158"/>
      <c r="B750" s="158"/>
    </row>
    <row r="751">
      <c r="A751" s="158"/>
      <c r="B751" s="158"/>
    </row>
    <row r="752">
      <c r="A752" s="158"/>
      <c r="B752" s="158"/>
    </row>
    <row r="753">
      <c r="A753" s="158"/>
      <c r="B753" s="158"/>
    </row>
    <row r="754">
      <c r="A754" s="158"/>
      <c r="B754" s="158"/>
    </row>
    <row r="755">
      <c r="A755" s="158"/>
      <c r="B755" s="158"/>
    </row>
    <row r="756">
      <c r="A756" s="158"/>
      <c r="B756" s="158"/>
    </row>
    <row r="757">
      <c r="A757" s="158"/>
      <c r="B757" s="158"/>
    </row>
    <row r="758">
      <c r="A758" s="158"/>
      <c r="B758" s="158"/>
    </row>
    <row r="759">
      <c r="A759" s="158"/>
      <c r="B759" s="158"/>
    </row>
    <row r="760">
      <c r="A760" s="158"/>
      <c r="B760" s="158"/>
    </row>
    <row r="761">
      <c r="A761" s="158"/>
      <c r="B761" s="158"/>
    </row>
    <row r="762">
      <c r="A762" s="158"/>
      <c r="B762" s="158"/>
    </row>
    <row r="763">
      <c r="A763" s="158"/>
      <c r="B763" s="158"/>
    </row>
    <row r="764">
      <c r="A764" s="158"/>
      <c r="B764" s="158"/>
    </row>
    <row r="765">
      <c r="A765" s="158"/>
      <c r="B765" s="158"/>
    </row>
    <row r="766">
      <c r="A766" s="158"/>
      <c r="B766" s="158"/>
    </row>
    <row r="767">
      <c r="A767" s="158"/>
      <c r="B767" s="158"/>
    </row>
    <row r="768">
      <c r="A768" s="158"/>
      <c r="B768" s="158"/>
    </row>
    <row r="769">
      <c r="A769" s="158"/>
      <c r="B769" s="158"/>
    </row>
    <row r="770">
      <c r="A770" s="158"/>
      <c r="B770" s="158"/>
    </row>
    <row r="771">
      <c r="A771" s="158"/>
      <c r="B771" s="158"/>
    </row>
    <row r="772">
      <c r="A772" s="158"/>
      <c r="B772" s="158"/>
    </row>
    <row r="773">
      <c r="A773" s="158"/>
      <c r="B773" s="158"/>
    </row>
    <row r="774">
      <c r="A774" s="158"/>
      <c r="B774" s="158"/>
    </row>
    <row r="775">
      <c r="A775" s="158"/>
      <c r="B775" s="158"/>
    </row>
    <row r="776">
      <c r="A776" s="158"/>
      <c r="B776" s="158"/>
    </row>
    <row r="777">
      <c r="A777" s="158"/>
      <c r="B777" s="158"/>
    </row>
    <row r="778">
      <c r="A778" s="158"/>
      <c r="B778" s="158"/>
    </row>
    <row r="779">
      <c r="A779" s="158"/>
      <c r="B779" s="158"/>
    </row>
    <row r="780">
      <c r="A780" s="158"/>
      <c r="B780" s="158"/>
    </row>
    <row r="781">
      <c r="A781" s="158"/>
      <c r="B781" s="158"/>
    </row>
    <row r="782">
      <c r="A782" s="158"/>
      <c r="B782" s="158"/>
    </row>
    <row r="783">
      <c r="A783" s="158"/>
      <c r="B783" s="158"/>
    </row>
    <row r="784">
      <c r="A784" s="158"/>
      <c r="B784" s="158"/>
    </row>
    <row r="785">
      <c r="A785" s="158"/>
      <c r="B785" s="158"/>
    </row>
    <row r="786">
      <c r="A786" s="158"/>
      <c r="B786" s="158"/>
    </row>
    <row r="787">
      <c r="A787" s="158"/>
      <c r="B787" s="158"/>
    </row>
    <row r="788">
      <c r="A788" s="158"/>
      <c r="B788" s="158"/>
    </row>
    <row r="789">
      <c r="A789" s="158"/>
      <c r="B789" s="158"/>
    </row>
    <row r="790">
      <c r="A790" s="158"/>
      <c r="B790" s="158"/>
    </row>
    <row r="791">
      <c r="A791" s="158"/>
      <c r="B791" s="158"/>
    </row>
    <row r="792">
      <c r="A792" s="158"/>
      <c r="B792" s="158"/>
    </row>
    <row r="793">
      <c r="A793" s="158"/>
      <c r="B793" s="158"/>
    </row>
    <row r="794">
      <c r="A794" s="158"/>
      <c r="B794" s="158"/>
    </row>
    <row r="795">
      <c r="A795" s="158"/>
      <c r="B795" s="158"/>
    </row>
    <row r="796">
      <c r="A796" s="158"/>
      <c r="B796" s="158"/>
    </row>
    <row r="797">
      <c r="A797" s="158"/>
      <c r="B797" s="158"/>
    </row>
    <row r="798">
      <c r="A798" s="158"/>
      <c r="B798" s="158"/>
    </row>
    <row r="799">
      <c r="A799" s="158"/>
      <c r="B799" s="158"/>
    </row>
    <row r="800">
      <c r="A800" s="158"/>
      <c r="B800" s="158"/>
    </row>
    <row r="801">
      <c r="A801" s="158"/>
      <c r="B801" s="158"/>
    </row>
    <row r="802">
      <c r="A802" s="158"/>
      <c r="B802" s="158"/>
    </row>
    <row r="803">
      <c r="A803" s="158"/>
      <c r="B803" s="158"/>
    </row>
    <row r="804">
      <c r="A804" s="158"/>
      <c r="B804" s="158"/>
    </row>
    <row r="805">
      <c r="A805" s="158"/>
      <c r="B805" s="158"/>
    </row>
    <row r="806">
      <c r="A806" s="158"/>
      <c r="B806" s="158"/>
    </row>
    <row r="807">
      <c r="A807" s="158"/>
      <c r="B807" s="158"/>
    </row>
    <row r="808">
      <c r="A808" s="158"/>
      <c r="B808" s="158"/>
    </row>
    <row r="809">
      <c r="A809" s="158"/>
      <c r="B809" s="158"/>
    </row>
    <row r="810">
      <c r="A810" s="158"/>
      <c r="B810" s="158"/>
    </row>
    <row r="811">
      <c r="A811" s="158"/>
      <c r="B811" s="158"/>
    </row>
    <row r="812">
      <c r="A812" s="158"/>
      <c r="B812" s="158"/>
    </row>
    <row r="813">
      <c r="A813" s="158"/>
      <c r="B813" s="158"/>
    </row>
    <row r="814">
      <c r="A814" s="158"/>
      <c r="B814" s="158"/>
    </row>
    <row r="815">
      <c r="A815" s="158"/>
      <c r="B815" s="158"/>
    </row>
    <row r="816">
      <c r="A816" s="158"/>
      <c r="B816" s="158"/>
    </row>
    <row r="817">
      <c r="A817" s="158"/>
      <c r="B817" s="158"/>
    </row>
    <row r="818">
      <c r="A818" s="158"/>
      <c r="B818" s="158"/>
    </row>
    <row r="819">
      <c r="A819" s="158"/>
      <c r="B819" s="158"/>
    </row>
    <row r="820">
      <c r="A820" s="158"/>
      <c r="B820" s="158"/>
    </row>
    <row r="821">
      <c r="A821" s="158"/>
      <c r="B821" s="158"/>
    </row>
    <row r="822">
      <c r="A822" s="158"/>
      <c r="B822" s="158"/>
    </row>
    <row r="823">
      <c r="A823" s="158"/>
      <c r="B823" s="158"/>
    </row>
    <row r="824">
      <c r="A824" s="158"/>
      <c r="B824" s="158"/>
    </row>
    <row r="825">
      <c r="A825" s="158"/>
      <c r="B825" s="158"/>
    </row>
    <row r="826">
      <c r="A826" s="158"/>
      <c r="B826" s="158"/>
    </row>
    <row r="827">
      <c r="A827" s="158"/>
      <c r="B827" s="158"/>
    </row>
    <row r="828">
      <c r="A828" s="158"/>
      <c r="B828" s="158"/>
    </row>
    <row r="829">
      <c r="A829" s="158"/>
      <c r="B829" s="158"/>
    </row>
    <row r="830">
      <c r="A830" s="158"/>
      <c r="B830" s="158"/>
    </row>
    <row r="831">
      <c r="A831" s="158"/>
      <c r="B831" s="158"/>
    </row>
    <row r="832">
      <c r="A832" s="158"/>
      <c r="B832" s="158"/>
    </row>
    <row r="833">
      <c r="A833" s="158"/>
      <c r="B833" s="158"/>
    </row>
    <row r="834">
      <c r="A834" s="158"/>
      <c r="B834" s="158"/>
    </row>
    <row r="835">
      <c r="A835" s="158"/>
      <c r="B835" s="158"/>
    </row>
    <row r="836">
      <c r="A836" s="158"/>
      <c r="B836" s="158"/>
    </row>
    <row r="837">
      <c r="A837" s="158"/>
      <c r="B837" s="158"/>
    </row>
    <row r="838">
      <c r="A838" s="158"/>
      <c r="B838" s="158"/>
    </row>
    <row r="839">
      <c r="A839" s="158"/>
      <c r="B839" s="158"/>
    </row>
    <row r="840">
      <c r="A840" s="158"/>
      <c r="B840" s="158"/>
    </row>
    <row r="841">
      <c r="A841" s="158"/>
      <c r="B841" s="158"/>
    </row>
    <row r="842">
      <c r="A842" s="158"/>
      <c r="B842" s="158"/>
    </row>
    <row r="843">
      <c r="A843" s="158"/>
      <c r="B843" s="158"/>
    </row>
    <row r="844">
      <c r="A844" s="158"/>
      <c r="B844" s="158"/>
    </row>
    <row r="845">
      <c r="A845" s="158"/>
      <c r="B845" s="158"/>
    </row>
    <row r="846">
      <c r="A846" s="158"/>
      <c r="B846" s="158"/>
    </row>
    <row r="847">
      <c r="A847" s="158"/>
      <c r="B847" s="158"/>
    </row>
    <row r="848">
      <c r="A848" s="158"/>
      <c r="B848" s="158"/>
    </row>
    <row r="849">
      <c r="A849" s="158"/>
      <c r="B849" s="158"/>
    </row>
    <row r="850">
      <c r="A850" s="158"/>
      <c r="B850" s="158"/>
    </row>
    <row r="851">
      <c r="A851" s="158"/>
      <c r="B851" s="158"/>
    </row>
    <row r="852">
      <c r="A852" s="158"/>
      <c r="B852" s="158"/>
    </row>
    <row r="853">
      <c r="A853" s="158"/>
      <c r="B853" s="158"/>
    </row>
    <row r="854">
      <c r="A854" s="158"/>
      <c r="B854" s="158"/>
    </row>
    <row r="855">
      <c r="A855" s="158"/>
      <c r="B855" s="158"/>
    </row>
    <row r="856">
      <c r="A856" s="158"/>
      <c r="B856" s="158"/>
    </row>
    <row r="857">
      <c r="A857" s="158"/>
      <c r="B857" s="158"/>
    </row>
    <row r="858">
      <c r="A858" s="158"/>
      <c r="B858" s="158"/>
    </row>
    <row r="859">
      <c r="A859" s="158"/>
      <c r="B859" s="158"/>
    </row>
    <row r="860">
      <c r="A860" s="158"/>
      <c r="B860" s="158"/>
    </row>
    <row r="861">
      <c r="A861" s="158"/>
      <c r="B861" s="158"/>
    </row>
    <row r="862">
      <c r="A862" s="158"/>
      <c r="B862" s="158"/>
    </row>
    <row r="863">
      <c r="A863" s="158"/>
      <c r="B863" s="158"/>
    </row>
    <row r="864">
      <c r="A864" s="158"/>
      <c r="B864" s="158"/>
    </row>
    <row r="865">
      <c r="A865" s="158"/>
      <c r="B865" s="158"/>
    </row>
    <row r="866">
      <c r="A866" s="158"/>
      <c r="B866" s="158"/>
    </row>
    <row r="867">
      <c r="A867" s="158"/>
      <c r="B867" s="158"/>
    </row>
    <row r="868">
      <c r="A868" s="158"/>
      <c r="B868" s="158"/>
    </row>
    <row r="869">
      <c r="A869" s="158"/>
      <c r="B869" s="158"/>
    </row>
    <row r="870">
      <c r="A870" s="158"/>
      <c r="B870" s="158"/>
    </row>
    <row r="871">
      <c r="A871" s="158"/>
      <c r="B871" s="158"/>
    </row>
    <row r="872">
      <c r="A872" s="158"/>
      <c r="B872" s="158"/>
    </row>
    <row r="873">
      <c r="A873" s="158"/>
      <c r="B873" s="158"/>
    </row>
    <row r="874">
      <c r="A874" s="158"/>
      <c r="B874" s="158"/>
    </row>
    <row r="875">
      <c r="A875" s="158"/>
      <c r="B875" s="158"/>
    </row>
    <row r="876">
      <c r="A876" s="158"/>
      <c r="B876" s="158"/>
    </row>
    <row r="877">
      <c r="A877" s="158"/>
      <c r="B877" s="158"/>
    </row>
    <row r="878">
      <c r="A878" s="158"/>
      <c r="B878" s="158"/>
    </row>
    <row r="879">
      <c r="A879" s="158"/>
      <c r="B879" s="158"/>
    </row>
    <row r="880">
      <c r="A880" s="158"/>
      <c r="B880" s="158"/>
    </row>
    <row r="881">
      <c r="A881" s="158"/>
      <c r="B881" s="158"/>
    </row>
    <row r="882">
      <c r="A882" s="158"/>
      <c r="B882" s="158"/>
    </row>
    <row r="883">
      <c r="A883" s="158"/>
      <c r="B883" s="158"/>
    </row>
    <row r="884">
      <c r="A884" s="158"/>
      <c r="B884" s="158"/>
    </row>
    <row r="885">
      <c r="A885" s="158"/>
      <c r="B885" s="158"/>
    </row>
    <row r="886">
      <c r="A886" s="158"/>
      <c r="B886" s="158"/>
    </row>
    <row r="887">
      <c r="A887" s="158"/>
      <c r="B887" s="158"/>
    </row>
    <row r="888">
      <c r="A888" s="158"/>
      <c r="B888" s="158"/>
    </row>
    <row r="889">
      <c r="A889" s="158"/>
      <c r="B889" s="158"/>
    </row>
    <row r="890">
      <c r="A890" s="158"/>
      <c r="B890" s="158"/>
    </row>
    <row r="891">
      <c r="A891" s="158"/>
      <c r="B891" s="158"/>
    </row>
    <row r="892">
      <c r="A892" s="158"/>
      <c r="B892" s="158"/>
    </row>
    <row r="893">
      <c r="A893" s="158"/>
      <c r="B893" s="158"/>
    </row>
    <row r="894">
      <c r="A894" s="158"/>
      <c r="B894" s="158"/>
    </row>
    <row r="895">
      <c r="A895" s="158"/>
      <c r="B895" s="158"/>
    </row>
    <row r="896">
      <c r="A896" s="158"/>
      <c r="B896" s="158"/>
    </row>
    <row r="897">
      <c r="A897" s="158"/>
      <c r="B897" s="158"/>
    </row>
    <row r="898">
      <c r="A898" s="158"/>
      <c r="B898" s="158"/>
    </row>
    <row r="899">
      <c r="A899" s="158"/>
      <c r="B899" s="158"/>
    </row>
    <row r="900">
      <c r="A900" s="158"/>
      <c r="B900" s="158"/>
    </row>
    <row r="901">
      <c r="A901" s="158"/>
      <c r="B901" s="158"/>
    </row>
    <row r="902">
      <c r="A902" s="158"/>
      <c r="B902" s="158"/>
    </row>
    <row r="903">
      <c r="A903" s="158"/>
      <c r="B903" s="158"/>
    </row>
    <row r="904">
      <c r="A904" s="158"/>
      <c r="B904" s="158"/>
    </row>
    <row r="905">
      <c r="A905" s="158"/>
      <c r="B905" s="158"/>
    </row>
    <row r="906">
      <c r="A906" s="158"/>
      <c r="B906" s="158"/>
    </row>
    <row r="907">
      <c r="A907" s="158"/>
      <c r="B907" s="158"/>
    </row>
    <row r="908">
      <c r="A908" s="158"/>
      <c r="B908" s="158"/>
    </row>
    <row r="909">
      <c r="A909" s="158"/>
      <c r="B909" s="158"/>
    </row>
    <row r="910">
      <c r="A910" s="158"/>
      <c r="B910" s="158"/>
    </row>
    <row r="911">
      <c r="A911" s="158"/>
      <c r="B911" s="158"/>
    </row>
    <row r="912">
      <c r="A912" s="158"/>
      <c r="B912" s="158"/>
    </row>
    <row r="913">
      <c r="A913" s="158"/>
      <c r="B913" s="158"/>
    </row>
    <row r="914">
      <c r="A914" s="158"/>
      <c r="B914" s="158"/>
    </row>
    <row r="915">
      <c r="A915" s="158"/>
      <c r="B915" s="158"/>
    </row>
    <row r="916">
      <c r="A916" s="158"/>
      <c r="B916" s="158"/>
    </row>
    <row r="917">
      <c r="A917" s="158"/>
      <c r="B917" s="158"/>
    </row>
    <row r="918">
      <c r="A918" s="158"/>
      <c r="B918" s="158"/>
    </row>
    <row r="919">
      <c r="A919" s="158"/>
      <c r="B919" s="158"/>
    </row>
    <row r="920">
      <c r="A920" s="158"/>
      <c r="B920" s="158"/>
    </row>
    <row r="921">
      <c r="A921" s="158"/>
      <c r="B921" s="158"/>
    </row>
    <row r="922">
      <c r="A922" s="158"/>
      <c r="B922" s="158"/>
    </row>
    <row r="923">
      <c r="A923" s="158"/>
      <c r="B923" s="158"/>
    </row>
    <row r="924">
      <c r="A924" s="158"/>
      <c r="B924" s="158"/>
    </row>
    <row r="925">
      <c r="A925" s="158"/>
      <c r="B925" s="158"/>
    </row>
    <row r="926">
      <c r="A926" s="158"/>
      <c r="B926" s="158"/>
    </row>
    <row r="927">
      <c r="A927" s="158"/>
      <c r="B927" s="158"/>
    </row>
    <row r="928">
      <c r="A928" s="158"/>
      <c r="B928" s="158"/>
    </row>
    <row r="929">
      <c r="A929" s="158"/>
      <c r="B929" s="158"/>
    </row>
    <row r="930">
      <c r="A930" s="158"/>
      <c r="B930" s="158"/>
    </row>
    <row r="931">
      <c r="A931" s="158"/>
      <c r="B931" s="158"/>
    </row>
    <row r="932">
      <c r="A932" s="158"/>
      <c r="B932" s="158"/>
    </row>
    <row r="933">
      <c r="A933" s="158"/>
      <c r="B933" s="158"/>
    </row>
    <row r="934">
      <c r="A934" s="158"/>
      <c r="B934" s="158"/>
    </row>
    <row r="935">
      <c r="A935" s="158"/>
      <c r="B935" s="158"/>
    </row>
    <row r="936">
      <c r="A936" s="158"/>
      <c r="B936" s="158"/>
    </row>
    <row r="937">
      <c r="A937" s="158"/>
      <c r="B937" s="158"/>
    </row>
    <row r="938">
      <c r="A938" s="158"/>
      <c r="B938" s="158"/>
    </row>
    <row r="939">
      <c r="A939" s="158"/>
      <c r="B939" s="158"/>
    </row>
    <row r="940">
      <c r="A940" s="158"/>
      <c r="B940" s="158"/>
    </row>
    <row r="941">
      <c r="A941" s="158"/>
      <c r="B941" s="158"/>
    </row>
    <row r="942">
      <c r="A942" s="158"/>
      <c r="B942" s="158"/>
    </row>
    <row r="943">
      <c r="A943" s="158"/>
      <c r="B943" s="158"/>
    </row>
    <row r="944">
      <c r="A944" s="158"/>
      <c r="B944" s="158"/>
    </row>
    <row r="945">
      <c r="A945" s="158"/>
      <c r="B945" s="158"/>
    </row>
    <row r="946">
      <c r="A946" s="158"/>
      <c r="B946" s="158"/>
    </row>
    <row r="947">
      <c r="A947" s="158"/>
      <c r="B947" s="158"/>
    </row>
    <row r="948">
      <c r="A948" s="158"/>
      <c r="B948" s="158"/>
    </row>
    <row r="949">
      <c r="A949" s="158"/>
      <c r="B949" s="158"/>
    </row>
    <row r="950">
      <c r="A950" s="158"/>
      <c r="B950" s="158"/>
    </row>
    <row r="951">
      <c r="A951" s="158"/>
      <c r="B951" s="158"/>
    </row>
    <row r="952">
      <c r="A952" s="158"/>
      <c r="B952" s="158"/>
    </row>
    <row r="953">
      <c r="A953" s="158"/>
      <c r="B953" s="158"/>
    </row>
    <row r="954">
      <c r="A954" s="158"/>
      <c r="B954" s="158"/>
    </row>
    <row r="955">
      <c r="A955" s="158"/>
      <c r="B955" s="158"/>
    </row>
    <row r="956">
      <c r="A956" s="158"/>
      <c r="B956" s="158"/>
    </row>
    <row r="957">
      <c r="A957" s="158"/>
      <c r="B957" s="158"/>
    </row>
    <row r="958">
      <c r="A958" s="158"/>
      <c r="B958" s="158"/>
    </row>
    <row r="959">
      <c r="A959" s="158"/>
      <c r="B959" s="158"/>
    </row>
    <row r="960">
      <c r="A960" s="158"/>
      <c r="B960" s="158"/>
    </row>
    <row r="961">
      <c r="A961" s="158"/>
      <c r="B961" s="158"/>
    </row>
    <row r="962">
      <c r="A962" s="158"/>
      <c r="B962" s="158"/>
    </row>
    <row r="963">
      <c r="A963" s="158"/>
      <c r="B963" s="158"/>
    </row>
    <row r="964">
      <c r="A964" s="158"/>
      <c r="B964" s="158"/>
    </row>
    <row r="965">
      <c r="A965" s="158"/>
      <c r="B965" s="158"/>
    </row>
    <row r="966">
      <c r="A966" s="158"/>
      <c r="B966" s="158"/>
    </row>
    <row r="967">
      <c r="A967" s="158"/>
      <c r="B967" s="158"/>
    </row>
    <row r="968">
      <c r="A968" s="158"/>
      <c r="B968" s="158"/>
    </row>
    <row r="969">
      <c r="A969" s="158"/>
      <c r="B969" s="158"/>
    </row>
    <row r="970">
      <c r="A970" s="158"/>
      <c r="B970" s="158"/>
    </row>
    <row r="971">
      <c r="A971" s="158"/>
      <c r="B971" s="158"/>
    </row>
    <row r="972">
      <c r="A972" s="158"/>
      <c r="B972" s="158"/>
    </row>
    <row r="973">
      <c r="A973" s="158"/>
      <c r="B973" s="158"/>
    </row>
    <row r="974">
      <c r="A974" s="158"/>
      <c r="B974" s="158"/>
    </row>
    <row r="975">
      <c r="A975" s="158"/>
      <c r="B975" s="158"/>
    </row>
    <row r="976">
      <c r="A976" s="158"/>
      <c r="B976" s="158"/>
    </row>
    <row r="977">
      <c r="A977" s="158"/>
      <c r="B977" s="158"/>
    </row>
    <row r="978">
      <c r="A978" s="158"/>
      <c r="B978" s="158"/>
    </row>
    <row r="979">
      <c r="A979" s="158"/>
      <c r="B979" s="158"/>
    </row>
    <row r="980">
      <c r="A980" s="158"/>
      <c r="B980" s="158"/>
    </row>
    <row r="981">
      <c r="A981" s="158"/>
      <c r="B981" s="158"/>
    </row>
    <row r="982">
      <c r="A982" s="158"/>
      <c r="B982" s="158"/>
    </row>
    <row r="983">
      <c r="A983" s="158"/>
      <c r="B983" s="158"/>
    </row>
    <row r="984">
      <c r="A984" s="158"/>
      <c r="B984" s="158"/>
    </row>
    <row r="985">
      <c r="A985" s="158"/>
      <c r="B985" s="158"/>
    </row>
    <row r="986">
      <c r="A986" s="158"/>
      <c r="B986" s="158"/>
    </row>
    <row r="987">
      <c r="A987" s="158"/>
      <c r="B987" s="158"/>
    </row>
    <row r="988">
      <c r="A988" s="158"/>
      <c r="B988" s="158"/>
    </row>
    <row r="989">
      <c r="A989" s="158"/>
      <c r="B989" s="158"/>
    </row>
    <row r="990">
      <c r="A990" s="158"/>
      <c r="B990" s="158"/>
    </row>
    <row r="991">
      <c r="A991" s="158"/>
      <c r="B991" s="158"/>
    </row>
    <row r="992">
      <c r="A992" s="158"/>
      <c r="B992" s="158"/>
    </row>
    <row r="993">
      <c r="A993" s="158"/>
      <c r="B993" s="158"/>
    </row>
    <row r="994">
      <c r="A994" s="158"/>
      <c r="B994" s="158"/>
    </row>
    <row r="995">
      <c r="A995" s="158"/>
      <c r="B995" s="158"/>
    </row>
    <row r="996">
      <c r="A996" s="158"/>
      <c r="B996" s="158"/>
    </row>
    <row r="997">
      <c r="A997" s="158"/>
      <c r="B997" s="158"/>
    </row>
    <row r="998">
      <c r="A998" s="158"/>
      <c r="B998" s="158"/>
    </row>
    <row r="999">
      <c r="A999" s="158"/>
      <c r="B999" s="158"/>
    </row>
  </sheetData>
  <conditionalFormatting sqref="H5:H6 C20">
    <cfRule type="expression" dxfId="0" priority="1">
      <formula>COUNTIF(H:H,H5)&gt;1</formula>
    </cfRule>
  </conditionalFormatting>
  <drawing r:id="rId1"/>
</worksheet>
</file>